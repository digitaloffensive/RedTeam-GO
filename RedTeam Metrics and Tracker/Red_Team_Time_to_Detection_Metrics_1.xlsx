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shboard" sheetId="2" state="visible" r:id="rId4"/>
    <sheet name="Settings" sheetId="3" state="visible" r:id="rId5"/>
    <sheet name="Activity &amp; Event Log" sheetId="4" state="visible" r:id="rId6"/>
  </sheets>
  <definedNames>
    <definedName function="false" hidden="true" localSheetId="3" name="_xlnm._FilterDatabase" vbProcedure="false">'Activity &amp; Event Log'!$A$4:$AU$504</definedName>
    <definedName function="false" hidden="true" localSheetId="1" name="_xlnm._FilterDatabase" vbProcedure="false">Dashboard!$B$76:$L$176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<sst xmlns="http://schemas.openxmlformats.org/spreadsheetml/2006/main" count="649" uniqueCount="306">
  <si>
    <t xml:space="preserve">Red Team Time-to-Detection (TTD) Metrics</t>
  </si>
  <si>
    <t xml:space="preserve">Definition</t>
  </si>
  <si>
    <t xml:space="preserve">Time-to-Detection measures the gap between when a red team event should trigger an alert and when the alert is actually surfaced to incident responders. Goal: minimize the window in which activity goes unnoticed or undetected.</t>
  </si>
  <si>
    <t xml:space="preserve">Why it matters</t>
  </si>
  <si>
    <t xml:space="preserve">Validates that "water is flowing through the pipes" and alerting works as intended. Gaps are worked with detection engineering to add/update rules and close telemetry or tooling gaps.</t>
  </si>
  <si>
    <t xml:space="preserve">One log drives everything</t>
  </si>
  <si>
    <t xml:space="preserve">There is a single sheet — Activity &amp; Event Log — where you record every red team action. It replaces the old separate activity tracker. One row per action. A row feeds the Dashboard only when its Severity (col G) is filled, which marks it a measured detection/containment event; actions you log for deconfliction but don't measure (just leave Severity blank) stay as log entries and don't affect the metrics. The Dashboard reads only from this sheet.</t>
  </si>
  <si>
    <t xml:space="preserve">Clock start / stop</t>
  </si>
  <si>
    <t xml:space="preserve">Start = Activity &amp; Event Log column I (action executed). Stop = column L (actionable alert surfaced to incident responders).</t>
  </si>
  <si>
    <t xml:space="preserve">Pipeline stages</t>
  </si>
  <si>
    <t xml:space="preserve">TTD is split into three stages to show where time is lost:
  1) Telemetry Latency = Telemetry Logged − Executed
  2) Alert Generation Latency = Alert Generated − Telemetry Logged
  3) Triage Latency = Alert Surfaced − Alert Generated</t>
  </si>
  <si>
    <t xml:space="preserve">Auto-classification</t>
  </si>
  <si>
    <t xml:space="preserve">Each event is classified in column V:
  • Telemetry Blind Spot — no telemetry, alert, or surfaced timestamp
  • Missed Alert — telemetry exists but no alert generated/surfaced
  • Triage Delay — alert generated but never surfaced, or TTD missed SLA and triage latency &gt; severity's triage threshold
  • Detected - SLA Breach — surfaced, TTD &gt; SLA target, delay was upstream of triage
  • Detected - Within SLA — surfaced within SLA target</t>
  </si>
  <si>
    <t xml:space="preserve">— Time-to-Containment —</t>
  </si>
  <si>
    <t xml:space="preserve">Measures how long it takes to stop the adversary from taking further action after an alert. Clock starts when the alert is surfaced to IR (Event Log col L) and stops when C2 is blocked and the attacker can no longer act (col Z). Unlike detection, this shows when the adversary is actually prevented from progressing — resilient C2 can survive initial isolation, so containment is not complete until C2 is disrupted.</t>
  </si>
  <si>
    <t xml:space="preserve">Containment stages</t>
  </si>
  <si>
    <t xml:space="preserve">1) Response Initiation = Containment Started − Alert Surfaced (workflow efficiency)
  2) Host Isolation Latency = Host Isolated − Containment Started
  3) C2 Disruption Latency = C2 Blocked − Host Isolated</t>
  </si>
  <si>
    <t xml:space="preserve">Containment results</t>
  </si>
  <si>
    <t xml:space="preserve">Column AI classifies each surfaced event, mapping to the three gap areas:
  • No Containment Action — responders never acted (workflow gap)
  • Host Isolation Gap — action started but host never isolated
  • C2 Persisted — host isolated but C2 never blocked (the resilient-C2 gap)
  • Contained - SLA Breach / Within SLA — C2 blocked, over / under the containment SLA
  • N/A - Not Detected — event never surfaced, so containment can't be measured</t>
  </si>
  <si>
    <t xml:space="preserve">Log layout</t>
  </si>
  <si>
    <t xml:space="preserve">Columns on the Activity &amp; Event Log, left to right:
  • A–H: identity — ID, engagement, tactic, technique, description, target, Severity, expected detection source
  • I–L: detection timestamps (executed, telemetry, alert generated, alert surfaced)
  • P–W: detection calculations
  • X–Z: containment timestamps (action started, host isolated, C2 blocked)
  • AC–AJ: containment calculations
  • AK–AU: operator &amp; deconfliction — operator, source host, command/procedure, tool/C2, worked?, result, deconfliction status, reported-by, cleanup status/notes, comments</t>
  </si>
  <si>
    <t xml:space="preserve">How to use</t>
  </si>
  <si>
    <t xml:space="preserve">1) Set TTD + containment SLA targets, triage thresholds and engagement names on Settings.
2) Log one row per action on the Activity &amp; Event Log (blue = inputs; grey = formulas).
3) For a measured event, fill Severity and the relevant timestamps; leave a timestamp blank if that stage never happened — blanks drive gap classification.
4) Review the Dashboard; it recalculates automatically. Formulas cover 500 rows.</t>
  </si>
  <si>
    <t xml:space="preserve">Timestamps</t>
  </si>
  <si>
    <t xml:space="preserve">Enter as date + time, e.g. 2026-09-14 10:32 (24-hour). All latencies are in minutes.</t>
  </si>
  <si>
    <t xml:space="preserve">Sample data</t>
  </si>
  <si>
    <t xml:space="preserve">Rows 5–19 on the Activity &amp; Event Log are placeholder SAMPLE rows across two engagements so the dashboard renders. Clear them before real use.</t>
  </si>
  <si>
    <t xml:space="preserve">Color legend</t>
  </si>
  <si>
    <t xml:space="preserve">Blue text = input · Grey fill = calculated, do not edit · Yellow = key assumption. Header bands: navy = identity/detection, green = containment, purple = operator &amp; deconfliction.</t>
  </si>
  <si>
    <t xml:space="preserve">Detection &amp; Containment Dashboard</t>
  </si>
  <si>
    <t xml:space="preserve">All values calculate from the Event Log. Latencies in minutes. Left band = Time-to-Detection, right band = Time-to-Containment.</t>
  </si>
  <si>
    <t xml:space="preserve">TIME-TO-CONTAINMENT</t>
  </si>
  <si>
    <t xml:space="preserve">Headline KPI</t>
  </si>
  <si>
    <t xml:space="preserve">Value</t>
  </si>
  <si>
    <t xml:space="preserve">Detection Result</t>
  </si>
  <si>
    <t xml:space="preserve">Count</t>
  </si>
  <si>
    <t xml:space="preserve">% of Events</t>
  </si>
  <si>
    <t xml:space="preserve">Containment Result</t>
  </si>
  <si>
    <t xml:space="preserve">Total Measured Events</t>
  </si>
  <si>
    <t xml:space="preserve">Detected - Within SLA</t>
  </si>
  <si>
    <t xml:space="preserve">Contained - Within SLA</t>
  </si>
  <si>
    <t xml:space="preserve">Alerts Surfaced to IR</t>
  </si>
  <si>
    <t xml:space="preserve">Detected - SLA Breach</t>
  </si>
  <si>
    <t xml:space="preserve">Contained - SLA Breach</t>
  </si>
  <si>
    <t xml:space="preserve">Detection Rate</t>
  </si>
  <si>
    <t xml:space="preserve">Triage Delay</t>
  </si>
  <si>
    <t xml:space="preserve">C2 Persisted</t>
  </si>
  <si>
    <t xml:space="preserve">% Within TTD SLA</t>
  </si>
  <si>
    <t xml:space="preserve">Missed Alert</t>
  </si>
  <si>
    <t xml:space="preserve">Host Isolation Gap</t>
  </si>
  <si>
    <t xml:space="preserve">Mean TTD (min)</t>
  </si>
  <si>
    <t xml:space="preserve">Telemetry Blind Spot</t>
  </si>
  <si>
    <t xml:space="preserve">No Containment Action</t>
  </si>
  <si>
    <t xml:space="preserve">Median TTD (min)</t>
  </si>
  <si>
    <t xml:space="preserve">N/A - Not Detected</t>
  </si>
  <si>
    <t xml:space="preserve">90th Percentile TTD (min)</t>
  </si>
  <si>
    <t xml:space="preserve">Detection Pipeline Stage</t>
  </si>
  <si>
    <t xml:space="preserve">Avg (min)</t>
  </si>
  <si>
    <t xml:space="preserve">Max (min)</t>
  </si>
  <si>
    <t xml:space="preserve">Max TTD (min)</t>
  </si>
  <si>
    <t xml:space="preserve">Telemetry Latency</t>
  </si>
  <si>
    <t xml:space="preserve">Containment Pipeline Stage</t>
  </si>
  <si>
    <t xml:space="preserve">Open Detection Gaps</t>
  </si>
  <si>
    <t xml:space="preserve">Alert Generation Latency</t>
  </si>
  <si>
    <t xml:space="preserve">Response Initiation Latency</t>
  </si>
  <si>
    <t xml:space="preserve">Triage Latency</t>
  </si>
  <si>
    <t xml:space="preserve">Host Isolation Latency</t>
  </si>
  <si>
    <t xml:space="preserve">Total Time-to-Detection</t>
  </si>
  <si>
    <t xml:space="preserve">C2 Disruption Latency</t>
  </si>
  <si>
    <t xml:space="preserve">Eligible Events (Surfaced)</t>
  </si>
  <si>
    <t xml:space="preserve">Total Time-to-Containment</t>
  </si>
  <si>
    <t xml:space="preserve">Contained (C2 Blocked)</t>
  </si>
  <si>
    <t xml:space="preserve">Containment Rate</t>
  </si>
  <si>
    <t xml:space="preserve">% Within Containment SLA</t>
  </si>
  <si>
    <t xml:space="preserve">Mean TTC (min)</t>
  </si>
  <si>
    <t xml:space="preserve">Median TTC (min)</t>
  </si>
  <si>
    <t xml:space="preserve">90th Percentile TTC (min)</t>
  </si>
  <si>
    <t xml:space="preserve">Max TTC (min)</t>
  </si>
  <si>
    <t xml:space="preserve">C2 Persisted (open gap)</t>
  </si>
  <si>
    <t xml:space="preserve">By MITRE ATT&amp;CK Tactic</t>
  </si>
  <si>
    <t xml:space="preserve">Tactic</t>
  </si>
  <si>
    <t xml:space="preserve">Events</t>
  </si>
  <si>
    <t xml:space="preserve">Surfaced</t>
  </si>
  <si>
    <t xml:space="preserve">% Within SLA</t>
  </si>
  <si>
    <t xml:space="preserve">Missed Alerts</t>
  </si>
  <si>
    <t xml:space="preserve">Blind Spots</t>
  </si>
  <si>
    <t xml:space="preserve">Triage Delays</t>
  </si>
  <si>
    <t xml:space="preserve">Reconnaissance</t>
  </si>
  <si>
    <t xml:space="preserve">Resource Development</t>
  </si>
  <si>
    <t xml:space="preserve">Initial Access</t>
  </si>
  <si>
    <t xml:space="preserve">Execution</t>
  </si>
  <si>
    <t xml:space="preserve">Persistence</t>
  </si>
  <si>
    <t xml:space="preserve">Privilege Escalation</t>
  </si>
  <si>
    <t xml:space="preserve">Defense Evasion</t>
  </si>
  <si>
    <t xml:space="preserve">Credential Access</t>
  </si>
  <si>
    <t xml:space="preserve">Discovery</t>
  </si>
  <si>
    <t xml:space="preserve">Lateral Movement</t>
  </si>
  <si>
    <t xml:space="preserve">Collection</t>
  </si>
  <si>
    <t xml:space="preserve">Command and Control</t>
  </si>
  <si>
    <t xml:space="preserve">Exfiltration</t>
  </si>
  <si>
    <t xml:space="preserve">Impact</t>
  </si>
  <si>
    <t xml:space="preserve">By Severity</t>
  </si>
  <si>
    <t xml:space="preserve">Severity</t>
  </si>
  <si>
    <t xml:space="preserve">Critical</t>
  </si>
  <si>
    <t xml:space="preserve">High</t>
  </si>
  <si>
    <t xml:space="preserve">Medium</t>
  </si>
  <si>
    <t xml:space="preserve">Low</t>
  </si>
  <si>
    <t xml:space="preserve">By Expected Detection Source</t>
  </si>
  <si>
    <t xml:space="preserve">Source</t>
  </si>
  <si>
    <t xml:space="preserve">EDR</t>
  </si>
  <si>
    <t xml:space="preserve">SIEM</t>
  </si>
  <si>
    <t xml:space="preserve">NDR</t>
  </si>
  <si>
    <t xml:space="preserve">Email Security</t>
  </si>
  <si>
    <t xml:space="preserve">Identity / IdP</t>
  </si>
  <si>
    <t xml:space="preserve">Cloud</t>
  </si>
  <si>
    <t xml:space="preserve">DLP</t>
  </si>
  <si>
    <t xml:space="preserve">Proxy / SWG</t>
  </si>
  <si>
    <t xml:space="preserve">Firewall</t>
  </si>
  <si>
    <t xml:space="preserve">Other</t>
  </si>
  <si>
    <t xml:space="preserve">By Engagement (detection + containment trend)</t>
  </si>
  <si>
    <t xml:space="preserve">Engagement</t>
  </si>
  <si>
    <t xml:space="preserve">% Within Cont. SLA</t>
  </si>
  <si>
    <t xml:space="preserve">By ATT&amp;CK Technique (drill-down under tactic)</t>
  </si>
  <si>
    <t xml:space="preserve">Technique list is maintained on Settings (cols O-Q). Priority = High when misses + SLA breaches &gt;= Settings!B11.</t>
  </si>
  <si>
    <t xml:space="preserve">Parent Tactic</t>
  </si>
  <si>
    <t xml:space="preserve">Technique ID</t>
  </si>
  <si>
    <t xml:space="preserve">Technique Name</t>
  </si>
  <si>
    <t xml:space="preserve">Top Gap</t>
  </si>
  <si>
    <t xml:space="preserve">Priority</t>
  </si>
  <si>
    <t xml:space="preserve">Settings &amp; Lists</t>
  </si>
  <si>
    <t xml:space="preserve">Yellow cells are assumptions — set to your SOC's targets (defaults are placeholders, not an industry standard).</t>
  </si>
  <si>
    <t xml:space="preserve">Technique list — enter the ATT&amp;CK techniques in scope (up to 100 rows). Keep grouped by tactic.</t>
  </si>
  <si>
    <t xml:space="preserve">Engagement details for deconfliction</t>
  </si>
  <si>
    <t xml:space="preserve">TTD SLA Target (min)</t>
  </si>
  <si>
    <t xml:space="preserve">Triage Threshold (min)</t>
  </si>
  <si>
    <t xml:space="preserve">Containment SLA Target (min)</t>
  </si>
  <si>
    <t xml:space="preserve">MITRE ATT&amp;CK Tactic</t>
  </si>
  <si>
    <t xml:space="preserve">Detection Source</t>
  </si>
  <si>
    <t xml:space="preserve">Remediation Status</t>
  </si>
  <si>
    <t xml:space="preserve">Engagements (edit)</t>
  </si>
  <si>
    <t xml:space="preserve">Activity Outcome</t>
  </si>
  <si>
    <t xml:space="preserve">Detected?</t>
  </si>
  <si>
    <t xml:space="preserve">Deconfliction Status</t>
  </si>
  <si>
    <t xml:space="preserve">Cleanup Status</t>
  </si>
  <si>
    <t xml:space="preserve">Start Date</t>
  </si>
  <si>
    <t xml:space="preserve">End Date</t>
  </si>
  <si>
    <t xml:space="preserve">Trusted Agent / White Cell</t>
  </si>
  <si>
    <t xml:space="preserve">Deconfliction Contact</t>
  </si>
  <si>
    <t xml:space="preserve">Authorization / ROE Ref</t>
  </si>
  <si>
    <t xml:space="preserve">Time Zone Used</t>
  </si>
  <si>
    <t xml:space="preserve">Not Required</t>
  </si>
  <si>
    <t xml:space="preserve">Q2-2026 Engagement</t>
  </si>
  <si>
    <t xml:space="preserve">Success</t>
  </si>
  <si>
    <t xml:space="preserve">Yes</t>
  </si>
  <si>
    <t xml:space="preserve">T1566.001</t>
  </si>
  <si>
    <t xml:space="preserve">Spearphishing Attachment</t>
  </si>
  <si>
    <t xml:space="preserve">UTC</t>
  </si>
  <si>
    <t xml:space="preserve">Open</t>
  </si>
  <si>
    <t xml:space="preserve">Q3-2026 Engagement</t>
  </si>
  <si>
    <t xml:space="preserve">Partial</t>
  </si>
  <si>
    <t xml:space="preserve">No</t>
  </si>
  <si>
    <t xml:space="preserve">Pending</t>
  </si>
  <si>
    <t xml:space="preserve">T1059.001</t>
  </si>
  <si>
    <t xml:space="preserve">PowerShell</t>
  </si>
  <si>
    <t xml:space="preserve">In Progress</t>
  </si>
  <si>
    <t xml:space="preserve">Failed</t>
  </si>
  <si>
    <t xml:space="preserve">Unknown</t>
  </si>
  <si>
    <t xml:space="preserve">Confirmed Red Team</t>
  </si>
  <si>
    <t xml:space="preserve">Complete</t>
  </si>
  <si>
    <t xml:space="preserve">T1053.005</t>
  </si>
  <si>
    <t xml:space="preserve">Scheduled Task</t>
  </si>
  <si>
    <t xml:space="preserve">Rule Deployed</t>
  </si>
  <si>
    <t xml:space="preserve">Blocked by Control</t>
  </si>
  <si>
    <t xml:space="preserve">Pending SOC Review</t>
  </si>
  <si>
    <t xml:space="preserve">Not Red Team - Escalate</t>
  </si>
  <si>
    <t xml:space="preserve">T1562.001</t>
  </si>
  <si>
    <t xml:space="preserve">Disable or Modify Tools</t>
  </si>
  <si>
    <t xml:space="preserve">Validated</t>
  </si>
  <si>
    <t xml:space="preserve">T1003.001</t>
  </si>
  <si>
    <t xml:space="preserve">LSASS Memory</t>
  </si>
  <si>
    <t xml:space="preserve">T1087.002</t>
  </si>
  <si>
    <t xml:space="preserve">Domain Account</t>
  </si>
  <si>
    <t xml:space="preserve">Priority threshold</t>
  </si>
  <si>
    <t xml:space="preserve">per technique: events missed or over SLA ≥ this → High priority</t>
  </si>
  <si>
    <t xml:space="preserve">T1021.002</t>
  </si>
  <si>
    <t xml:space="preserve">SMB/Windows Admin Shares</t>
  </si>
  <si>
    <t xml:space="preserve">T1071.001</t>
  </si>
  <si>
    <t xml:space="preserve">Web Protocols</t>
  </si>
  <si>
    <t xml:space="preserve">Red Team Activity &amp; Event Log</t>
  </si>
  <si>
    <t xml:space="preserve">Single log. One row per activity. Detection A-W / Containment X-AJ / Operator &amp; Deconfliction AK-AU. A row counts on the dashboard only when Severity (col G) is filled — that marks it a measured event. Pure activity steps: leave Severity blank. Rows 5-19 are SAMPLE placeholders.</t>
  </si>
  <si>
    <t xml:space="preserve">CONTAINMENT INPUTS</t>
  </si>
  <si>
    <t xml:space="preserve">CONTAINMENT CALCULATED</t>
  </si>
  <si>
    <t xml:space="preserve">OPERATOR &amp; DECONFLICTION</t>
  </si>
  <si>
    <t xml:space="preserve">Event ID</t>
  </si>
  <si>
    <t xml:space="preserve">MITRE Tactic</t>
  </si>
  <si>
    <t xml:space="preserve">Event Description</t>
  </si>
  <si>
    <t xml:space="preserve">Target Asset</t>
  </si>
  <si>
    <t xml:space="preserve">Expected Detection Source</t>
  </si>
  <si>
    <t xml:space="preserve">Action Executed
(Clock Start)</t>
  </si>
  <si>
    <t xml:space="preserve">Telemetry Logged</t>
  </si>
  <si>
    <t xml:space="preserve">Alert Generated</t>
  </si>
  <si>
    <t xml:space="preserve">Alert Surfaced to IR
(Clock Stop)</t>
  </si>
  <si>
    <t xml:space="preserve">Detection Rule / Ticket</t>
  </si>
  <si>
    <t xml:space="preserve">Notes</t>
  </si>
  <si>
    <t xml:space="preserve">Telemetry Latency (min)</t>
  </si>
  <si>
    <t xml:space="preserve">Alert Gen Latency (min)</t>
  </si>
  <si>
    <t xml:space="preserve">Triage Latency (min)</t>
  </si>
  <si>
    <t xml:space="preserve">Time-to-Detection (min)</t>
  </si>
  <si>
    <t xml:space="preserve">Within SLA?</t>
  </si>
  <si>
    <t xml:space="preserve">Detected? (1/0)</t>
  </si>
  <si>
    <t xml:space="preserve">Containment Action Started
(Clock Start)</t>
  </si>
  <si>
    <t xml:space="preserve">Host Isolated</t>
  </si>
  <si>
    <t xml:space="preserve">C2 Blocked
(Clock Stop)</t>
  </si>
  <si>
    <t xml:space="preserve">Containment Owner / Team</t>
  </si>
  <si>
    <t xml:space="preserve">Containment Notes</t>
  </si>
  <si>
    <t xml:space="preserve">Response Init Latency (min)</t>
  </si>
  <si>
    <t xml:space="preserve">Host Isolation Latency (min)</t>
  </si>
  <si>
    <t xml:space="preserve">C2 Disruption Latency (min)</t>
  </si>
  <si>
    <t xml:space="preserve">Time-to-Containment (min)</t>
  </si>
  <si>
    <t xml:space="preserve">Within Cont. SLA?</t>
  </si>
  <si>
    <t xml:space="preserve">Contained? (1/0)</t>
  </si>
  <si>
    <t xml:space="preserve">Operator</t>
  </si>
  <si>
    <t xml:space="preserve">Source Host / IP</t>
  </si>
  <si>
    <t xml:space="preserve">Command / Procedure</t>
  </si>
  <si>
    <t xml:space="preserve">Tool / C2</t>
  </si>
  <si>
    <t xml:space="preserve">Worked? (Y/N)</t>
  </si>
  <si>
    <t xml:space="preserve">Result / Observation</t>
  </si>
  <si>
    <t xml:space="preserve">Reported By (White Cell)</t>
  </si>
  <si>
    <t xml:space="preserve">Cleanup Notes</t>
  </si>
  <si>
    <t xml:space="preserve">Comments</t>
  </si>
  <si>
    <t xml:space="preserve">RT-001</t>
  </si>
  <si>
    <t xml:space="preserve">Sample event 01 (placeholder)</t>
  </si>
  <si>
    <t xml:space="preserve">HOST-01</t>
  </si>
  <si>
    <t xml:space="preserve">IR Team</t>
  </si>
  <si>
    <t xml:space="preserve">operator1</t>
  </si>
  <si>
    <t xml:space="preserve">10.0.0.1</t>
  </si>
  <si>
    <t xml:space="preserve">&lt;command / procedure&gt;</t>
  </si>
  <si>
    <t xml:space="preserve">&lt;tool / C2&gt;</t>
  </si>
  <si>
    <t xml:space="preserve">Y</t>
  </si>
  <si>
    <t xml:space="preserve">Sample observation (placeholder)</t>
  </si>
  <si>
    <t xml:space="preserve">White Cell</t>
  </si>
  <si>
    <t xml:space="preserve">Example row - clear before real use</t>
  </si>
  <si>
    <t xml:space="preserve">RT-002</t>
  </si>
  <si>
    <t xml:space="preserve">Sample event 02 (placeholder)</t>
  </si>
  <si>
    <t xml:space="preserve">HOST-02</t>
  </si>
  <si>
    <t xml:space="preserve">10.0.0.2</t>
  </si>
  <si>
    <t xml:space="preserve">RT-003</t>
  </si>
  <si>
    <t xml:space="preserve">Sample event 03 (placeholder)</t>
  </si>
  <si>
    <t xml:space="preserve">HOST-03</t>
  </si>
  <si>
    <t xml:space="preserve">DE-1003</t>
  </si>
  <si>
    <t xml:space="preserve">10.0.0.3</t>
  </si>
  <si>
    <t xml:space="preserve">RT-004</t>
  </si>
  <si>
    <t xml:space="preserve">Sample event 04 (placeholder)</t>
  </si>
  <si>
    <t xml:space="preserve">HOST-04</t>
  </si>
  <si>
    <t xml:space="preserve">10.0.0.4</t>
  </si>
  <si>
    <t xml:space="preserve">RT-005</t>
  </si>
  <si>
    <t xml:space="preserve">Sample event 05 (placeholder)</t>
  </si>
  <si>
    <t xml:space="preserve">HOST-05</t>
  </si>
  <si>
    <t xml:space="preserve">10.0.0.5</t>
  </si>
  <si>
    <t xml:space="preserve">RT-006</t>
  </si>
  <si>
    <t xml:space="preserve">Sample event 06 (placeholder)</t>
  </si>
  <si>
    <t xml:space="preserve">HOST-06</t>
  </si>
  <si>
    <t xml:space="preserve">DE-1006</t>
  </si>
  <si>
    <t xml:space="preserve">10.0.0.6</t>
  </si>
  <si>
    <t xml:space="preserve">RT-007</t>
  </si>
  <si>
    <t xml:space="preserve">Sample event 07 (placeholder)</t>
  </si>
  <si>
    <t xml:space="preserve">HOST-07</t>
  </si>
  <si>
    <t xml:space="preserve">10.0.0.7</t>
  </si>
  <si>
    <t xml:space="preserve">RT-008</t>
  </si>
  <si>
    <t xml:space="preserve">Sample event 08 (placeholder)</t>
  </si>
  <si>
    <t xml:space="preserve">HOST-08</t>
  </si>
  <si>
    <t xml:space="preserve">DE-1008</t>
  </si>
  <si>
    <t xml:space="preserve">10.0.0.8</t>
  </si>
  <si>
    <t xml:space="preserve">RT-009</t>
  </si>
  <si>
    <t xml:space="preserve">Sample event 09 (placeholder)</t>
  </si>
  <si>
    <t xml:space="preserve">HOST-09</t>
  </si>
  <si>
    <t xml:space="preserve">10.0.0.9</t>
  </si>
  <si>
    <t xml:space="preserve">RT-010</t>
  </si>
  <si>
    <t xml:space="preserve">Sample event 10 (placeholder)</t>
  </si>
  <si>
    <t xml:space="preserve">HOST-10</t>
  </si>
  <si>
    <t xml:space="preserve">10.0.0.10</t>
  </si>
  <si>
    <t xml:space="preserve">RT-011</t>
  </si>
  <si>
    <t xml:space="preserve">Sample event 11 (placeholder)</t>
  </si>
  <si>
    <t xml:space="preserve">HOST-11</t>
  </si>
  <si>
    <t xml:space="preserve">10.0.0.11</t>
  </si>
  <si>
    <t xml:space="preserve">RT-012</t>
  </si>
  <si>
    <t xml:space="preserve">Sample event 12 (placeholder)</t>
  </si>
  <si>
    <t xml:space="preserve">HOST-12</t>
  </si>
  <si>
    <t xml:space="preserve">10.0.0.12</t>
  </si>
  <si>
    <t xml:space="preserve">RT-013</t>
  </si>
  <si>
    <t xml:space="preserve">Sample event 13 (placeholder)</t>
  </si>
  <si>
    <t xml:space="preserve">HOST-13</t>
  </si>
  <si>
    <t xml:space="preserve">10.0.0.13</t>
  </si>
  <si>
    <t xml:space="preserve">RT-014</t>
  </si>
  <si>
    <t xml:space="preserve">Sample event 14 (placeholder)</t>
  </si>
  <si>
    <t xml:space="preserve">HOST-14</t>
  </si>
  <si>
    <t xml:space="preserve">10.0.0.14</t>
  </si>
  <si>
    <t xml:space="preserve">RT-015</t>
  </si>
  <si>
    <t xml:space="preserve">Sample event 15 (placeholder)</t>
  </si>
  <si>
    <t xml:space="preserve">HOST-15</t>
  </si>
  <si>
    <t xml:space="preserve">10.0.0.15</t>
  </si>
  <si>
    <t xml:space="preserve">RT-016</t>
  </si>
  <si>
    <t xml:space="preserve">Sample event 16 (placeholder)</t>
  </si>
  <si>
    <t xml:space="preserve">HOST-16</t>
  </si>
  <si>
    <t xml:space="preserve">DE-1016</t>
  </si>
  <si>
    <t xml:space="preserve">10.0.0.16</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</si>
</sst>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yyyy\-mm\-dd"/>
    <numFmt numFmtId="170" formatCode="yyyy\-mm\-dd\ hh:mm"/>
  </numFmts>
  <fonts count="19">
    <font>
      <sz val="11"/>
      <color theme="1"/>
      <name val="Calibri"/>
      <family val="2"/>
      <charset val="1"/>
    </font>
    <font>
      <sz val="10"/>
      <name val="Arial"/>
      <family val="0"/>
    </font>
    <font>
      <sz val="10"/>
      <name val="Arial"/>
      <family val="0"/>
    </font>
    <font>
      <sz val="10"/>
      <name val="Arial"/>
      <family val="0"/>
    </font>
    <font>
      <b val="true"/>
      <sz val="18"/>
      <color rgb="FF005A3C"/>
      <name val="Arial"/>
      <family val="0"/>
      <charset val="1"/>
    </font>
    <font>
      <b val="true"/>
      <sz val="11"/>
      <color rgb="FF005A3C"/>
      <name val="Arial"/>
      <family val="0"/>
      <charset val="1"/>
    </font>
    <font>
      <sz val="10"/>
      <name val="Arial"/>
      <family val="0"/>
      <charset val="1"/>
    </font>
    <font>
      <i val="true"/>
      <sz val="9"/>
      <name val="Arial"/>
      <family val="0"/>
      <charset val="1"/>
    </font>
    <font>
      <b val="true"/>
      <sz val="11"/>
      <color rgb="FF006B44"/>
      <name val="Arial"/>
      <family val="0"/>
      <charset val="1"/>
    </font>
    <font>
      <b val="true"/>
      <sz val="10"/>
      <color rgb="FFFFFFFF"/>
      <name val="Arial"/>
      <family val="0"/>
      <charset val="1"/>
    </font>
    <font>
      <b val="true"/>
      <sz val="10"/>
      <name val="Arial"/>
      <family val="0"/>
      <charset val="1"/>
    </font>
    <font>
      <b val="true"/>
      <sz val="12"/>
      <color rgb="FF005A3C"/>
      <name val="Arial"/>
      <family val="0"/>
      <charset val="1"/>
    </font>
    <font>
      <b val="true"/>
      <sz val="18"/>
      <color rgb="FF000000"/>
      <name val="Calibri"/>
      <family val="2"/>
    </font>
    <font>
      <sz val="10"/>
      <color rgb="FF000000"/>
      <name val="Calibri"/>
      <family val="2"/>
    </font>
    <font>
      <b val="true"/>
      <sz val="14"/>
      <color rgb="FF005A3C"/>
      <name val="Arial"/>
      <family val="0"/>
      <charset val="1"/>
    </font>
    <font>
      <sz val="11"/>
      <color rgb="FF0000FF"/>
      <name val="Arial"/>
      <family val="0"/>
      <charset val="1"/>
    </font>
    <font>
      <sz val="10"/>
      <color rgb="FF0000FF"/>
      <name val="Arial"/>
      <family val="0"/>
      <charset val="1"/>
    </font>
    <font>
      <b val="true"/>
      <sz val="11"/>
      <color rgb="FF595959"/>
      <name val="Arial"/>
      <family val="0"/>
      <charset val="1"/>
    </font>
    <font>
      <b val="true"/>
      <sz val="11"/>
      <color rgb="FF7030A0"/>
      <name val="Arial"/>
      <family val="0"/>
      <charset val="1"/>
    </font>
  </fonts>
  <fills count="9">
    <fill>
      <patternFill patternType="none"/>
    </fill>
    <fill>
      <patternFill patternType="gray125"/>
    </fill>
    <fill>
      <patternFill patternType="solid">
        <fgColor rgb="FF005A3C"/>
        <bgColor rgb="FF006B44"/>
      </patternFill>
    </fill>
    <fill>
      <patternFill patternType="solid">
        <fgColor rgb="FF006B44"/>
        <bgColor rgb="FF005A3C"/>
      </patternFill>
    </fill>
    <fill>
      <patternFill patternType="solid">
        <fgColor rgb="FFE6F2ED"/>
        <bgColor rgb="FFE7E6E6"/>
      </patternFill>
    </fill>
    <fill>
      <patternFill patternType="solid">
        <fgColor rgb="FFFFF2CC"/>
        <bgColor rgb="FFE6F2ED"/>
      </patternFill>
    </fill>
    <fill>
      <patternFill patternType="solid">
        <fgColor rgb="FFE7E6E6"/>
        <bgColor rgb="FFE6F2ED"/>
      </patternFill>
    </fill>
    <fill>
      <patternFill patternType="solid">
        <fgColor rgb="FF595959"/>
        <bgColor rgb="FF8064A2"/>
      </patternFill>
    </fill>
    <fill>
      <patternFill patternType="solid">
        <fgColor rgb="FF7030A0"/>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true" applyProtection="false">
      <alignment horizontal="center" vertical="bottom" textRotation="0" wrapText="false" indent="0" shrinkToFit="false"/>
      <protection locked="true" hidden="false"/>
    </xf>
    <xf numFmtId="167" fontId="5" fillId="4" borderId="1" xfId="0" applyFont="true" applyBorder="true" applyAlignment="true" applyProtection="false">
      <alignment horizontal="center"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center" vertical="bottom" textRotation="0" wrapText="false" indent="0" shrinkToFit="false"/>
      <protection locked="true" hidden="false"/>
    </xf>
    <xf numFmtId="166" fontId="8" fillId="4" borderId="1" xfId="0" applyFont="true" applyBorder="true" applyAlignment="true" applyProtection="false">
      <alignment horizontal="center" vertical="bottom" textRotation="0" wrapText="false" indent="0" shrinkToFit="false"/>
      <protection locked="true" hidden="false"/>
    </xf>
    <xf numFmtId="167" fontId="8" fillId="4"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4" fontId="15" fillId="5"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9" fontId="16"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70" fontId="16" fillId="0" borderId="1" xfId="0" applyFont="true" applyBorder="true" applyAlignment="false" applyProtection="false">
      <alignment horizontal="general" vertical="bottom" textRotation="0" wrapText="false" indent="0" shrinkToFit="false"/>
      <protection locked="true" hidden="false"/>
    </xf>
    <xf numFmtId="167" fontId="6" fillId="6"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9">
    <dxf>
      <fill>
        <patternFill patternType="solid">
          <fgColor rgb="FF005A3C"/>
          <bgColor rgb="FF000000"/>
        </patternFill>
      </fill>
    </dxf>
    <dxf>
      <fill>
        <patternFill patternType="solid">
          <bgColor rgb="FF000000"/>
        </patternFill>
      </fill>
    </dxf>
    <dxf>
      <fill>
        <patternFill patternType="solid">
          <fgColor rgb="FFFFFFFF"/>
          <bgColor rgb="FF000000"/>
        </patternFill>
      </fill>
    </dxf>
    <dxf>
      <fill>
        <patternFill patternType="solid">
          <fgColor rgb="FF008555"/>
          <bgColor rgb="FF000000"/>
        </patternFill>
      </fill>
    </dxf>
    <dxf>
      <fill>
        <patternFill patternType="solid">
          <fgColor rgb="FFF8696B"/>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E26B0A"/>
          <bgColor rgb="FF000000"/>
        </patternFill>
      </fill>
    </dxf>
    <dxf>
      <fill>
        <patternFill patternType="solid">
          <fgColor rgb="FFF8CBAD"/>
          <bgColor rgb="FF000000"/>
        </patternFill>
      </fill>
    </dxf>
    <dxf>
      <font>
        <name val="Arial"/>
        <charset val="1"/>
        <family val="0"/>
        <b val="1"/>
        <color rgb="FFC00000"/>
      </font>
      <fill>
        <patternFill>
          <bgColor rgb="FFF8CBAD"/>
        </patternFill>
      </fill>
    </dxf>
    <dxf>
      <font>
        <name val="Arial"/>
        <charset val="1"/>
        <family val="0"/>
        <color rgb="FFC00000"/>
      </font>
    </dxf>
    <dxf>
      <font>
        <name val="Arial"/>
        <charset val="1"/>
        <family val="0"/>
        <color rgb="FFE26B0A"/>
      </font>
    </dxf>
    <dxf>
      <fill>
        <patternFill patternType="solid">
          <fgColor rgb="FF0000FF"/>
          <bgColor rgb="FF000000"/>
        </patternFill>
      </fill>
    </dxf>
    <dxf>
      <fill>
        <patternFill patternType="solid">
          <fgColor rgb="FF595959"/>
          <bgColor rgb="FF000000"/>
        </patternFill>
      </fill>
    </dxf>
    <dxf>
      <fill>
        <patternFill patternType="solid">
          <fgColor rgb="FFE7E6E6"/>
          <bgColor rgb="FF000000"/>
        </patternFill>
      </fill>
    </dxf>
    <dxf>
      <fill>
        <patternFill patternType="solid">
          <fgColor rgb="FFE6F2ED"/>
          <bgColor rgb="FF000000"/>
        </patternFill>
      </fill>
    </dxf>
    <dxf>
      <fill>
        <patternFill patternType="solid">
          <fgColor rgb="FFBF8F00"/>
          <bgColor rgb="FF000000"/>
        </patternFill>
      </fill>
    </dxf>
    <dxf>
      <fill>
        <patternFill patternType="solid">
          <fgColor rgb="FF006B44"/>
          <bgColor rgb="FF000000"/>
        </patternFill>
      </fill>
    </dxf>
    <dxf>
      <fill>
        <patternFill patternType="solid">
          <fgColor rgb="FF808080"/>
          <bgColor rgb="FF000000"/>
        </patternFill>
      </fill>
    </dxf>
    <dxf>
      <fill>
        <patternFill patternType="solid">
          <fgColor rgb="FF7030A0"/>
          <bgColor rgb="FF000000"/>
        </patternFill>
      </fill>
    </dxf>
    <dxf>
      <font>
        <name val="Arial"/>
        <charset val="1"/>
        <family val="0"/>
        <b val="1"/>
        <color rgb="FFC00000"/>
      </font>
    </dxf>
    <dxf>
      <font>
        <name val="Arial"/>
        <charset val="1"/>
        <family val="0"/>
        <b val="1"/>
        <color rgb="FFE26B0A"/>
      </font>
    </dxf>
    <dxf>
      <font>
        <name val="Arial"/>
        <charset val="1"/>
        <family val="0"/>
        <b val="1"/>
        <color rgb="FFBF8F00"/>
      </font>
    </dxf>
    <dxf>
      <font>
        <name val="Arial"/>
        <charset val="1"/>
        <family val="0"/>
        <b val="1"/>
        <color rgb="FF7F6000"/>
      </font>
    </dxf>
    <dxf>
      <font>
        <name val="Arial"/>
        <charset val="1"/>
        <family val="0"/>
        <b val="1"/>
        <color rgb="FF008555"/>
      </font>
    </dxf>
    <dxf>
      <font>
        <name val="Arial"/>
        <charset val="1"/>
        <family val="0"/>
        <b val="1"/>
        <color rgb="FF808080"/>
      </font>
    </dxf>
    <dxf>
      <fill>
        <patternFill>
          <bgColor rgb="FFF8CBAD"/>
        </patternFill>
      </fill>
    </dxf>
    <dxf>
      <fill>
        <patternFill>
          <bgColor rgb="FFE6F2ED"/>
        </patternFill>
      </fill>
    </dxf>
    <dxf>
      <font>
        <name val="Arial"/>
        <charset val="1"/>
        <family val="0"/>
        <b val="1"/>
        <color rgb="FFC00000"/>
      </font>
      <fill>
        <patternFill>
          <bgColor rgb="FFFFC7CE"/>
        </patternFill>
      </fill>
    </dxf>
  </dxfs>
  <colors>
    <indexedColors>
      <rgbColor rgb="FF000000"/>
      <rgbColor rgb="FFFFFFFF"/>
      <rgbColor rgb="FFC00000"/>
      <rgbColor rgb="FF00FF00"/>
      <rgbColor rgb="FF0000FF"/>
      <rgbColor rgb="FFFFFF00"/>
      <rgbColor rgb="FFFF00FF"/>
      <rgbColor rgb="FF00FFFF"/>
      <rgbColor rgb="FF8B0000"/>
      <rgbColor rgb="FF008000"/>
      <rgbColor rgb="FF000080"/>
      <rgbColor rgb="FF7F6000"/>
      <rgbColor rgb="FF800080"/>
      <rgbColor rgb="FF008555"/>
      <rgbColor rgb="FFBFBFBF"/>
      <rgbColor rgb="FF808080"/>
      <rgbColor rgb="FF9999FF"/>
      <rgbColor rgb="FF7030A0"/>
      <rgbColor rgb="FFFFF2CC"/>
      <rgbColor rgb="FFE6F2ED"/>
      <rgbColor rgb="FF660066"/>
      <rgbColor rgb="FFBF8F00"/>
      <rgbColor rgb="FF0066CC"/>
      <rgbColor rgb="FFD9D9D9"/>
      <rgbColor rgb="FF000080"/>
      <rgbColor rgb="FFFF00FF"/>
      <rgbColor rgb="FFFFFF00"/>
      <rgbColor rgb="FF00FFFF"/>
      <rgbColor rgb="FF800080"/>
      <rgbColor rgb="FF800000"/>
      <rgbColor rgb="FF006B44"/>
      <rgbColor rgb="FF0000FF"/>
      <rgbColor rgb="FF00CCFF"/>
      <rgbColor rgb="FFE7E6E6"/>
      <rgbColor rgb="FFCCFFCC"/>
      <rgbColor rgb="FFFFFF99"/>
      <rgbColor rgb="FF99CCFF"/>
      <rgbColor rgb="FFFFC7CE"/>
      <rgbColor rgb="FFCC99FF"/>
      <rgbColor rgb="FFF8CBAD"/>
      <rgbColor rgb="FF4F81BD"/>
      <rgbColor rgb="FF4BACC6"/>
      <rgbColor rgb="FF9BBB59"/>
      <rgbColor rgb="FFF2C200"/>
      <rgbColor rgb="FFF79646"/>
      <rgbColor rgb="FFE26B0A"/>
      <rgbColor rgb="FF8064A2"/>
      <rgbColor rgb="FF878787"/>
      <rgbColor rgb="FF005A3C"/>
      <rgbColor rgb="FF339966"/>
      <rgbColor rgb="FF003300"/>
      <rgbColor rgb="FF333300"/>
      <rgbColor rgb="FF993300"/>
      <rgbColor rgb="FFC0504D"/>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Detection Results</a:t>
            </a:r>
          </a:p>
        </c:rich>
      </c:tx>
      <c:overlay val="0"/>
      <c:spPr>
        <a:noFill/>
        <a:ln w="0">
          <a:noFill/>
        </a:ln>
      </c:spPr>
    </c:title>
    <c:autoTitleDeleted val="0"/>
    <c:plotArea>
      <c:pieChart>
        <c:varyColors val="1"/>
        <c:ser>
          <c:idx val="0"/>
          <c:order val="0"/>
          <c:tx>
            <c:strRef>
              <c:f>Dashboard!F3</c:f>
              <c:strCache>
                <c:ptCount val="1"/>
                <c:pt idx="0">
                  <c:v>Count</c:v>
                </c:pt>
              </c:strCache>
            </c:strRef>
          </c:tx>
          <c:spPr>
            <a:solidFill>
              <a:srgbClr val="4f81bd"/>
            </a:solidFill>
            <a:ln w="0">
              <a:noFill/>
            </a:ln>
          </c:spPr>
          <c:explosion val="0"/>
          <c:dPt>
            <c:idx val="0"/>
            <c:spPr>
              <a:solidFill>
                <a:srgbClr val="008555"/>
              </a:solidFill>
              <a:ln w="0">
                <a:noFill/>
              </a:ln>
            </c:spPr>
          </c:dPt>
          <c:dPt>
            <c:idx val="1"/>
            <c:spPr>
              <a:solidFill>
                <a:srgbClr val="f2c200"/>
              </a:solidFill>
              <a:ln w="0">
                <a:noFill/>
              </a:ln>
            </c:spPr>
          </c:dPt>
          <c:dPt>
            <c:idx val="2"/>
            <c:spPr>
              <a:solidFill>
                <a:srgbClr val="e26b0a"/>
              </a:solidFill>
              <a:ln w="0">
                <a:noFill/>
              </a:ln>
            </c:spPr>
          </c:dPt>
          <c:dPt>
            <c:idx val="3"/>
            <c:spPr>
              <a:solidFill>
                <a:srgbClr val="c0504d"/>
              </a:solidFill>
              <a:ln w="0">
                <a:noFill/>
              </a:ln>
            </c:spPr>
          </c:dPt>
          <c:dPt>
            <c:idx val="4"/>
            <c:spPr>
              <a:solidFill>
                <a:srgbClr val="8b0000"/>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Dashboard!$E$4:$E$8</c:f>
              <c:strCache>
                <c:ptCount val="5"/>
                <c:pt idx="0">
                  <c:v>Detected - Within SLA</c:v>
                </c:pt>
                <c:pt idx="1">
                  <c:v>Detected - SLA Breach</c:v>
                </c:pt>
                <c:pt idx="2">
                  <c:v>Triage Delay</c:v>
                </c:pt>
                <c:pt idx="3">
                  <c:v>Missed Alert</c:v>
                </c:pt>
                <c:pt idx="4">
                  <c:v>Telemetry Blind Spot</c:v>
                </c:pt>
              </c:strCache>
            </c:strRef>
          </c:cat>
          <c:val>
            <c:numRef>
              <c:f>Dashboard!$F$4:$F$8</c:f>
              <c:numCache>
                <c:formatCode>0</c:formatCode>
                <c:ptCount val="5"/>
                <c:pt idx="0">
                  <c:v>9</c:v>
                </c:pt>
                <c:pt idx="1">
                  <c:v>0</c:v>
                </c:pt>
                <c:pt idx="2">
                  <c:v>3</c:v>
                </c:pt>
                <c:pt idx="3">
                  <c:v>2</c:v>
                </c:pt>
                <c:pt idx="4">
                  <c:v>2</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Containment Results</a:t>
            </a:r>
          </a:p>
        </c:rich>
      </c:tx>
      <c:overlay val="0"/>
      <c:spPr>
        <a:noFill/>
        <a:ln w="0">
          <a:noFill/>
        </a:ln>
      </c:spPr>
    </c:title>
    <c:autoTitleDeleted val="0"/>
    <c:plotArea>
      <c:pieChart>
        <c:varyColors val="1"/>
        <c:ser>
          <c:idx val="0"/>
          <c:order val="0"/>
          <c:tx>
            <c:strRef>
              <c:f>Dashboard!J3</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Pt>
            <c:idx val="4"/>
            <c:spPr>
              <a:solidFill>
                <a:srgbClr val="4bacc6"/>
              </a:solidFill>
              <a:ln w="0">
                <a:noFill/>
              </a:ln>
            </c:spPr>
          </c:dPt>
          <c:dPt>
            <c:idx val="5"/>
            <c:spPr>
              <a:solidFill>
                <a:srgbClr val="f79646"/>
              </a:solidFill>
              <a:ln w="0">
                <a:noFill/>
              </a:ln>
            </c:spPr>
          </c:dPt>
          <c:dLbls>
            <c:dLbl>
              <c:idx val="0"/>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dLblPos val="bestFit"/>
            <c:showLegendKey val="1"/>
            <c:showVal val="1"/>
            <c:showCatName val="1"/>
            <c:showSerName val="1"/>
            <c:showPercent val="1"/>
            <c:separator>; </c:separator>
            <c:showLeaderLines val="1"/>
          </c:dLbls>
          <c:cat>
            <c:strRef>
              <c:f>Dashboard!$I$4:$I$9</c:f>
              <c:strCache>
                <c:ptCount val="6"/>
                <c:pt idx="0">
                  <c:v>Contained - Within SLA</c:v>
                </c:pt>
                <c:pt idx="1">
                  <c:v>Contained - SLA Breach</c:v>
                </c:pt>
                <c:pt idx="2">
                  <c:v>C2 Persisted</c:v>
                </c:pt>
                <c:pt idx="3">
                  <c:v>Host Isolation Gap</c:v>
                </c:pt>
                <c:pt idx="4">
                  <c:v>No Containment Action</c:v>
                </c:pt>
                <c:pt idx="5">
                  <c:v>N/A - Not Detected</c:v>
                </c:pt>
              </c:strCache>
            </c:strRef>
          </c:cat>
          <c:val>
            <c:numRef>
              <c:f>Dashboard!$J$4:$J$9</c:f>
              <c:numCache>
                <c:formatCode>0</c:formatCode>
                <c:ptCount val="6"/>
                <c:pt idx="0">
                  <c:v>9</c:v>
                </c:pt>
                <c:pt idx="1">
                  <c:v>0</c:v>
                </c:pt>
                <c:pt idx="2">
                  <c:v>2</c:v>
                </c:pt>
                <c:pt idx="3">
                  <c:v>1</c:v>
                </c:pt>
                <c:pt idx="4">
                  <c:v>0</c:v>
                </c:pt>
                <c:pt idx="5">
                  <c:v>4</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Mean TTD by Tactic (min)</a:t>
            </a:r>
          </a:p>
        </c:rich>
      </c:tx>
      <c:overlay val="0"/>
      <c:spPr>
        <a:noFill/>
        <a:ln w="0">
          <a:noFill/>
        </a:ln>
      </c:spPr>
    </c:title>
    <c:autoTitleDeleted val="0"/>
    <c:plotArea>
      <c:barChart>
        <c:barDir val="bar"/>
        <c:grouping val="clustered"/>
        <c:varyColors val="0"/>
        <c:ser>
          <c:idx val="0"/>
          <c:order val="0"/>
          <c:tx>
            <c:strRef>
              <c:f>Dashboard!F26</c:f>
              <c:strCache>
                <c:ptCount val="1"/>
                <c:pt idx="0">
                  <c:v>Mean TTD (min)</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Dashboard!$B$27:$B$40</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Dashboard!$F$27:$F$40</c:f>
              <c:numCache>
                <c:formatCode>#,##0.0</c:formatCode>
                <c:ptCount val="14"/>
                <c:pt idx="2">
                  <c:v>36.5</c:v>
                </c:pt>
                <c:pt idx="3">
                  <c:v>22.5</c:v>
                </c:pt>
                <c:pt idx="4">
                  <c:v>25</c:v>
                </c:pt>
                <c:pt idx="6">
                  <c:v>7.49999998846667</c:v>
                </c:pt>
                <c:pt idx="7">
                  <c:v>54</c:v>
                </c:pt>
                <c:pt idx="8">
                  <c:v>69.9999999767167</c:v>
                </c:pt>
                <c:pt idx="9">
                  <c:v>94</c:v>
                </c:pt>
              </c:numCache>
            </c:numRef>
          </c:val>
        </c:ser>
        <c:gapWidth val="150"/>
        <c:overlap val="0"/>
        <c:axId val="11894273"/>
        <c:axId val="9849803"/>
      </c:barChart>
      <c:catAx>
        <c:axId val="118942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49803"/>
        <c:crosses val="autoZero"/>
        <c:auto val="1"/>
        <c:lblAlgn val="ctr"/>
        <c:lblOffset val="100"/>
        <c:noMultiLvlLbl val="0"/>
      </c:catAx>
      <c:valAx>
        <c:axId val="9849803"/>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8942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Detection Rate by Tactic</a:t>
            </a:r>
          </a:p>
        </c:rich>
      </c:tx>
      <c:overlay val="0"/>
      <c:spPr>
        <a:noFill/>
        <a:ln w="0">
          <a:noFill/>
        </a:ln>
      </c:spPr>
    </c:title>
    <c:autoTitleDeleted val="0"/>
    <c:plotArea>
      <c:barChart>
        <c:barDir val="col"/>
        <c:grouping val="clustered"/>
        <c:varyColors val="0"/>
        <c:ser>
          <c:idx val="0"/>
          <c:order val="0"/>
          <c:tx>
            <c:strRef>
              <c:f>Dashboard!E26</c:f>
              <c:strCache>
                <c:ptCount val="1"/>
                <c:pt idx="0">
                  <c:v>Detection Rate</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Dashboard!$B$27:$B$40</c:f>
              <c:strCache>
                <c:ptCount val="14"/>
                <c:pt idx="0">
                  <c:v>Reconnaissance</c:v>
                </c:pt>
                <c:pt idx="1">
                  <c:v>Resource Development</c:v>
                </c:pt>
                <c:pt idx="2">
                  <c:v>Initial Access</c:v>
                </c:pt>
                <c:pt idx="3">
                  <c:v>Execution</c:v>
                </c:pt>
                <c:pt idx="4">
                  <c:v>Persistence</c:v>
                </c:pt>
                <c:pt idx="5">
                  <c:v>Privilege Escalation</c:v>
                </c:pt>
                <c:pt idx="6">
                  <c:v>Defense Evasion</c:v>
                </c:pt>
                <c:pt idx="7">
                  <c:v>Credential Access</c:v>
                </c:pt>
                <c:pt idx="8">
                  <c:v>Discovery</c:v>
                </c:pt>
                <c:pt idx="9">
                  <c:v>Lateral Movement</c:v>
                </c:pt>
                <c:pt idx="10">
                  <c:v>Collection</c:v>
                </c:pt>
                <c:pt idx="11">
                  <c:v>Command and Control</c:v>
                </c:pt>
                <c:pt idx="12">
                  <c:v>Exfiltration</c:v>
                </c:pt>
                <c:pt idx="13">
                  <c:v>Impact</c:v>
                </c:pt>
              </c:strCache>
            </c:strRef>
          </c:cat>
          <c:val>
            <c:numRef>
              <c:f>Dashboard!$E$27:$E$40</c:f>
              <c:numCache>
                <c:formatCode>0.0%</c:formatCode>
                <c:ptCount val="14"/>
                <c:pt idx="2">
                  <c:v>1</c:v>
                </c:pt>
                <c:pt idx="3">
                  <c:v>1</c:v>
                </c:pt>
                <c:pt idx="4">
                  <c:v>0.5</c:v>
                </c:pt>
                <c:pt idx="6">
                  <c:v>1</c:v>
                </c:pt>
                <c:pt idx="7">
                  <c:v>1</c:v>
                </c:pt>
                <c:pt idx="8">
                  <c:v>0.5</c:v>
                </c:pt>
                <c:pt idx="9">
                  <c:v>1</c:v>
                </c:pt>
                <c:pt idx="11">
                  <c:v>0</c:v>
                </c:pt>
              </c:numCache>
            </c:numRef>
          </c:val>
        </c:ser>
        <c:gapWidth val="150"/>
        <c:overlap val="0"/>
        <c:axId val="86467038"/>
        <c:axId val="87190567"/>
      </c:barChart>
      <c:catAx>
        <c:axId val="8646703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90567"/>
        <c:crosses val="autoZero"/>
        <c:auto val="1"/>
        <c:lblAlgn val="ctr"/>
        <c:lblOffset val="100"/>
        <c:noMultiLvlLbl val="0"/>
      </c:catAx>
      <c:valAx>
        <c:axId val="87190567"/>
        <c:scaling>
          <c:orientation val="minMax"/>
          <c:max val="1"/>
          <c:min val="0"/>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46703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Engagement Trend: Mean TTD vs TTC (min)</a:t>
            </a:r>
          </a:p>
        </c:rich>
      </c:tx>
      <c:overlay val="0"/>
      <c:spPr>
        <a:noFill/>
        <a:ln w="0">
          <a:noFill/>
        </a:ln>
      </c:spPr>
    </c:title>
    <c:autoTitleDeleted val="0"/>
    <c:plotArea>
      <c:barChart>
        <c:barDir val="col"/>
        <c:grouping val="clustered"/>
        <c:varyColors val="0"/>
        <c:ser>
          <c:idx val="0"/>
          <c:order val="0"/>
          <c:tx>
            <c:strRef>
              <c:f>Dashboard!F63</c:f>
              <c:strCache>
                <c:ptCount val="1"/>
                <c:pt idx="0">
                  <c:v>Mean TTD (min)</c:v>
                </c:pt>
              </c:strCache>
            </c:strRef>
          </c:tx>
          <c:spPr>
            <a:solidFill>
              <a:srgbClr val="008555"/>
            </a:solidFill>
            <a:ln w="0">
              <a:solidFill>
                <a:srgbClr val="008555"/>
              </a:solid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Dashboard!$B$64:$B$65</c:f>
              <c:strCache>
                <c:ptCount val="2"/>
                <c:pt idx="0">
                  <c:v>Q2-2026 Engagement</c:v>
                </c:pt>
                <c:pt idx="1">
                  <c:v>Q3-2026 Engagement</c:v>
                </c:pt>
              </c:strCache>
            </c:strRef>
          </c:cat>
          <c:val>
            <c:numRef>
              <c:f>Dashboard!$F$64:$F$65</c:f>
              <c:numCache>
                <c:formatCode>#,##0.0</c:formatCode>
                <c:ptCount val="2"/>
                <c:pt idx="0">
                  <c:v>66.7999999953867</c:v>
                </c:pt>
                <c:pt idx="1">
                  <c:v>27.142857139531</c:v>
                </c:pt>
              </c:numCache>
            </c:numRef>
          </c:val>
        </c:ser>
        <c:ser>
          <c:idx val="1"/>
          <c:order val="1"/>
          <c:tx>
            <c:strRef>
              <c:f>Dashboard!K63</c:f>
              <c:strCache>
                <c:ptCount val="1"/>
                <c:pt idx="0">
                  <c:v>Mean TTC (min)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Dashboard!$B$64:$B$65</c:f>
              <c:strCache>
                <c:ptCount val="2"/>
                <c:pt idx="0">
                  <c:v>Q2-2026 Engagement</c:v>
                </c:pt>
                <c:pt idx="1">
                  <c:v>Q3-2026 Engagement</c:v>
                </c:pt>
              </c:strCache>
            </c:strRef>
          </c:cat>
          <c:val>
            <c:numRef>
              <c:f>Dashboard!$K$64:$K$65</c:f>
              <c:numCache>
                <c:formatCode>#,##0.0</c:formatCode>
                <c:ptCount val="2"/>
                <c:pt idx="0">
                  <c:v>80</c:v>
                </c:pt>
                <c:pt idx="1">
                  <c:v>30.5</c:v>
                </c:pt>
              </c:numCache>
            </c:numRef>
          </c:val>
        </c:ser>
        <c:gapWidth val="150"/>
        <c:overlap val="0"/>
        <c:axId val="64105969"/>
        <c:axId val="76220547"/>
      </c:barChart>
      <c:catAx>
        <c:axId val="641059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220547"/>
        <c:crosses val="autoZero"/>
        <c:auto val="1"/>
        <c:lblAlgn val="ctr"/>
        <c:lblOffset val="100"/>
        <c:noMultiLvlLbl val="0"/>
      </c:catAx>
      <c:valAx>
        <c:axId val="76220547"/>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1059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15</xdr:col>
      <xdr:colOff>0</xdr:colOff>
      <xdr:row>1</xdr:row>
      <xdr:rowOff>100800</xdr:rowOff>
    </xdr:from>
    <xdr:to>
      <xdr:col>22</xdr:col>
      <xdr:colOff>39240</xdr:colOff>
      <xdr:row>15</xdr:row>
      <xdr:rowOff>21240</xdr:rowOff>
    </xdr:to>
    <xdr:graphicFrame>
      <xdr:nvGraphicFramePr>
        <xdr:cNvPr id="0" name="Chart 1"/>
        <xdr:cNvGraphicFramePr/>
      </xdr:nvGraphicFramePr>
      <xdr:xfrm>
        <a:off x="11913840" y="380880"/>
        <a:ext cx="43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0</xdr:colOff>
      <xdr:row>1</xdr:row>
      <xdr:rowOff>100800</xdr:rowOff>
    </xdr:from>
    <xdr:to>
      <xdr:col>30</xdr:col>
      <xdr:colOff>39240</xdr:colOff>
      <xdr:row>15</xdr:row>
      <xdr:rowOff>21240</xdr:rowOff>
    </xdr:to>
    <xdr:graphicFrame>
      <xdr:nvGraphicFramePr>
        <xdr:cNvPr id="1" name="Chart 2"/>
        <xdr:cNvGraphicFramePr/>
      </xdr:nvGraphicFramePr>
      <xdr:xfrm>
        <a:off x="16805880" y="380880"/>
        <a:ext cx="43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16</xdr:row>
      <xdr:rowOff>178920</xdr:rowOff>
    </xdr:from>
    <xdr:to>
      <xdr:col>24</xdr:col>
      <xdr:colOff>255960</xdr:colOff>
      <xdr:row>30</xdr:row>
      <xdr:rowOff>70200</xdr:rowOff>
    </xdr:to>
    <xdr:graphicFrame>
      <xdr:nvGraphicFramePr>
        <xdr:cNvPr id="2" name="Chart 3"/>
        <xdr:cNvGraphicFramePr/>
      </xdr:nvGraphicFramePr>
      <xdr:xfrm>
        <a:off x="11913840" y="342900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0</xdr:colOff>
      <xdr:row>16</xdr:row>
      <xdr:rowOff>178920</xdr:rowOff>
    </xdr:from>
    <xdr:to>
      <xdr:col>32</xdr:col>
      <xdr:colOff>255960</xdr:colOff>
      <xdr:row>30</xdr:row>
      <xdr:rowOff>70200</xdr:rowOff>
    </xdr:to>
    <xdr:graphicFrame>
      <xdr:nvGraphicFramePr>
        <xdr:cNvPr id="3" name="Chart 4"/>
        <xdr:cNvGraphicFramePr/>
      </xdr:nvGraphicFramePr>
      <xdr:xfrm>
        <a:off x="16805880" y="3429000"/>
        <a:ext cx="575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34</xdr:row>
      <xdr:rowOff>69480</xdr:rowOff>
    </xdr:from>
    <xdr:to>
      <xdr:col>23</xdr:col>
      <xdr:colOff>147600</xdr:colOff>
      <xdr:row>45</xdr:row>
      <xdr:rowOff>172080</xdr:rowOff>
    </xdr:to>
    <xdr:graphicFrame>
      <xdr:nvGraphicFramePr>
        <xdr:cNvPr id="4" name="Chart 5"/>
        <xdr:cNvGraphicFramePr/>
      </xdr:nvGraphicFramePr>
      <xdr:xfrm>
        <a:off x="11913840" y="7429680"/>
        <a:ext cx="5039640" cy="287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00"/>
  </cols>
  <sheetData>
    <row r="2" customFormat="false" ht="22.05" hidden="false" customHeight="false" outlineLevel="0" collapsed="false">
      <c r="B2" s="1" t="s">
        <v>0</v>
      </c>
    </row>
    <row r="4" customFormat="false" ht="30" hidden="false" customHeight="true" outlineLevel="0" collapsed="false">
      <c r="B4" s="2" t="s">
        <v>1</v>
      </c>
      <c r="C4" s="3" t="s">
        <v>2</v>
      </c>
    </row>
    <row r="5" customFormat="false" ht="30" hidden="false" customHeight="true" outlineLevel="0" collapsed="false">
      <c r="B5" s="2" t="s">
        <v>3</v>
      </c>
      <c r="C5" s="3" t="s">
        <v>4</v>
      </c>
    </row>
    <row r="6" customFormat="false" ht="60" hidden="false" customHeight="true" outlineLevel="0" collapsed="false">
      <c r="B6" s="2" t="s">
        <v>5</v>
      </c>
      <c r="C6" s="3" t="s">
        <v>6</v>
      </c>
    </row>
    <row r="7" customFormat="false" ht="30" hidden="false" customHeight="true" outlineLevel="0" collapsed="false">
      <c r="B7" s="2" t="s">
        <v>7</v>
      </c>
      <c r="C7" s="3" t="s">
        <v>8</v>
      </c>
    </row>
    <row r="8" customFormat="false" ht="90" hidden="false" customHeight="true" outlineLevel="0" collapsed="false">
      <c r="B8" s="2" t="s">
        <v>9</v>
      </c>
      <c r="C8" s="3" t="s">
        <v>10</v>
      </c>
    </row>
    <row r="9" customFormat="false" ht="135" hidden="false" customHeight="true" outlineLevel="0" collapsed="false">
      <c r="B9" s="2" t="s">
        <v>11</v>
      </c>
      <c r="C9" s="3" t="s">
        <v>12</v>
      </c>
    </row>
    <row r="10" customFormat="false" ht="60" hidden="false" customHeight="true" outlineLevel="0" collapsed="false">
      <c r="B10" s="2" t="s">
        <v>13</v>
      </c>
      <c r="C10" s="3" t="s">
        <v>14</v>
      </c>
    </row>
    <row r="11" customFormat="false" ht="60" hidden="false" customHeight="true" outlineLevel="0" collapsed="false">
      <c r="B11" s="2" t="s">
        <v>15</v>
      </c>
      <c r="C11" s="3" t="s">
        <v>16</v>
      </c>
    </row>
    <row r="12" customFormat="false" ht="135" hidden="false" customHeight="true" outlineLevel="0" collapsed="false">
      <c r="B12" s="2" t="s">
        <v>17</v>
      </c>
      <c r="C12" s="3" t="s">
        <v>18</v>
      </c>
    </row>
    <row r="13" customFormat="false" ht="165" hidden="false" customHeight="true" outlineLevel="0" collapsed="false">
      <c r="B13" s="2" t="s">
        <v>19</v>
      </c>
      <c r="C13" s="3" t="s">
        <v>20</v>
      </c>
    </row>
    <row r="14" customFormat="false" ht="105" hidden="false" customHeight="true" outlineLevel="0" collapsed="false">
      <c r="B14" s="2" t="s">
        <v>21</v>
      </c>
      <c r="C14" s="3" t="s">
        <v>22</v>
      </c>
    </row>
    <row r="15" customFormat="false" ht="18" hidden="false" customHeight="true" outlineLevel="0" collapsed="false">
      <c r="B15" s="2" t="s">
        <v>23</v>
      </c>
      <c r="C15" s="3" t="s">
        <v>24</v>
      </c>
    </row>
    <row r="16" customFormat="false" ht="30" hidden="false" customHeight="true" outlineLevel="0" collapsed="false">
      <c r="B16" s="2" t="s">
        <v>25</v>
      </c>
      <c r="C16" s="3" t="s">
        <v>26</v>
      </c>
    </row>
    <row r="17" customFormat="false" ht="30" hidden="false" customHeight="true" outlineLevel="0" collapsed="false">
      <c r="B17" s="2" t="s">
        <v>27</v>
      </c>
      <c r="C17" s="3"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3"/>
    <col collapsed="false" customWidth="true" hidden="false" outlineLevel="0" max="4" min="4" style="0" width="3"/>
    <col collapsed="false" customWidth="true" hidden="false" outlineLevel="0" max="5" min="5" style="0" width="24"/>
    <col collapsed="false" customWidth="true" hidden="false" outlineLevel="0" max="7" min="6" style="0" width="11"/>
    <col collapsed="false" customWidth="true" hidden="false" outlineLevel="0" max="8" min="8" style="0" width="3"/>
    <col collapsed="false" customWidth="true" hidden="false" outlineLevel="0" max="9" min="9" style="0" width="24"/>
    <col collapsed="false" customWidth="true" hidden="false" outlineLevel="0" max="10" min="10" style="0" width="11"/>
    <col collapsed="false" customWidth="true" hidden="false" outlineLevel="0" max="11" min="11" style="0" width="12"/>
    <col collapsed="false" customWidth="true" hidden="false" outlineLevel="0" max="12" min="12" style="0" width="3"/>
  </cols>
  <sheetData>
    <row r="1" customFormat="false" ht="22.05" hidden="false" customHeight="false" outlineLevel="0" collapsed="false">
      <c r="B1" s="1" t="s">
        <v>29</v>
      </c>
    </row>
    <row r="2" customFormat="false" ht="15" hidden="false" customHeight="false" outlineLevel="0" collapsed="false">
      <c r="B2" s="4" t="s">
        <v>30</v>
      </c>
      <c r="I2" s="5" t="s">
        <v>31</v>
      </c>
    </row>
    <row r="3" customFormat="false" ht="15" hidden="false" customHeight="false" outlineLevel="0" collapsed="false">
      <c r="B3" s="6" t="s">
        <v>32</v>
      </c>
      <c r="C3" s="6" t="s">
        <v>33</v>
      </c>
      <c r="E3" s="6" t="s">
        <v>34</v>
      </c>
      <c r="F3" s="6" t="s">
        <v>35</v>
      </c>
      <c r="G3" s="6" t="s">
        <v>36</v>
      </c>
      <c r="I3" s="7" t="s">
        <v>37</v>
      </c>
      <c r="J3" s="7" t="s">
        <v>35</v>
      </c>
      <c r="K3" s="7" t="s">
        <v>36</v>
      </c>
    </row>
    <row r="4" customFormat="false" ht="15" hidden="false" customHeight="false" outlineLevel="0" collapsed="false">
      <c r="B4" s="8" t="s">
        <v>38</v>
      </c>
      <c r="C4" s="9" t="n">
        <f aca="false">COUNTIF('Activity &amp; Event Log'!$G$5:$G$504,"?*")</f>
        <v>16</v>
      </c>
      <c r="E4" s="10" t="s">
        <v>39</v>
      </c>
      <c r="F4" s="11" t="n">
        <f aca="false">COUNTIF('Activity &amp; Event Log'!$V$5:$V$504,E4)</f>
        <v>9</v>
      </c>
      <c r="G4" s="12" t="n">
        <f aca="false">IFERROR(F4/$C$4,0)</f>
        <v>0.5625</v>
      </c>
      <c r="I4" s="10" t="s">
        <v>40</v>
      </c>
      <c r="J4" s="11" t="n">
        <f aca="false">COUNTIF('Activity &amp; Event Log'!$AI$5:$AI$504,I4)</f>
        <v>9</v>
      </c>
      <c r="K4" s="12" t="n">
        <f aca="false">IFERROR(J4/$C$4,"")</f>
        <v>0.5625</v>
      </c>
    </row>
    <row r="5" customFormat="false" ht="15" hidden="false" customHeight="false" outlineLevel="0" collapsed="false">
      <c r="B5" s="8" t="s">
        <v>41</v>
      </c>
      <c r="C5" s="9" t="n">
        <f aca="false">SUM('Activity &amp; Event Log'!$W$5:$W$504)</f>
        <v>12</v>
      </c>
      <c r="E5" s="10" t="s">
        <v>42</v>
      </c>
      <c r="F5" s="11" t="n">
        <f aca="false">COUNTIF('Activity &amp; Event Log'!$V$5:$V$504,E5)</f>
        <v>0</v>
      </c>
      <c r="G5" s="12" t="n">
        <f aca="false">IFERROR(F5/$C$4,0)</f>
        <v>0</v>
      </c>
      <c r="I5" s="10" t="s">
        <v>43</v>
      </c>
      <c r="J5" s="11" t="n">
        <f aca="false">COUNTIF('Activity &amp; Event Log'!$AI$5:$AI$504,I5)</f>
        <v>0</v>
      </c>
      <c r="K5" s="12" t="n">
        <f aca="false">IFERROR(J5/$C$4,"")</f>
        <v>0</v>
      </c>
    </row>
    <row r="6" customFormat="false" ht="15" hidden="false" customHeight="false" outlineLevel="0" collapsed="false">
      <c r="B6" s="8" t="s">
        <v>44</v>
      </c>
      <c r="C6" s="13" t="n">
        <f aca="false">IFERROR(C5/C4,0)</f>
        <v>0.75</v>
      </c>
      <c r="E6" s="10" t="s">
        <v>45</v>
      </c>
      <c r="F6" s="11" t="n">
        <f aca="false">COUNTIF('Activity &amp; Event Log'!$V$5:$V$504,E6)</f>
        <v>3</v>
      </c>
      <c r="G6" s="12" t="n">
        <f aca="false">IFERROR(F6/$C$4,0)</f>
        <v>0.1875</v>
      </c>
      <c r="I6" s="10" t="s">
        <v>46</v>
      </c>
      <c r="J6" s="11" t="n">
        <f aca="false">COUNTIF('Activity &amp; Event Log'!$AI$5:$AI$504,I6)</f>
        <v>2</v>
      </c>
      <c r="K6" s="12" t="n">
        <f aca="false">IFERROR(J6/$C$4,"")</f>
        <v>0.125</v>
      </c>
    </row>
    <row r="7" customFormat="false" ht="15" hidden="false" customHeight="false" outlineLevel="0" collapsed="false">
      <c r="B7" s="8" t="s">
        <v>47</v>
      </c>
      <c r="C7" s="13" t="n">
        <f aca="false">IFERROR(COUNTIF('Activity &amp; Event Log'!$U$5:$U$504,"Yes")/C4,0)</f>
        <v>0.5625</v>
      </c>
      <c r="E7" s="10" t="s">
        <v>48</v>
      </c>
      <c r="F7" s="11" t="n">
        <f aca="false">COUNTIF('Activity &amp; Event Log'!$V$5:$V$504,E7)</f>
        <v>2</v>
      </c>
      <c r="G7" s="12" t="n">
        <f aca="false">IFERROR(F7/$C$4,0)</f>
        <v>0.125</v>
      </c>
      <c r="I7" s="10" t="s">
        <v>49</v>
      </c>
      <c r="J7" s="11" t="n">
        <f aca="false">COUNTIF('Activity &amp; Event Log'!$AI$5:$AI$504,I7)</f>
        <v>1</v>
      </c>
      <c r="K7" s="12" t="n">
        <f aca="false">IFERROR(J7/$C$4,"")</f>
        <v>0.0625</v>
      </c>
    </row>
    <row r="8" customFormat="false" ht="15" hidden="false" customHeight="false" outlineLevel="0" collapsed="false">
      <c r="B8" s="8" t="s">
        <v>50</v>
      </c>
      <c r="C8" s="14" t="n">
        <f aca="false">IFERROR(AVERAGE('Activity &amp; Event Log'!$S$5:$S$504),0)</f>
        <v>43.6666666628042</v>
      </c>
      <c r="E8" s="10" t="s">
        <v>51</v>
      </c>
      <c r="F8" s="11" t="n">
        <f aca="false">COUNTIF('Activity &amp; Event Log'!$V$5:$V$504,E8)</f>
        <v>2</v>
      </c>
      <c r="G8" s="12" t="n">
        <f aca="false">IFERROR(F8/$C$4,0)</f>
        <v>0.125</v>
      </c>
      <c r="I8" s="10" t="s">
        <v>52</v>
      </c>
      <c r="J8" s="11" t="n">
        <f aca="false">COUNTIF('Activity &amp; Event Log'!$AI$5:$AI$504,I8)</f>
        <v>0</v>
      </c>
      <c r="K8" s="12" t="n">
        <f aca="false">IFERROR(J8/$C$4,"")</f>
        <v>0</v>
      </c>
    </row>
    <row r="9" customFormat="false" ht="15" hidden="false" customHeight="false" outlineLevel="0" collapsed="false">
      <c r="B9" s="8" t="s">
        <v>53</v>
      </c>
      <c r="C9" s="14" t="n">
        <f aca="false">IFERROR(MEDIAN('Activity &amp; Event Log'!$S$5:$S$504),0)</f>
        <v>31.5</v>
      </c>
      <c r="I9" s="10" t="s">
        <v>54</v>
      </c>
      <c r="J9" s="11" t="n">
        <f aca="false">COUNTIF('Activity &amp; Event Log'!$AI$5:$AI$504,I9)</f>
        <v>4</v>
      </c>
      <c r="K9" s="12" t="n">
        <f aca="false">IFERROR(J9/$C$4,"")</f>
        <v>0.25</v>
      </c>
    </row>
    <row r="10" customFormat="false" ht="15" hidden="false" customHeight="false" outlineLevel="0" collapsed="false">
      <c r="B10" s="8" t="s">
        <v>55</v>
      </c>
      <c r="C10" s="14" t="n">
        <f aca="false">IFERROR(PERCENTILE('Activity &amp; Event Log'!$S$5:$S$504,0.9),0)</f>
        <v>92.4999999976717</v>
      </c>
      <c r="E10" s="6" t="s">
        <v>56</v>
      </c>
      <c r="F10" s="6" t="s">
        <v>57</v>
      </c>
      <c r="G10" s="6" t="s">
        <v>58</v>
      </c>
    </row>
    <row r="11" customFormat="false" ht="23.85" hidden="false" customHeight="false" outlineLevel="0" collapsed="false">
      <c r="B11" s="8" t="s">
        <v>59</v>
      </c>
      <c r="C11" s="14" t="n">
        <f aca="false">IFERROR(MAX('Activity &amp; Event Log'!$S$5:$S$504),0)</f>
        <v>140</v>
      </c>
      <c r="E11" s="10" t="s">
        <v>60</v>
      </c>
      <c r="F11" s="15" t="n">
        <f aca="false">IFERROR(AVERAGE('Activity &amp; Event Log'!$P$5:$P$504),0)</f>
        <v>1.71428571297143</v>
      </c>
      <c r="G11" s="15" t="n">
        <f aca="false">IFERROR(MAX('Activity &amp; Event Log'!$P$5:$P$504),0)</f>
        <v>5</v>
      </c>
      <c r="I11" s="7" t="s">
        <v>61</v>
      </c>
      <c r="J11" s="7" t="s">
        <v>57</v>
      </c>
      <c r="K11" s="7" t="s">
        <v>58</v>
      </c>
    </row>
    <row r="12" customFormat="false" ht="15" hidden="false" customHeight="false" outlineLevel="0" collapsed="false">
      <c r="B12" s="8" t="s">
        <v>62</v>
      </c>
      <c r="C12" s="9" t="n">
        <f aca="false">COUNTIFS('Activity &amp; Event Log'!$N$5:$N$504,"Open")+COUNTIFS('Activity &amp; Event Log'!$N$5:$N$504,"In Progress")</f>
        <v>1</v>
      </c>
      <c r="E12" s="10" t="s">
        <v>63</v>
      </c>
      <c r="F12" s="15" t="n">
        <f aca="false">IFERROR(AVERAGE('Activity &amp; Event Log'!$Q$5:$Q$504),0)</f>
        <v>3.37499999846667</v>
      </c>
      <c r="G12" s="15" t="n">
        <f aca="false">IFERROR(MAX('Activity &amp; Event Log'!$Q$5:$Q$504),0)</f>
        <v>11</v>
      </c>
      <c r="I12" s="10" t="s">
        <v>64</v>
      </c>
      <c r="J12" s="15" t="n">
        <f aca="false">IFERROR(AVERAGE('Activity &amp; Event Log'!$AC$5:$AC$504),0)</f>
        <v>10.4166666666667</v>
      </c>
      <c r="K12" s="15" t="n">
        <f aca="false">IFERROR(MAX('Activity &amp; Event Log'!$AC$5:$AC$504),0)</f>
        <v>40</v>
      </c>
    </row>
    <row r="13" customFormat="false" ht="15" hidden="false" customHeight="false" outlineLevel="0" collapsed="false">
      <c r="E13" s="10" t="s">
        <v>65</v>
      </c>
      <c r="F13" s="15" t="n">
        <f aca="false">IFERROR(AVERAGE('Activity &amp; Event Log'!$R$5:$R$504),0)</f>
        <v>38.7916666666667</v>
      </c>
      <c r="G13" s="15" t="n">
        <f aca="false">IFERROR(MAX('Activity &amp; Event Log'!$R$5:$R$504),0)</f>
        <v>129</v>
      </c>
      <c r="I13" s="10" t="s">
        <v>66</v>
      </c>
      <c r="J13" s="15" t="n">
        <f aca="false">IFERROR(AVERAGE('Activity &amp; Event Log'!$AD$5:$AD$504),0)</f>
        <v>16.4545454545455</v>
      </c>
      <c r="K13" s="15" t="n">
        <f aca="false">IFERROR(MAX('Activity &amp; Event Log'!$AD$5:$AD$504),0)</f>
        <v>45</v>
      </c>
    </row>
    <row r="14" customFormat="false" ht="15" hidden="false" customHeight="false" outlineLevel="0" collapsed="false">
      <c r="B14" s="6" t="s">
        <v>32</v>
      </c>
      <c r="C14" s="6" t="s">
        <v>33</v>
      </c>
      <c r="E14" s="8" t="s">
        <v>67</v>
      </c>
      <c r="F14" s="16" t="n">
        <f aca="false">IFERROR(AVERAGE('Activity &amp; Event Log'!$S$5:$S$504),0)</f>
        <v>43.6666666628042</v>
      </c>
      <c r="G14" s="16" t="n">
        <f aca="false">IFERROR(MAX('Activity &amp; Event Log'!$S$5:$S$504),0)</f>
        <v>140</v>
      </c>
      <c r="I14" s="10" t="s">
        <v>68</v>
      </c>
      <c r="J14" s="15" t="n">
        <f aca="false">IFERROR(AVERAGE('Activity &amp; Event Log'!$AE$5:$AE$504),0)</f>
        <v>27.4444444444444</v>
      </c>
      <c r="K14" s="15" t="n">
        <f aca="false">IFERROR(MAX('Activity &amp; Event Log'!$AE$5:$AE$504),0)</f>
        <v>70</v>
      </c>
    </row>
    <row r="15" customFormat="false" ht="15" hidden="false" customHeight="false" outlineLevel="0" collapsed="false">
      <c r="B15" s="8" t="s">
        <v>69</v>
      </c>
      <c r="C15" s="17" t="n">
        <f aca="false">SUM('Activity &amp; Event Log'!$W$5:$W$504)</f>
        <v>12</v>
      </c>
      <c r="I15" s="8" t="s">
        <v>70</v>
      </c>
      <c r="J15" s="16" t="n">
        <f aca="false">IFERROR(AVERAGE('Activity &amp; Event Log'!$AF$5:$AF$504),0)</f>
        <v>47</v>
      </c>
      <c r="K15" s="16" t="n">
        <f aca="false">IFERROR(MAX('Activity &amp; Event Log'!$AF$5:$AF$504),0)</f>
        <v>120</v>
      </c>
    </row>
    <row r="16" customFormat="false" ht="15" hidden="false" customHeight="false" outlineLevel="0" collapsed="false">
      <c r="B16" s="8" t="s">
        <v>71</v>
      </c>
      <c r="C16" s="17" t="n">
        <f aca="false">SUM('Activity &amp; Event Log'!$AJ$5:$AJ$504)</f>
        <v>9</v>
      </c>
    </row>
    <row r="17" customFormat="false" ht="15" hidden="false" customHeight="false" outlineLevel="0" collapsed="false">
      <c r="B17" s="8" t="s">
        <v>72</v>
      </c>
      <c r="C17" s="18" t="n">
        <f aca="false">IFERROR(C16/C15,0)</f>
        <v>0.75</v>
      </c>
    </row>
    <row r="18" customFormat="false" ht="15" hidden="false" customHeight="false" outlineLevel="0" collapsed="false">
      <c r="B18" s="8" t="s">
        <v>73</v>
      </c>
      <c r="C18" s="18" t="n">
        <f aca="false">IFERROR(COUNTIF('Activity &amp; Event Log'!$AH$5:$AH$504,"Yes")/MAX(C15,1),0)</f>
        <v>0.75</v>
      </c>
    </row>
    <row r="19" customFormat="false" ht="15" hidden="false" customHeight="false" outlineLevel="0" collapsed="false">
      <c r="B19" s="8" t="s">
        <v>74</v>
      </c>
      <c r="C19" s="19" t="n">
        <f aca="false">IFERROR(AVERAGE('Activity &amp; Event Log'!$AF$5:$AF$504),0)</f>
        <v>47</v>
      </c>
    </row>
    <row r="20" customFormat="false" ht="15" hidden="false" customHeight="false" outlineLevel="0" collapsed="false">
      <c r="B20" s="8" t="s">
        <v>75</v>
      </c>
      <c r="C20" s="19" t="n">
        <f aca="false">IFERROR(MEDIAN('Activity &amp; Event Log'!$AF$5:$AF$504),0)</f>
        <v>30</v>
      </c>
    </row>
    <row r="21" customFormat="false" ht="15" hidden="false" customHeight="false" outlineLevel="0" collapsed="false">
      <c r="B21" s="8" t="s">
        <v>76</v>
      </c>
      <c r="C21" s="19" t="n">
        <f aca="false">IFERROR(PERCENTILE('Activity &amp; Event Log'!$AF$5:$AF$504,0.9),0)</f>
        <v>96</v>
      </c>
    </row>
    <row r="22" customFormat="false" ht="15" hidden="false" customHeight="false" outlineLevel="0" collapsed="false">
      <c r="B22" s="8" t="s">
        <v>77</v>
      </c>
      <c r="C22" s="19" t="n">
        <f aca="false">IFERROR(MAX('Activity &amp; Event Log'!$AF$5:$AF$504),0)</f>
        <v>120</v>
      </c>
    </row>
    <row r="23" customFormat="false" ht="15" hidden="false" customHeight="false" outlineLevel="0" collapsed="false">
      <c r="B23" s="8" t="s">
        <v>78</v>
      </c>
      <c r="C23" s="17" t="n">
        <f aca="false">COUNTIF('Activity &amp; Event Log'!$AI$5:$AI$504,"C2 Persisted")</f>
        <v>2</v>
      </c>
    </row>
    <row r="25" customFormat="false" ht="15" hidden="false" customHeight="false" outlineLevel="0" collapsed="false">
      <c r="B25" s="20" t="s">
        <v>79</v>
      </c>
    </row>
    <row r="26" customFormat="false" ht="68.65" hidden="false" customHeight="false" outlineLevel="0" collapsed="false">
      <c r="B26" s="6" t="s">
        <v>80</v>
      </c>
      <c r="C26" s="6" t="s">
        <v>81</v>
      </c>
      <c r="D26" s="6" t="s">
        <v>82</v>
      </c>
      <c r="E26" s="6" t="s">
        <v>44</v>
      </c>
      <c r="F26" s="6" t="s">
        <v>50</v>
      </c>
      <c r="G26" s="6" t="s">
        <v>59</v>
      </c>
      <c r="H26" s="6" t="s">
        <v>83</v>
      </c>
      <c r="I26" s="6" t="s">
        <v>84</v>
      </c>
      <c r="J26" s="6" t="s">
        <v>85</v>
      </c>
      <c r="K26" s="6" t="s">
        <v>86</v>
      </c>
    </row>
    <row r="27" customFormat="false" ht="15" hidden="false" customHeight="false" outlineLevel="0" collapsed="false">
      <c r="B27" s="10" t="s">
        <v>87</v>
      </c>
      <c r="C27" s="11" t="n">
        <f aca="false">COUNTIFS('Activity &amp; Event Log'!$C$5:$C$504,$B27,'Activity &amp; Event Log'!$G$5:$G$504,"?*")</f>
        <v>0</v>
      </c>
      <c r="D27" s="11" t="n">
        <f aca="false">SUMIFS('Activity &amp; Event Log'!$W$5:$W$504,'Activity &amp; Event Log'!$C$5:$C$504,$B27)</f>
        <v>0</v>
      </c>
      <c r="E27" s="12" t="str">
        <f aca="false">IFERROR(D27/C27,"")</f>
        <v/>
      </c>
      <c r="F27" s="15" t="str">
        <f aca="false">IFERROR(AVERAGEIFS('Activity &amp; Event Log'!$S$5:$S$504,'Activity &amp; Event Log'!$C$5:$C$504,$B27),"")</f>
        <v/>
      </c>
      <c r="G27" s="15" t="str">
        <f aca="false">IF(D27=0,"",_xlfn.MAXIFS('Activity &amp; Event Log'!$S$5:$S$504,'Activity &amp; Event Log'!$C$5:$C$504,$B27))</f>
        <v/>
      </c>
      <c r="H27" s="12" t="str">
        <f aca="false">IFERROR(COUNTIFS('Activity &amp; Event Log'!$C$5:$C$504,$B27,'Activity &amp; Event Log'!$U$5:$U$504,"Yes")/C27,"")</f>
        <v/>
      </c>
      <c r="I27" s="11" t="n">
        <f aca="false">COUNTIFS('Activity &amp; Event Log'!$C$5:$C$504,$B27,'Activity &amp; Event Log'!$V$5:$V$504,"Missed Alert")</f>
        <v>0</v>
      </c>
      <c r="J27" s="11" t="n">
        <f aca="false">COUNTIFS('Activity &amp; Event Log'!$C$5:$C$504,$B27,'Activity &amp; Event Log'!$V$5:$V$504,"Telemetry Blind Spot")</f>
        <v>0</v>
      </c>
      <c r="K27" s="11" t="n">
        <f aca="false">COUNTIFS('Activity &amp; Event Log'!$C$5:$C$504,$B27,'Activity &amp; Event Log'!$V$5:$V$504,"Triage Delay")</f>
        <v>0</v>
      </c>
    </row>
    <row r="28" customFormat="false" ht="15" hidden="false" customHeight="false" outlineLevel="0" collapsed="false">
      <c r="B28" s="10" t="s">
        <v>88</v>
      </c>
      <c r="C28" s="11" t="n">
        <f aca="false">COUNTIFS('Activity &amp; Event Log'!$C$5:$C$504,$B28,'Activity &amp; Event Log'!$G$5:$G$504,"?*")</f>
        <v>0</v>
      </c>
      <c r="D28" s="11" t="n">
        <f aca="false">SUMIFS('Activity &amp; Event Log'!$W$5:$W$504,'Activity &amp; Event Log'!$C$5:$C$504,$B28)</f>
        <v>0</v>
      </c>
      <c r="E28" s="12" t="str">
        <f aca="false">IFERROR(D28/C28,"")</f>
        <v/>
      </c>
      <c r="F28" s="15" t="str">
        <f aca="false">IFERROR(AVERAGEIFS('Activity &amp; Event Log'!$S$5:$S$504,'Activity &amp; Event Log'!$C$5:$C$504,$B28),"")</f>
        <v/>
      </c>
      <c r="G28" s="15" t="str">
        <f aca="false">IF(D28=0,"",_xlfn.MAXIFS('Activity &amp; Event Log'!$S$5:$S$504,'Activity &amp; Event Log'!$C$5:$C$504,$B28))</f>
        <v/>
      </c>
      <c r="H28" s="12" t="str">
        <f aca="false">IFERROR(COUNTIFS('Activity &amp; Event Log'!$C$5:$C$504,$B28,'Activity &amp; Event Log'!$U$5:$U$504,"Yes")/C28,"")</f>
        <v/>
      </c>
      <c r="I28" s="11" t="n">
        <f aca="false">COUNTIFS('Activity &amp; Event Log'!$C$5:$C$504,$B28,'Activity &amp; Event Log'!$V$5:$V$504,"Missed Alert")</f>
        <v>0</v>
      </c>
      <c r="J28" s="11" t="n">
        <f aca="false">COUNTIFS('Activity &amp; Event Log'!$C$5:$C$504,$B28,'Activity &amp; Event Log'!$V$5:$V$504,"Telemetry Blind Spot")</f>
        <v>0</v>
      </c>
      <c r="K28" s="11" t="n">
        <f aca="false">COUNTIFS('Activity &amp; Event Log'!$C$5:$C$504,$B28,'Activity &amp; Event Log'!$V$5:$V$504,"Triage Delay")</f>
        <v>0</v>
      </c>
    </row>
    <row r="29" customFormat="false" ht="15" hidden="false" customHeight="false" outlineLevel="0" collapsed="false">
      <c r="B29" s="10" t="s">
        <v>89</v>
      </c>
      <c r="C29" s="11" t="n">
        <f aca="false">COUNTIFS('Activity &amp; Event Log'!$C$5:$C$504,$B29,'Activity &amp; Event Log'!$G$5:$G$504,"?*")</f>
        <v>2</v>
      </c>
      <c r="D29" s="11" t="n">
        <f aca="false">SUMIFS('Activity &amp; Event Log'!$W$5:$W$504,'Activity &amp; Event Log'!$C$5:$C$504,$B29)</f>
        <v>2</v>
      </c>
      <c r="E29" s="12" t="n">
        <f aca="false">IFERROR(D29/C29,"")</f>
        <v>1</v>
      </c>
      <c r="F29" s="15" t="n">
        <f aca="false">IFERROR(AVERAGEIFS('Activity &amp; Event Log'!$S$5:$S$504,'Activity &amp; Event Log'!$C$5:$C$504,$B29),"")</f>
        <v>36.5</v>
      </c>
      <c r="G29" s="15" t="n">
        <f aca="false">IF(D29=0,"",_xlfn.MAXIFS('Activity &amp; Event Log'!$S$5:$S$504,'Activity &amp; Event Log'!$C$5:$C$504,$B29))</f>
        <v>52</v>
      </c>
      <c r="H29" s="12" t="n">
        <f aca="false">IFERROR(COUNTIFS('Activity &amp; Event Log'!$C$5:$C$504,$B29,'Activity &amp; Event Log'!$U$5:$U$504,"Yes")/C29,"")</f>
        <v>1</v>
      </c>
      <c r="I29" s="11" t="n">
        <f aca="false">COUNTIFS('Activity &amp; Event Log'!$C$5:$C$504,$B29,'Activity &amp; Event Log'!$V$5:$V$504,"Missed Alert")</f>
        <v>0</v>
      </c>
      <c r="J29" s="11" t="n">
        <f aca="false">COUNTIFS('Activity &amp; Event Log'!$C$5:$C$504,$B29,'Activity &amp; Event Log'!$V$5:$V$504,"Telemetry Blind Spot")</f>
        <v>0</v>
      </c>
      <c r="K29" s="11" t="n">
        <f aca="false">COUNTIFS('Activity &amp; Event Log'!$C$5:$C$504,$B29,'Activity &amp; Event Log'!$V$5:$V$504,"Triage Delay")</f>
        <v>0</v>
      </c>
    </row>
    <row r="30" customFormat="false" ht="15" hidden="false" customHeight="false" outlineLevel="0" collapsed="false">
      <c r="B30" s="10" t="s">
        <v>90</v>
      </c>
      <c r="C30" s="11" t="n">
        <f aca="false">COUNTIFS('Activity &amp; Event Log'!$C$5:$C$504,$B30,'Activity &amp; Event Log'!$G$5:$G$504,"?*")</f>
        <v>2</v>
      </c>
      <c r="D30" s="11" t="n">
        <f aca="false">SUMIFS('Activity &amp; Event Log'!$W$5:$W$504,'Activity &amp; Event Log'!$C$5:$C$504,$B30)</f>
        <v>2</v>
      </c>
      <c r="E30" s="12" t="n">
        <f aca="false">IFERROR(D30/C30,"")</f>
        <v>1</v>
      </c>
      <c r="F30" s="15" t="n">
        <f aca="false">IFERROR(AVERAGEIFS('Activity &amp; Event Log'!$S$5:$S$504,'Activity &amp; Event Log'!$C$5:$C$504,$B30),"")</f>
        <v>22.5</v>
      </c>
      <c r="G30" s="15" t="n">
        <f aca="false">IF(D30=0,"",_xlfn.MAXIFS('Activity &amp; Event Log'!$S$5:$S$504,'Activity &amp; Event Log'!$C$5:$C$504,$B30))</f>
        <v>38</v>
      </c>
      <c r="H30" s="12" t="n">
        <f aca="false">IFERROR(COUNTIFS('Activity &amp; Event Log'!$C$5:$C$504,$B30,'Activity &amp; Event Log'!$U$5:$U$504,"Yes")/C30,"")</f>
        <v>0.5</v>
      </c>
      <c r="I30" s="11" t="n">
        <f aca="false">COUNTIFS('Activity &amp; Event Log'!$C$5:$C$504,$B30,'Activity &amp; Event Log'!$V$5:$V$504,"Missed Alert")</f>
        <v>0</v>
      </c>
      <c r="J30" s="11" t="n">
        <f aca="false">COUNTIFS('Activity &amp; Event Log'!$C$5:$C$504,$B30,'Activity &amp; Event Log'!$V$5:$V$504,"Telemetry Blind Spot")</f>
        <v>0</v>
      </c>
      <c r="K30" s="11" t="n">
        <f aca="false">COUNTIFS('Activity &amp; Event Log'!$C$5:$C$504,$B30,'Activity &amp; Event Log'!$V$5:$V$504,"Triage Delay")</f>
        <v>1</v>
      </c>
    </row>
    <row r="31" customFormat="false" ht="15" hidden="false" customHeight="false" outlineLevel="0" collapsed="false">
      <c r="B31" s="10" t="s">
        <v>91</v>
      </c>
      <c r="C31" s="11" t="n">
        <f aca="false">COUNTIFS('Activity &amp; Event Log'!$C$5:$C$504,$B31,'Activity &amp; Event Log'!$G$5:$G$504,"?*")</f>
        <v>2</v>
      </c>
      <c r="D31" s="11" t="n">
        <f aca="false">SUMIFS('Activity &amp; Event Log'!$W$5:$W$504,'Activity &amp; Event Log'!$C$5:$C$504,$B31)</f>
        <v>1</v>
      </c>
      <c r="E31" s="12" t="n">
        <f aca="false">IFERROR(D31/C31,"")</f>
        <v>0.5</v>
      </c>
      <c r="F31" s="15" t="n">
        <f aca="false">IFERROR(AVERAGEIFS('Activity &amp; Event Log'!$S$5:$S$504,'Activity &amp; Event Log'!$C$5:$C$504,$B31),"")</f>
        <v>25</v>
      </c>
      <c r="G31" s="15" t="n">
        <f aca="false">IF(D31=0,"",_xlfn.MAXIFS('Activity &amp; Event Log'!$S$5:$S$504,'Activity &amp; Event Log'!$C$5:$C$504,$B31))</f>
        <v>25</v>
      </c>
      <c r="H31" s="12" t="n">
        <f aca="false">IFERROR(COUNTIFS('Activity &amp; Event Log'!$C$5:$C$504,$B31,'Activity &amp; Event Log'!$U$5:$U$504,"Yes")/C31,"")</f>
        <v>0.5</v>
      </c>
      <c r="I31" s="11" t="n">
        <f aca="false">COUNTIFS('Activity &amp; Event Log'!$C$5:$C$504,$B31,'Activity &amp; Event Log'!$V$5:$V$504,"Missed Alert")</f>
        <v>1</v>
      </c>
      <c r="J31" s="11" t="n">
        <f aca="false">COUNTIFS('Activity &amp; Event Log'!$C$5:$C$504,$B31,'Activity &amp; Event Log'!$V$5:$V$504,"Telemetry Blind Spot")</f>
        <v>0</v>
      </c>
      <c r="K31" s="11" t="n">
        <f aca="false">COUNTIFS('Activity &amp; Event Log'!$C$5:$C$504,$B31,'Activity &amp; Event Log'!$V$5:$V$504,"Triage Delay")</f>
        <v>0</v>
      </c>
    </row>
    <row r="32" customFormat="false" ht="15" hidden="false" customHeight="false" outlineLevel="0" collapsed="false">
      <c r="B32" s="10" t="s">
        <v>92</v>
      </c>
      <c r="C32" s="11" t="n">
        <f aca="false">COUNTIFS('Activity &amp; Event Log'!$C$5:$C$504,$B32,'Activity &amp; Event Log'!$G$5:$G$504,"?*")</f>
        <v>0</v>
      </c>
      <c r="D32" s="11" t="n">
        <f aca="false">SUMIFS('Activity &amp; Event Log'!$W$5:$W$504,'Activity &amp; Event Log'!$C$5:$C$504,$B32)</f>
        <v>0</v>
      </c>
      <c r="E32" s="12" t="str">
        <f aca="false">IFERROR(D32/C32,"")</f>
        <v/>
      </c>
      <c r="F32" s="15" t="str">
        <f aca="false">IFERROR(AVERAGEIFS('Activity &amp; Event Log'!$S$5:$S$504,'Activity &amp; Event Log'!$C$5:$C$504,$B32),"")</f>
        <v/>
      </c>
      <c r="G32" s="15" t="str">
        <f aca="false">IF(D32=0,"",_xlfn.MAXIFS('Activity &amp; Event Log'!$S$5:$S$504,'Activity &amp; Event Log'!$C$5:$C$504,$B32))</f>
        <v/>
      </c>
      <c r="H32" s="12" t="str">
        <f aca="false">IFERROR(COUNTIFS('Activity &amp; Event Log'!$C$5:$C$504,$B32,'Activity &amp; Event Log'!$U$5:$U$504,"Yes")/C32,"")</f>
        <v/>
      </c>
      <c r="I32" s="11" t="n">
        <f aca="false">COUNTIFS('Activity &amp; Event Log'!$C$5:$C$504,$B32,'Activity &amp; Event Log'!$V$5:$V$504,"Missed Alert")</f>
        <v>0</v>
      </c>
      <c r="J32" s="11" t="n">
        <f aca="false">COUNTIFS('Activity &amp; Event Log'!$C$5:$C$504,$B32,'Activity &amp; Event Log'!$V$5:$V$504,"Telemetry Blind Spot")</f>
        <v>0</v>
      </c>
      <c r="K32" s="11" t="n">
        <f aca="false">COUNTIFS('Activity &amp; Event Log'!$C$5:$C$504,$B32,'Activity &amp; Event Log'!$V$5:$V$504,"Triage Delay")</f>
        <v>0</v>
      </c>
    </row>
    <row r="33" customFormat="false" ht="15" hidden="false" customHeight="false" outlineLevel="0" collapsed="false">
      <c r="B33" s="10" t="s">
        <v>93</v>
      </c>
      <c r="C33" s="11" t="n">
        <f aca="false">COUNTIFS('Activity &amp; Event Log'!$C$5:$C$504,$B33,'Activity &amp; Event Log'!$G$5:$G$504,"?*")</f>
        <v>2</v>
      </c>
      <c r="D33" s="11" t="n">
        <f aca="false">SUMIFS('Activity &amp; Event Log'!$W$5:$W$504,'Activity &amp; Event Log'!$C$5:$C$504,$B33)</f>
        <v>2</v>
      </c>
      <c r="E33" s="12" t="n">
        <f aca="false">IFERROR(D33/C33,"")</f>
        <v>1</v>
      </c>
      <c r="F33" s="15" t="n">
        <f aca="false">IFERROR(AVERAGEIFS('Activity &amp; Event Log'!$S$5:$S$504,'Activity &amp; Event Log'!$C$5:$C$504,$B33),"")</f>
        <v>7.49999998846667</v>
      </c>
      <c r="G33" s="15" t="n">
        <f aca="false">IF(D33=0,"",_xlfn.MAXIFS('Activity &amp; Event Log'!$S$5:$S$504,'Activity &amp; Event Log'!$C$5:$C$504,$B33))</f>
        <v>8.99999997693334</v>
      </c>
      <c r="H33" s="12" t="n">
        <f aca="false">IFERROR(COUNTIFS('Activity &amp; Event Log'!$C$5:$C$504,$B33,'Activity &amp; Event Log'!$U$5:$U$504,"Yes")/C33,"")</f>
        <v>1</v>
      </c>
      <c r="I33" s="11" t="n">
        <f aca="false">COUNTIFS('Activity &amp; Event Log'!$C$5:$C$504,$B33,'Activity &amp; Event Log'!$V$5:$V$504,"Missed Alert")</f>
        <v>0</v>
      </c>
      <c r="J33" s="11" t="n">
        <f aca="false">COUNTIFS('Activity &amp; Event Log'!$C$5:$C$504,$B33,'Activity &amp; Event Log'!$V$5:$V$504,"Telemetry Blind Spot")</f>
        <v>0</v>
      </c>
      <c r="K33" s="11" t="n">
        <f aca="false">COUNTIFS('Activity &amp; Event Log'!$C$5:$C$504,$B33,'Activity &amp; Event Log'!$V$5:$V$504,"Triage Delay")</f>
        <v>0</v>
      </c>
    </row>
    <row r="34" customFormat="false" ht="15" hidden="false" customHeight="false" outlineLevel="0" collapsed="false">
      <c r="B34" s="10" t="s">
        <v>94</v>
      </c>
      <c r="C34" s="11" t="n">
        <f aca="false">COUNTIFS('Activity &amp; Event Log'!$C$5:$C$504,$B34,'Activity &amp; Event Log'!$G$5:$G$504,"?*")</f>
        <v>2</v>
      </c>
      <c r="D34" s="11" t="n">
        <f aca="false">SUMIFS('Activity &amp; Event Log'!$W$5:$W$504,'Activity &amp; Event Log'!$C$5:$C$504,$B34)</f>
        <v>2</v>
      </c>
      <c r="E34" s="12" t="n">
        <f aca="false">IFERROR(D34/C34,"")</f>
        <v>1</v>
      </c>
      <c r="F34" s="15" t="n">
        <f aca="false">IFERROR(AVERAGEIFS('Activity &amp; Event Log'!$S$5:$S$504,'Activity &amp; Event Log'!$C$5:$C$504,$B34),"")</f>
        <v>54</v>
      </c>
      <c r="G34" s="15" t="n">
        <f aca="false">IF(D34=0,"",_xlfn.MAXIFS('Activity &amp; Event Log'!$S$5:$S$504,'Activity &amp; Event Log'!$C$5:$C$504,$B34))</f>
        <v>95</v>
      </c>
      <c r="H34" s="12" t="n">
        <f aca="false">IFERROR(COUNTIFS('Activity &amp; Event Log'!$C$5:$C$504,$B34,'Activity &amp; Event Log'!$U$5:$U$504,"Yes")/C34,"")</f>
        <v>0.5</v>
      </c>
      <c r="I34" s="11" t="n">
        <f aca="false">COUNTIFS('Activity &amp; Event Log'!$C$5:$C$504,$B34,'Activity &amp; Event Log'!$V$5:$V$504,"Missed Alert")</f>
        <v>0</v>
      </c>
      <c r="J34" s="11" t="n">
        <f aca="false">COUNTIFS('Activity &amp; Event Log'!$C$5:$C$504,$B34,'Activity &amp; Event Log'!$V$5:$V$504,"Telemetry Blind Spot")</f>
        <v>0</v>
      </c>
      <c r="K34" s="11" t="n">
        <f aca="false">COUNTIFS('Activity &amp; Event Log'!$C$5:$C$504,$B34,'Activity &amp; Event Log'!$V$5:$V$504,"Triage Delay")</f>
        <v>1</v>
      </c>
    </row>
    <row r="35" customFormat="false" ht="15" hidden="false" customHeight="false" outlineLevel="0" collapsed="false">
      <c r="B35" s="10" t="s">
        <v>95</v>
      </c>
      <c r="C35" s="11" t="n">
        <f aca="false">COUNTIFS('Activity &amp; Event Log'!$C$5:$C$504,$B35,'Activity &amp; Event Log'!$G$5:$G$504,"?*")</f>
        <v>2</v>
      </c>
      <c r="D35" s="11" t="n">
        <f aca="false">SUMIFS('Activity &amp; Event Log'!$W$5:$W$504,'Activity &amp; Event Log'!$C$5:$C$504,$B35)</f>
        <v>1</v>
      </c>
      <c r="E35" s="12" t="n">
        <f aca="false">IFERROR(D35/C35,"")</f>
        <v>0.5</v>
      </c>
      <c r="F35" s="15" t="n">
        <f aca="false">IFERROR(AVERAGEIFS('Activity &amp; Event Log'!$S$5:$S$504,'Activity &amp; Event Log'!$C$5:$C$504,$B35),"")</f>
        <v>69.9999999767167</v>
      </c>
      <c r="G35" s="15" t="n">
        <f aca="false">IF(D35=0,"",_xlfn.MAXIFS('Activity &amp; Event Log'!$S$5:$S$504,'Activity &amp; Event Log'!$C$5:$C$504,$B35))</f>
        <v>69.9999999767167</v>
      </c>
      <c r="H35" s="12" t="n">
        <f aca="false">IFERROR(COUNTIFS('Activity &amp; Event Log'!$C$5:$C$504,$B35,'Activity &amp; Event Log'!$U$5:$U$504,"Yes")/C35,"")</f>
        <v>0.5</v>
      </c>
      <c r="I35" s="11" t="n">
        <f aca="false">COUNTIFS('Activity &amp; Event Log'!$C$5:$C$504,$B35,'Activity &amp; Event Log'!$V$5:$V$504,"Missed Alert")</f>
        <v>0</v>
      </c>
      <c r="J35" s="11" t="n">
        <f aca="false">COUNTIFS('Activity &amp; Event Log'!$C$5:$C$504,$B35,'Activity &amp; Event Log'!$V$5:$V$504,"Telemetry Blind Spot")</f>
        <v>1</v>
      </c>
      <c r="K35" s="11" t="n">
        <f aca="false">COUNTIFS('Activity &amp; Event Log'!$C$5:$C$504,$B35,'Activity &amp; Event Log'!$V$5:$V$504,"Triage Delay")</f>
        <v>0</v>
      </c>
    </row>
    <row r="36" customFormat="false" ht="15" hidden="false" customHeight="false" outlineLevel="0" collapsed="false">
      <c r="B36" s="10" t="s">
        <v>96</v>
      </c>
      <c r="C36" s="11" t="n">
        <f aca="false">COUNTIFS('Activity &amp; Event Log'!$C$5:$C$504,$B36,'Activity &amp; Event Log'!$G$5:$G$504,"?*")</f>
        <v>2</v>
      </c>
      <c r="D36" s="11" t="n">
        <f aca="false">SUMIFS('Activity &amp; Event Log'!$W$5:$W$504,'Activity &amp; Event Log'!$C$5:$C$504,$B36)</f>
        <v>2</v>
      </c>
      <c r="E36" s="12" t="n">
        <f aca="false">IFERROR(D36/C36,"")</f>
        <v>1</v>
      </c>
      <c r="F36" s="15" t="n">
        <f aca="false">IFERROR(AVERAGEIFS('Activity &amp; Event Log'!$S$5:$S$504,'Activity &amp; Event Log'!$C$5:$C$504,$B36),"")</f>
        <v>94</v>
      </c>
      <c r="G36" s="15" t="n">
        <f aca="false">IF(D36=0,"",_xlfn.MAXIFS('Activity &amp; Event Log'!$S$5:$S$504,'Activity &amp; Event Log'!$C$5:$C$504,$B36))</f>
        <v>140</v>
      </c>
      <c r="H36" s="12" t="n">
        <f aca="false">IFERROR(COUNTIFS('Activity &amp; Event Log'!$C$5:$C$504,$B36,'Activity &amp; Event Log'!$U$5:$U$504,"Yes")/C36,"")</f>
        <v>0.5</v>
      </c>
      <c r="I36" s="11" t="n">
        <f aca="false">COUNTIFS('Activity &amp; Event Log'!$C$5:$C$504,$B36,'Activity &amp; Event Log'!$V$5:$V$504,"Missed Alert")</f>
        <v>0</v>
      </c>
      <c r="J36" s="11" t="n">
        <f aca="false">COUNTIFS('Activity &amp; Event Log'!$C$5:$C$504,$B36,'Activity &amp; Event Log'!$V$5:$V$504,"Telemetry Blind Spot")</f>
        <v>0</v>
      </c>
      <c r="K36" s="11" t="n">
        <f aca="false">COUNTIFS('Activity &amp; Event Log'!$C$5:$C$504,$B36,'Activity &amp; Event Log'!$V$5:$V$504,"Triage Delay")</f>
        <v>1</v>
      </c>
    </row>
    <row r="37" customFormat="false" ht="15" hidden="false" customHeight="false" outlineLevel="0" collapsed="false">
      <c r="B37" s="10" t="s">
        <v>97</v>
      </c>
      <c r="C37" s="11" t="n">
        <f aca="false">COUNTIFS('Activity &amp; Event Log'!$C$5:$C$504,$B37,'Activity &amp; Event Log'!$G$5:$G$504,"?*")</f>
        <v>0</v>
      </c>
      <c r="D37" s="11" t="n">
        <f aca="false">SUMIFS('Activity &amp; Event Log'!$W$5:$W$504,'Activity &amp; Event Log'!$C$5:$C$504,$B37)</f>
        <v>0</v>
      </c>
      <c r="E37" s="12" t="str">
        <f aca="false">IFERROR(D37/C37,"")</f>
        <v/>
      </c>
      <c r="F37" s="15" t="str">
        <f aca="false">IFERROR(AVERAGEIFS('Activity &amp; Event Log'!$S$5:$S$504,'Activity &amp; Event Log'!$C$5:$C$504,$B37),"")</f>
        <v/>
      </c>
      <c r="G37" s="15" t="str">
        <f aca="false">IF(D37=0,"",_xlfn.MAXIFS('Activity &amp; Event Log'!$S$5:$S$504,'Activity &amp; Event Log'!$C$5:$C$504,$B37))</f>
        <v/>
      </c>
      <c r="H37" s="12" t="str">
        <f aca="false">IFERROR(COUNTIFS('Activity &amp; Event Log'!$C$5:$C$504,$B37,'Activity &amp; Event Log'!$U$5:$U$504,"Yes")/C37,"")</f>
        <v/>
      </c>
      <c r="I37" s="11" t="n">
        <f aca="false">COUNTIFS('Activity &amp; Event Log'!$C$5:$C$504,$B37,'Activity &amp; Event Log'!$V$5:$V$504,"Missed Alert")</f>
        <v>0</v>
      </c>
      <c r="J37" s="11" t="n">
        <f aca="false">COUNTIFS('Activity &amp; Event Log'!$C$5:$C$504,$B37,'Activity &amp; Event Log'!$V$5:$V$504,"Telemetry Blind Spot")</f>
        <v>0</v>
      </c>
      <c r="K37" s="11" t="n">
        <f aca="false">COUNTIFS('Activity &amp; Event Log'!$C$5:$C$504,$B37,'Activity &amp; Event Log'!$V$5:$V$504,"Triage Delay")</f>
        <v>0</v>
      </c>
    </row>
    <row r="38" customFormat="false" ht="15" hidden="false" customHeight="false" outlineLevel="0" collapsed="false">
      <c r="B38" s="10" t="s">
        <v>98</v>
      </c>
      <c r="C38" s="11" t="n">
        <f aca="false">COUNTIFS('Activity &amp; Event Log'!$C$5:$C$504,$B38,'Activity &amp; Event Log'!$G$5:$G$504,"?*")</f>
        <v>2</v>
      </c>
      <c r="D38" s="11" t="n">
        <f aca="false">SUMIFS('Activity &amp; Event Log'!$W$5:$W$504,'Activity &amp; Event Log'!$C$5:$C$504,$B38)</f>
        <v>0</v>
      </c>
      <c r="E38" s="12" t="n">
        <f aca="false">IFERROR(D38/C38,"")</f>
        <v>0</v>
      </c>
      <c r="F38" s="15" t="str">
        <f aca="false">IFERROR(AVERAGEIFS('Activity &amp; Event Log'!$S$5:$S$504,'Activity &amp; Event Log'!$C$5:$C$504,$B38),"")</f>
        <v/>
      </c>
      <c r="G38" s="15" t="str">
        <f aca="false">IF(D38=0,"",_xlfn.MAXIFS('Activity &amp; Event Log'!$S$5:$S$504,'Activity &amp; Event Log'!$C$5:$C$504,$B38))</f>
        <v/>
      </c>
      <c r="H38" s="12" t="n">
        <f aca="false">IFERROR(COUNTIFS('Activity &amp; Event Log'!$C$5:$C$504,$B38,'Activity &amp; Event Log'!$U$5:$U$504,"Yes")/C38,"")</f>
        <v>0</v>
      </c>
      <c r="I38" s="11" t="n">
        <f aca="false">COUNTIFS('Activity &amp; Event Log'!$C$5:$C$504,$B38,'Activity &amp; Event Log'!$V$5:$V$504,"Missed Alert")</f>
        <v>1</v>
      </c>
      <c r="J38" s="11" t="n">
        <f aca="false">COUNTIFS('Activity &amp; Event Log'!$C$5:$C$504,$B38,'Activity &amp; Event Log'!$V$5:$V$504,"Telemetry Blind Spot")</f>
        <v>1</v>
      </c>
      <c r="K38" s="11" t="n">
        <f aca="false">COUNTIFS('Activity &amp; Event Log'!$C$5:$C$504,$B38,'Activity &amp; Event Log'!$V$5:$V$504,"Triage Delay")</f>
        <v>0</v>
      </c>
    </row>
    <row r="39" customFormat="false" ht="15" hidden="false" customHeight="false" outlineLevel="0" collapsed="false">
      <c r="B39" s="10" t="s">
        <v>99</v>
      </c>
      <c r="C39" s="11" t="n">
        <f aca="false">COUNTIFS('Activity &amp; Event Log'!$C$5:$C$504,$B39,'Activity &amp; Event Log'!$G$5:$G$504,"?*")</f>
        <v>0</v>
      </c>
      <c r="D39" s="11" t="n">
        <f aca="false">SUMIFS('Activity &amp; Event Log'!$W$5:$W$504,'Activity &amp; Event Log'!$C$5:$C$504,$B39)</f>
        <v>0</v>
      </c>
      <c r="E39" s="12" t="str">
        <f aca="false">IFERROR(D39/C39,"")</f>
        <v/>
      </c>
      <c r="F39" s="15" t="str">
        <f aca="false">IFERROR(AVERAGEIFS('Activity &amp; Event Log'!$S$5:$S$504,'Activity &amp; Event Log'!$C$5:$C$504,$B39),"")</f>
        <v/>
      </c>
      <c r="G39" s="15" t="str">
        <f aca="false">IF(D39=0,"",_xlfn.MAXIFS('Activity &amp; Event Log'!$S$5:$S$504,'Activity &amp; Event Log'!$C$5:$C$504,$B39))</f>
        <v/>
      </c>
      <c r="H39" s="12" t="str">
        <f aca="false">IFERROR(COUNTIFS('Activity &amp; Event Log'!$C$5:$C$504,$B39,'Activity &amp; Event Log'!$U$5:$U$504,"Yes")/C39,"")</f>
        <v/>
      </c>
      <c r="I39" s="11" t="n">
        <f aca="false">COUNTIFS('Activity &amp; Event Log'!$C$5:$C$504,$B39,'Activity &amp; Event Log'!$V$5:$V$504,"Missed Alert")</f>
        <v>0</v>
      </c>
      <c r="J39" s="11" t="n">
        <f aca="false">COUNTIFS('Activity &amp; Event Log'!$C$5:$C$504,$B39,'Activity &amp; Event Log'!$V$5:$V$504,"Telemetry Blind Spot")</f>
        <v>0</v>
      </c>
      <c r="K39" s="11" t="n">
        <f aca="false">COUNTIFS('Activity &amp; Event Log'!$C$5:$C$504,$B39,'Activity &amp; Event Log'!$V$5:$V$504,"Triage Delay")</f>
        <v>0</v>
      </c>
    </row>
    <row r="40" customFormat="false" ht="15" hidden="false" customHeight="false" outlineLevel="0" collapsed="false">
      <c r="B40" s="10" t="s">
        <v>100</v>
      </c>
      <c r="C40" s="11" t="n">
        <f aca="false">COUNTIFS('Activity &amp; Event Log'!$C$5:$C$504,$B40,'Activity &amp; Event Log'!$G$5:$G$504,"?*")</f>
        <v>0</v>
      </c>
      <c r="D40" s="11" t="n">
        <f aca="false">SUMIFS('Activity &amp; Event Log'!$W$5:$W$504,'Activity &amp; Event Log'!$C$5:$C$504,$B40)</f>
        <v>0</v>
      </c>
      <c r="E40" s="12" t="str">
        <f aca="false">IFERROR(D40/C40,"")</f>
        <v/>
      </c>
      <c r="F40" s="15" t="str">
        <f aca="false">IFERROR(AVERAGEIFS('Activity &amp; Event Log'!$S$5:$S$504,'Activity &amp; Event Log'!$C$5:$C$504,$B40),"")</f>
        <v/>
      </c>
      <c r="G40" s="15" t="str">
        <f aca="false">IF(D40=0,"",_xlfn.MAXIFS('Activity &amp; Event Log'!$S$5:$S$504,'Activity &amp; Event Log'!$C$5:$C$504,$B40))</f>
        <v/>
      </c>
      <c r="H40" s="12" t="str">
        <f aca="false">IFERROR(COUNTIFS('Activity &amp; Event Log'!$C$5:$C$504,$B40,'Activity &amp; Event Log'!$U$5:$U$504,"Yes")/C40,"")</f>
        <v/>
      </c>
      <c r="I40" s="11" t="n">
        <f aca="false">COUNTIFS('Activity &amp; Event Log'!$C$5:$C$504,$B40,'Activity &amp; Event Log'!$V$5:$V$504,"Missed Alert")</f>
        <v>0</v>
      </c>
      <c r="J40" s="11" t="n">
        <f aca="false">COUNTIFS('Activity &amp; Event Log'!$C$5:$C$504,$B40,'Activity &amp; Event Log'!$V$5:$V$504,"Telemetry Blind Spot")</f>
        <v>0</v>
      </c>
      <c r="K40" s="11" t="n">
        <f aca="false">COUNTIFS('Activity &amp; Event Log'!$C$5:$C$504,$B40,'Activity &amp; Event Log'!$V$5:$V$504,"Triage Delay")</f>
        <v>0</v>
      </c>
    </row>
    <row r="42" customFormat="false" ht="15" hidden="false" customHeight="false" outlineLevel="0" collapsed="false">
      <c r="B42" s="20" t="s">
        <v>101</v>
      </c>
    </row>
    <row r="43" customFormat="false" ht="68.65" hidden="false" customHeight="false" outlineLevel="0" collapsed="false">
      <c r="B43" s="6" t="s">
        <v>102</v>
      </c>
      <c r="C43" s="6" t="s">
        <v>81</v>
      </c>
      <c r="D43" s="6" t="s">
        <v>82</v>
      </c>
      <c r="E43" s="6" t="s">
        <v>44</v>
      </c>
      <c r="F43" s="6" t="s">
        <v>50</v>
      </c>
      <c r="G43" s="6" t="s">
        <v>59</v>
      </c>
      <c r="H43" s="6" t="s">
        <v>83</v>
      </c>
      <c r="I43" s="6" t="s">
        <v>84</v>
      </c>
      <c r="J43" s="6" t="s">
        <v>85</v>
      </c>
      <c r="K43" s="6" t="s">
        <v>86</v>
      </c>
    </row>
    <row r="44" customFormat="false" ht="15" hidden="false" customHeight="false" outlineLevel="0" collapsed="false">
      <c r="B44" s="10" t="s">
        <v>103</v>
      </c>
      <c r="C44" s="11" t="n">
        <f aca="false">COUNTIFS('Activity &amp; Event Log'!$G$5:$G$504,$B44,'Activity &amp; Event Log'!$G$5:$G$504,"?*")</f>
        <v>6</v>
      </c>
      <c r="D44" s="11" t="n">
        <f aca="false">SUMIFS('Activity &amp; Event Log'!$W$5:$W$504,'Activity &amp; Event Log'!$G$5:$G$504,$B44)</f>
        <v>6</v>
      </c>
      <c r="E44" s="12" t="n">
        <f aca="false">IFERROR(D44/C44,"")</f>
        <v>1</v>
      </c>
      <c r="F44" s="15" t="n">
        <f aca="false">IFERROR(AVERAGEIFS('Activity &amp; Event Log'!$S$5:$S$504,'Activity &amp; Event Log'!$G$5:$G$504,$B44),"")</f>
        <v>27.9999999961556</v>
      </c>
      <c r="G44" s="15" t="n">
        <f aca="false">IF(D44=0,"",_xlfn.MAXIFS('Activity &amp; Event Log'!$S$5:$S$504,'Activity &amp; Event Log'!$G$5:$G$504,$B44))</f>
        <v>95</v>
      </c>
      <c r="H44" s="12" t="n">
        <f aca="false">IFERROR(COUNTIFS('Activity &amp; Event Log'!$G$5:$G$504,$B44,'Activity &amp; Event Log'!$U$5:$U$504,"Yes")/C44,"")</f>
        <v>0.666666666666667</v>
      </c>
      <c r="I44" s="11" t="n">
        <f aca="false">COUNTIFS('Activity &amp; Event Log'!$G$5:$G$504,$B44,'Activity &amp; Event Log'!$V$5:$V$504,"Missed Alert")</f>
        <v>0</v>
      </c>
      <c r="J44" s="11" t="n">
        <f aca="false">COUNTIFS('Activity &amp; Event Log'!$G$5:$G$504,$B44,'Activity &amp; Event Log'!$V$5:$V$504,"Telemetry Blind Spot")</f>
        <v>0</v>
      </c>
      <c r="K44" s="11" t="n">
        <f aca="false">COUNTIFS('Activity &amp; Event Log'!$G$5:$G$504,$B44,'Activity &amp; Event Log'!$V$5:$V$504,"Triage Delay")</f>
        <v>2</v>
      </c>
    </row>
    <row r="45" customFormat="false" ht="15" hidden="false" customHeight="false" outlineLevel="0" collapsed="false">
      <c r="B45" s="10" t="s">
        <v>104</v>
      </c>
      <c r="C45" s="11" t="n">
        <f aca="false">COUNTIFS('Activity &amp; Event Log'!$G$5:$G$504,$B45,'Activity &amp; Event Log'!$G$5:$G$504,"?*")</f>
        <v>8</v>
      </c>
      <c r="D45" s="11" t="n">
        <f aca="false">SUMIFS('Activity &amp; Event Log'!$W$5:$W$504,'Activity &amp; Event Log'!$G$5:$G$504,$B45)</f>
        <v>5</v>
      </c>
      <c r="E45" s="12" t="n">
        <f aca="false">IFERROR(D45/C45,"")</f>
        <v>0.625</v>
      </c>
      <c r="F45" s="15" t="n">
        <f aca="false">IFERROR(AVERAGEIFS('Activity &amp; Event Log'!$S$5:$S$504,'Activity &amp; Event Log'!$G$5:$G$504,$B45),"")</f>
        <v>57.2</v>
      </c>
      <c r="G45" s="15" t="n">
        <f aca="false">IF(D45=0,"",_xlfn.MAXIFS('Activity &amp; Event Log'!$S$5:$S$504,'Activity &amp; Event Log'!$G$5:$G$504,$B45))</f>
        <v>140</v>
      </c>
      <c r="H45" s="12" t="n">
        <f aca="false">IFERROR(COUNTIFS('Activity &amp; Event Log'!$G$5:$G$504,$B45,'Activity &amp; Event Log'!$U$5:$U$504,"Yes")/C45,"")</f>
        <v>0.5</v>
      </c>
      <c r="I45" s="11" t="n">
        <f aca="false">COUNTIFS('Activity &amp; Event Log'!$G$5:$G$504,$B45,'Activity &amp; Event Log'!$V$5:$V$504,"Missed Alert")</f>
        <v>2</v>
      </c>
      <c r="J45" s="11" t="n">
        <f aca="false">COUNTIFS('Activity &amp; Event Log'!$G$5:$G$504,$B45,'Activity &amp; Event Log'!$V$5:$V$504,"Telemetry Blind Spot")</f>
        <v>1</v>
      </c>
      <c r="K45" s="11" t="n">
        <f aca="false">COUNTIFS('Activity &amp; Event Log'!$G$5:$G$504,$B45,'Activity &amp; Event Log'!$V$5:$V$504,"Triage Delay")</f>
        <v>1</v>
      </c>
    </row>
    <row r="46" customFormat="false" ht="15" hidden="false" customHeight="false" outlineLevel="0" collapsed="false">
      <c r="B46" s="10" t="s">
        <v>105</v>
      </c>
      <c r="C46" s="11" t="n">
        <f aca="false">COUNTIFS('Activity &amp; Event Log'!$G$5:$G$504,$B46,'Activity &amp; Event Log'!$G$5:$G$504,"?*")</f>
        <v>2</v>
      </c>
      <c r="D46" s="11" t="n">
        <f aca="false">SUMIFS('Activity &amp; Event Log'!$W$5:$W$504,'Activity &amp; Event Log'!$G$5:$G$504,$B46)</f>
        <v>1</v>
      </c>
      <c r="E46" s="12" t="n">
        <f aca="false">IFERROR(D46/C46,"")</f>
        <v>0.5</v>
      </c>
      <c r="F46" s="15" t="n">
        <f aca="false">IFERROR(AVERAGEIFS('Activity &amp; Event Log'!$S$5:$S$504,'Activity &amp; Event Log'!$G$5:$G$504,$B46),"")</f>
        <v>69.9999999767167</v>
      </c>
      <c r="G46" s="15" t="n">
        <f aca="false">IF(D46=0,"",_xlfn.MAXIFS('Activity &amp; Event Log'!$S$5:$S$504,'Activity &amp; Event Log'!$G$5:$G$504,$B46))</f>
        <v>69.9999999767167</v>
      </c>
      <c r="H46" s="12" t="n">
        <f aca="false">IFERROR(COUNTIFS('Activity &amp; Event Log'!$G$5:$G$504,$B46,'Activity &amp; Event Log'!$U$5:$U$504,"Yes")/C46,"")</f>
        <v>0.5</v>
      </c>
      <c r="I46" s="11" t="n">
        <f aca="false">COUNTIFS('Activity &amp; Event Log'!$G$5:$G$504,$B46,'Activity &amp; Event Log'!$V$5:$V$504,"Missed Alert")</f>
        <v>0</v>
      </c>
      <c r="J46" s="11" t="n">
        <f aca="false">COUNTIFS('Activity &amp; Event Log'!$G$5:$G$504,$B46,'Activity &amp; Event Log'!$V$5:$V$504,"Telemetry Blind Spot")</f>
        <v>1</v>
      </c>
      <c r="K46" s="11" t="n">
        <f aca="false">COUNTIFS('Activity &amp; Event Log'!$G$5:$G$504,$B46,'Activity &amp; Event Log'!$V$5:$V$504,"Triage Delay")</f>
        <v>0</v>
      </c>
    </row>
    <row r="47" customFormat="false" ht="15" hidden="false" customHeight="false" outlineLevel="0" collapsed="false">
      <c r="B47" s="10" t="s">
        <v>106</v>
      </c>
      <c r="C47" s="11" t="n">
        <f aca="false">COUNTIFS('Activity &amp; Event Log'!$G$5:$G$504,$B47,'Activity &amp; Event Log'!$G$5:$G$504,"?*")</f>
        <v>0</v>
      </c>
      <c r="D47" s="11" t="n">
        <f aca="false">SUMIFS('Activity &amp; Event Log'!$W$5:$W$504,'Activity &amp; Event Log'!$G$5:$G$504,$B47)</f>
        <v>0</v>
      </c>
      <c r="E47" s="12" t="str">
        <f aca="false">IFERROR(D47/C47,"")</f>
        <v/>
      </c>
      <c r="F47" s="15" t="str">
        <f aca="false">IFERROR(AVERAGEIFS('Activity &amp; Event Log'!$S$5:$S$504,'Activity &amp; Event Log'!$G$5:$G$504,$B47),"")</f>
        <v/>
      </c>
      <c r="G47" s="15" t="str">
        <f aca="false">IF(D47=0,"",_xlfn.MAXIFS('Activity &amp; Event Log'!$S$5:$S$504,'Activity &amp; Event Log'!$G$5:$G$504,$B47))</f>
        <v/>
      </c>
      <c r="H47" s="12" t="str">
        <f aca="false">IFERROR(COUNTIFS('Activity &amp; Event Log'!$G$5:$G$504,$B47,'Activity &amp; Event Log'!$U$5:$U$504,"Yes")/C47,"")</f>
        <v/>
      </c>
      <c r="I47" s="11" t="n">
        <f aca="false">COUNTIFS('Activity &amp; Event Log'!$G$5:$G$504,$B47,'Activity &amp; Event Log'!$V$5:$V$504,"Missed Alert")</f>
        <v>0</v>
      </c>
      <c r="J47" s="11" t="n">
        <f aca="false">COUNTIFS('Activity &amp; Event Log'!$G$5:$G$504,$B47,'Activity &amp; Event Log'!$V$5:$V$504,"Telemetry Blind Spot")</f>
        <v>0</v>
      </c>
      <c r="K47" s="11" t="n">
        <f aca="false">COUNTIFS('Activity &amp; Event Log'!$G$5:$G$504,$B47,'Activity &amp; Event Log'!$V$5:$V$504,"Triage Delay")</f>
        <v>0</v>
      </c>
    </row>
    <row r="49" customFormat="false" ht="15" hidden="false" customHeight="false" outlineLevel="0" collapsed="false">
      <c r="B49" s="20" t="s">
        <v>107</v>
      </c>
    </row>
    <row r="50" customFormat="false" ht="68.65" hidden="false" customHeight="false" outlineLevel="0" collapsed="false">
      <c r="B50" s="6" t="s">
        <v>108</v>
      </c>
      <c r="C50" s="6" t="s">
        <v>81</v>
      </c>
      <c r="D50" s="6" t="s">
        <v>82</v>
      </c>
      <c r="E50" s="6" t="s">
        <v>44</v>
      </c>
      <c r="F50" s="6" t="s">
        <v>50</v>
      </c>
      <c r="G50" s="6" t="s">
        <v>59</v>
      </c>
      <c r="H50" s="6" t="s">
        <v>83</v>
      </c>
      <c r="I50" s="6" t="s">
        <v>84</v>
      </c>
      <c r="J50" s="6" t="s">
        <v>85</v>
      </c>
      <c r="K50" s="6" t="s">
        <v>86</v>
      </c>
    </row>
    <row r="51" customFormat="false" ht="15" hidden="false" customHeight="false" outlineLevel="0" collapsed="false">
      <c r="B51" s="10" t="s">
        <v>109</v>
      </c>
      <c r="C51" s="11" t="n">
        <f aca="false">COUNTIFS('Activity &amp; Event Log'!$H$5:$H$504,$B51,'Activity &amp; Event Log'!$G$5:$G$504,"?*")</f>
        <v>6</v>
      </c>
      <c r="D51" s="11" t="n">
        <f aca="false">SUMIFS('Activity &amp; Event Log'!$W$5:$W$504,'Activity &amp; Event Log'!$H$5:$H$504,$B51)</f>
        <v>5</v>
      </c>
      <c r="E51" s="12" t="n">
        <f aca="false">IFERROR(D51/C51,"")</f>
        <v>0.833333333333333</v>
      </c>
      <c r="F51" s="15" t="n">
        <f aca="false">IFERROR(AVERAGEIFS('Activity &amp; Event Log'!$S$5:$S$504,'Activity &amp; Event Log'!$H$5:$H$504,$B51),"")</f>
        <v>16.9999999953867</v>
      </c>
      <c r="G51" s="15" t="n">
        <f aca="false">IF(D51=0,"",_xlfn.MAXIFS('Activity &amp; Event Log'!$S$5:$S$504,'Activity &amp; Event Log'!$H$5:$H$504,$B51))</f>
        <v>38</v>
      </c>
      <c r="H51" s="12" t="n">
        <f aca="false">IFERROR(COUNTIFS('Activity &amp; Event Log'!$H$5:$H$504,$B51,'Activity &amp; Event Log'!$U$5:$U$504,"Yes")/C51,"")</f>
        <v>0.666666666666667</v>
      </c>
      <c r="I51" s="11" t="n">
        <f aca="false">COUNTIFS('Activity &amp; Event Log'!$H$5:$H$504,$B51,'Activity &amp; Event Log'!$V$5:$V$504,"Missed Alert")</f>
        <v>1</v>
      </c>
      <c r="J51" s="11" t="n">
        <f aca="false">COUNTIFS('Activity &amp; Event Log'!$H$5:$H$504,$B51,'Activity &amp; Event Log'!$V$5:$V$504,"Telemetry Blind Spot")</f>
        <v>0</v>
      </c>
      <c r="K51" s="11" t="n">
        <f aca="false">COUNTIFS('Activity &amp; Event Log'!$H$5:$H$504,$B51,'Activity &amp; Event Log'!$V$5:$V$504,"Triage Delay")</f>
        <v>1</v>
      </c>
    </row>
    <row r="52" customFormat="false" ht="15" hidden="false" customHeight="false" outlineLevel="0" collapsed="false">
      <c r="B52" s="10" t="s">
        <v>110</v>
      </c>
      <c r="C52" s="11" t="n">
        <f aca="false">COUNTIFS('Activity &amp; Event Log'!$H$5:$H$504,$B52,'Activity &amp; Event Log'!$G$5:$G$504,"?*")</f>
        <v>4</v>
      </c>
      <c r="D52" s="11" t="n">
        <f aca="false">SUMIFS('Activity &amp; Event Log'!$W$5:$W$504,'Activity &amp; Event Log'!$H$5:$H$504,$B52)</f>
        <v>3</v>
      </c>
      <c r="E52" s="12" t="n">
        <f aca="false">IFERROR(D52/C52,"")</f>
        <v>0.75</v>
      </c>
      <c r="F52" s="15" t="n">
        <f aca="false">IFERROR(AVERAGEIFS('Activity &amp; Event Log'!$S$5:$S$504,'Activity &amp; Event Log'!$H$5:$H$504,$B52),"")</f>
        <v>85.9999999922389</v>
      </c>
      <c r="G52" s="15" t="n">
        <f aca="false">IF(D52=0,"",_xlfn.MAXIFS('Activity &amp; Event Log'!$S$5:$S$504,'Activity &amp; Event Log'!$H$5:$H$504,$B52))</f>
        <v>140</v>
      </c>
      <c r="H52" s="12" t="n">
        <f aca="false">IFERROR(COUNTIFS('Activity &amp; Event Log'!$H$5:$H$504,$B52,'Activity &amp; Event Log'!$U$5:$U$504,"Yes")/C52,"")</f>
        <v>0.5</v>
      </c>
      <c r="I52" s="11" t="n">
        <f aca="false">COUNTIFS('Activity &amp; Event Log'!$H$5:$H$504,$B52,'Activity &amp; Event Log'!$V$5:$V$504,"Missed Alert")</f>
        <v>0</v>
      </c>
      <c r="J52" s="11" t="n">
        <f aca="false">COUNTIFS('Activity &amp; Event Log'!$H$5:$H$504,$B52,'Activity &amp; Event Log'!$V$5:$V$504,"Telemetry Blind Spot")</f>
        <v>1</v>
      </c>
      <c r="K52" s="11" t="n">
        <f aca="false">COUNTIFS('Activity &amp; Event Log'!$H$5:$H$504,$B52,'Activity &amp; Event Log'!$V$5:$V$504,"Triage Delay")</f>
        <v>1</v>
      </c>
    </row>
    <row r="53" customFormat="false" ht="15" hidden="false" customHeight="false" outlineLevel="0" collapsed="false">
      <c r="B53" s="10" t="s">
        <v>111</v>
      </c>
      <c r="C53" s="11" t="n">
        <f aca="false">COUNTIFS('Activity &amp; Event Log'!$H$5:$H$504,$B53,'Activity &amp; Event Log'!$G$5:$G$504,"?*")</f>
        <v>2</v>
      </c>
      <c r="D53" s="11" t="n">
        <f aca="false">SUMIFS('Activity &amp; Event Log'!$W$5:$W$504,'Activity &amp; Event Log'!$H$5:$H$504,$B53)</f>
        <v>0</v>
      </c>
      <c r="E53" s="12" t="n">
        <f aca="false">IFERROR(D53/C53,"")</f>
        <v>0</v>
      </c>
      <c r="F53" s="15" t="str">
        <f aca="false">IFERROR(AVERAGEIFS('Activity &amp; Event Log'!$S$5:$S$504,'Activity &amp; Event Log'!$H$5:$H$504,$B53),"")</f>
        <v/>
      </c>
      <c r="G53" s="15" t="str">
        <f aca="false">IF(D53=0,"",_xlfn.MAXIFS('Activity &amp; Event Log'!$S$5:$S$504,'Activity &amp; Event Log'!$H$5:$H$504,$B53))</f>
        <v/>
      </c>
      <c r="H53" s="12" t="n">
        <f aca="false">IFERROR(COUNTIFS('Activity &amp; Event Log'!$H$5:$H$504,$B53,'Activity &amp; Event Log'!$U$5:$U$504,"Yes")/C53,"")</f>
        <v>0</v>
      </c>
      <c r="I53" s="11" t="n">
        <f aca="false">COUNTIFS('Activity &amp; Event Log'!$H$5:$H$504,$B53,'Activity &amp; Event Log'!$V$5:$V$504,"Missed Alert")</f>
        <v>1</v>
      </c>
      <c r="J53" s="11" t="n">
        <f aca="false">COUNTIFS('Activity &amp; Event Log'!$H$5:$H$504,$B53,'Activity &amp; Event Log'!$V$5:$V$504,"Telemetry Blind Spot")</f>
        <v>1</v>
      </c>
      <c r="K53" s="11" t="n">
        <f aca="false">COUNTIFS('Activity &amp; Event Log'!$H$5:$H$504,$B53,'Activity &amp; Event Log'!$V$5:$V$504,"Triage Delay")</f>
        <v>0</v>
      </c>
    </row>
    <row r="54" customFormat="false" ht="15" hidden="false" customHeight="false" outlineLevel="0" collapsed="false">
      <c r="B54" s="10" t="s">
        <v>112</v>
      </c>
      <c r="C54" s="11" t="n">
        <f aca="false">COUNTIFS('Activity &amp; Event Log'!$H$5:$H$504,$B54,'Activity &amp; Event Log'!$G$5:$G$504,"?*")</f>
        <v>2</v>
      </c>
      <c r="D54" s="11" t="n">
        <f aca="false">SUMIFS('Activity &amp; Event Log'!$W$5:$W$504,'Activity &amp; Event Log'!$H$5:$H$504,$B54)</f>
        <v>2</v>
      </c>
      <c r="E54" s="12" t="n">
        <f aca="false">IFERROR(D54/C54,"")</f>
        <v>1</v>
      </c>
      <c r="F54" s="15" t="n">
        <f aca="false">IFERROR(AVERAGEIFS('Activity &amp; Event Log'!$S$5:$S$504,'Activity &amp; Event Log'!$H$5:$H$504,$B54),"")</f>
        <v>36.5</v>
      </c>
      <c r="G54" s="15" t="n">
        <f aca="false">IF(D54=0,"",_xlfn.MAXIFS('Activity &amp; Event Log'!$S$5:$S$504,'Activity &amp; Event Log'!$H$5:$H$504,$B54))</f>
        <v>52</v>
      </c>
      <c r="H54" s="12" t="n">
        <f aca="false">IFERROR(COUNTIFS('Activity &amp; Event Log'!$H$5:$H$504,$B54,'Activity &amp; Event Log'!$U$5:$U$504,"Yes")/C54,"")</f>
        <v>1</v>
      </c>
      <c r="I54" s="11" t="n">
        <f aca="false">COUNTIFS('Activity &amp; Event Log'!$H$5:$H$504,$B54,'Activity &amp; Event Log'!$V$5:$V$504,"Missed Alert")</f>
        <v>0</v>
      </c>
      <c r="J54" s="11" t="n">
        <f aca="false">COUNTIFS('Activity &amp; Event Log'!$H$5:$H$504,$B54,'Activity &amp; Event Log'!$V$5:$V$504,"Telemetry Blind Spot")</f>
        <v>0</v>
      </c>
      <c r="K54" s="11" t="n">
        <f aca="false">COUNTIFS('Activity &amp; Event Log'!$H$5:$H$504,$B54,'Activity &amp; Event Log'!$V$5:$V$504,"Triage Delay")</f>
        <v>0</v>
      </c>
    </row>
    <row r="55" customFormat="false" ht="15" hidden="false" customHeight="false" outlineLevel="0" collapsed="false">
      <c r="B55" s="10" t="s">
        <v>113</v>
      </c>
      <c r="C55" s="11" t="n">
        <f aca="false">COUNTIFS('Activity &amp; Event Log'!$H$5:$H$504,$B55,'Activity &amp; Event Log'!$G$5:$G$504,"?*")</f>
        <v>2</v>
      </c>
      <c r="D55" s="11" t="n">
        <f aca="false">SUMIFS('Activity &amp; Event Log'!$W$5:$W$504,'Activity &amp; Event Log'!$H$5:$H$504,$B55)</f>
        <v>2</v>
      </c>
      <c r="E55" s="12" t="n">
        <f aca="false">IFERROR(D55/C55,"")</f>
        <v>1</v>
      </c>
      <c r="F55" s="15" t="n">
        <f aca="false">IFERROR(AVERAGEIFS('Activity &amp; Event Log'!$S$5:$S$504,'Activity &amp; Event Log'!$H$5:$H$504,$B55),"")</f>
        <v>54</v>
      </c>
      <c r="G55" s="15" t="n">
        <f aca="false">IF(D55=0,"",_xlfn.MAXIFS('Activity &amp; Event Log'!$S$5:$S$504,'Activity &amp; Event Log'!$H$5:$H$504,$B55))</f>
        <v>95</v>
      </c>
      <c r="H55" s="12" t="n">
        <f aca="false">IFERROR(COUNTIFS('Activity &amp; Event Log'!$H$5:$H$504,$B55,'Activity &amp; Event Log'!$U$5:$U$504,"Yes")/C55,"")</f>
        <v>0.5</v>
      </c>
      <c r="I55" s="11" t="n">
        <f aca="false">COUNTIFS('Activity &amp; Event Log'!$H$5:$H$504,$B55,'Activity &amp; Event Log'!$V$5:$V$504,"Missed Alert")</f>
        <v>0</v>
      </c>
      <c r="J55" s="11" t="n">
        <f aca="false">COUNTIFS('Activity &amp; Event Log'!$H$5:$H$504,$B55,'Activity &amp; Event Log'!$V$5:$V$504,"Telemetry Blind Spot")</f>
        <v>0</v>
      </c>
      <c r="K55" s="11" t="n">
        <f aca="false">COUNTIFS('Activity &amp; Event Log'!$H$5:$H$504,$B55,'Activity &amp; Event Log'!$V$5:$V$504,"Triage Delay")</f>
        <v>1</v>
      </c>
    </row>
    <row r="56" customFormat="false" ht="15" hidden="false" customHeight="false" outlineLevel="0" collapsed="false">
      <c r="B56" s="10" t="s">
        <v>114</v>
      </c>
      <c r="C56" s="11" t="n">
        <f aca="false">COUNTIFS('Activity &amp; Event Log'!$H$5:$H$504,$B56,'Activity &amp; Event Log'!$G$5:$G$504,"?*")</f>
        <v>0</v>
      </c>
      <c r="D56" s="11" t="n">
        <f aca="false">SUMIFS('Activity &amp; Event Log'!$W$5:$W$504,'Activity &amp; Event Log'!$H$5:$H$504,$B56)</f>
        <v>0</v>
      </c>
      <c r="E56" s="12" t="str">
        <f aca="false">IFERROR(D56/C56,"")</f>
        <v/>
      </c>
      <c r="F56" s="15" t="str">
        <f aca="false">IFERROR(AVERAGEIFS('Activity &amp; Event Log'!$S$5:$S$504,'Activity &amp; Event Log'!$H$5:$H$504,$B56),"")</f>
        <v/>
      </c>
      <c r="G56" s="15" t="str">
        <f aca="false">IF(D56=0,"",_xlfn.MAXIFS('Activity &amp; Event Log'!$S$5:$S$504,'Activity &amp; Event Log'!$H$5:$H$504,$B56))</f>
        <v/>
      </c>
      <c r="H56" s="12" t="str">
        <f aca="false">IFERROR(COUNTIFS('Activity &amp; Event Log'!$H$5:$H$504,$B56,'Activity &amp; Event Log'!$U$5:$U$504,"Yes")/C56,"")</f>
        <v/>
      </c>
      <c r="I56" s="11" t="n">
        <f aca="false">COUNTIFS('Activity &amp; Event Log'!$H$5:$H$504,$B56,'Activity &amp; Event Log'!$V$5:$V$504,"Missed Alert")</f>
        <v>0</v>
      </c>
      <c r="J56" s="11" t="n">
        <f aca="false">COUNTIFS('Activity &amp; Event Log'!$H$5:$H$504,$B56,'Activity &amp; Event Log'!$V$5:$V$504,"Telemetry Blind Spot")</f>
        <v>0</v>
      </c>
      <c r="K56" s="11" t="n">
        <f aca="false">COUNTIFS('Activity &amp; Event Log'!$H$5:$H$504,$B56,'Activity &amp; Event Log'!$V$5:$V$504,"Triage Delay")</f>
        <v>0</v>
      </c>
    </row>
    <row r="57" customFormat="false" ht="15" hidden="false" customHeight="false" outlineLevel="0" collapsed="false">
      <c r="B57" s="10" t="s">
        <v>115</v>
      </c>
      <c r="C57" s="11" t="n">
        <f aca="false">COUNTIFS('Activity &amp; Event Log'!$H$5:$H$504,$B57,'Activity &amp; Event Log'!$G$5:$G$504,"?*")</f>
        <v>0</v>
      </c>
      <c r="D57" s="11" t="n">
        <f aca="false">SUMIFS('Activity &amp; Event Log'!$W$5:$W$504,'Activity &amp; Event Log'!$H$5:$H$504,$B57)</f>
        <v>0</v>
      </c>
      <c r="E57" s="12" t="str">
        <f aca="false">IFERROR(D57/C57,"")</f>
        <v/>
      </c>
      <c r="F57" s="15" t="str">
        <f aca="false">IFERROR(AVERAGEIFS('Activity &amp; Event Log'!$S$5:$S$504,'Activity &amp; Event Log'!$H$5:$H$504,$B57),"")</f>
        <v/>
      </c>
      <c r="G57" s="15" t="str">
        <f aca="false">IF(D57=0,"",_xlfn.MAXIFS('Activity &amp; Event Log'!$S$5:$S$504,'Activity &amp; Event Log'!$H$5:$H$504,$B57))</f>
        <v/>
      </c>
      <c r="H57" s="12" t="str">
        <f aca="false">IFERROR(COUNTIFS('Activity &amp; Event Log'!$H$5:$H$504,$B57,'Activity &amp; Event Log'!$U$5:$U$504,"Yes")/C57,"")</f>
        <v/>
      </c>
      <c r="I57" s="11" t="n">
        <f aca="false">COUNTIFS('Activity &amp; Event Log'!$H$5:$H$504,$B57,'Activity &amp; Event Log'!$V$5:$V$504,"Missed Alert")</f>
        <v>0</v>
      </c>
      <c r="J57" s="11" t="n">
        <f aca="false">COUNTIFS('Activity &amp; Event Log'!$H$5:$H$504,$B57,'Activity &amp; Event Log'!$V$5:$V$504,"Telemetry Blind Spot")</f>
        <v>0</v>
      </c>
      <c r="K57" s="11" t="n">
        <f aca="false">COUNTIFS('Activity &amp; Event Log'!$H$5:$H$504,$B57,'Activity &amp; Event Log'!$V$5:$V$504,"Triage Delay")</f>
        <v>0</v>
      </c>
    </row>
    <row r="58" customFormat="false" ht="15" hidden="false" customHeight="false" outlineLevel="0" collapsed="false">
      <c r="B58" s="10" t="s">
        <v>116</v>
      </c>
      <c r="C58" s="11" t="n">
        <f aca="false">COUNTIFS('Activity &amp; Event Log'!$H$5:$H$504,$B58,'Activity &amp; Event Log'!$G$5:$G$504,"?*")</f>
        <v>0</v>
      </c>
      <c r="D58" s="11" t="n">
        <f aca="false">SUMIFS('Activity &amp; Event Log'!$W$5:$W$504,'Activity &amp; Event Log'!$H$5:$H$504,$B58)</f>
        <v>0</v>
      </c>
      <c r="E58" s="12" t="str">
        <f aca="false">IFERROR(D58/C58,"")</f>
        <v/>
      </c>
      <c r="F58" s="15" t="str">
        <f aca="false">IFERROR(AVERAGEIFS('Activity &amp; Event Log'!$S$5:$S$504,'Activity &amp; Event Log'!$H$5:$H$504,$B58),"")</f>
        <v/>
      </c>
      <c r="G58" s="15" t="str">
        <f aca="false">IF(D58=0,"",_xlfn.MAXIFS('Activity &amp; Event Log'!$S$5:$S$504,'Activity &amp; Event Log'!$H$5:$H$504,$B58))</f>
        <v/>
      </c>
      <c r="H58" s="12" t="str">
        <f aca="false">IFERROR(COUNTIFS('Activity &amp; Event Log'!$H$5:$H$504,$B58,'Activity &amp; Event Log'!$U$5:$U$504,"Yes")/C58,"")</f>
        <v/>
      </c>
      <c r="I58" s="11" t="n">
        <f aca="false">COUNTIFS('Activity &amp; Event Log'!$H$5:$H$504,$B58,'Activity &amp; Event Log'!$V$5:$V$504,"Missed Alert")</f>
        <v>0</v>
      </c>
      <c r="J58" s="11" t="n">
        <f aca="false">COUNTIFS('Activity &amp; Event Log'!$H$5:$H$504,$B58,'Activity &amp; Event Log'!$V$5:$V$504,"Telemetry Blind Spot")</f>
        <v>0</v>
      </c>
      <c r="K58" s="11" t="n">
        <f aca="false">COUNTIFS('Activity &amp; Event Log'!$H$5:$H$504,$B58,'Activity &amp; Event Log'!$V$5:$V$504,"Triage Delay")</f>
        <v>0</v>
      </c>
    </row>
    <row r="59" customFormat="false" ht="15" hidden="false" customHeight="false" outlineLevel="0" collapsed="false">
      <c r="B59" s="10" t="s">
        <v>117</v>
      </c>
      <c r="C59" s="11" t="n">
        <f aca="false">COUNTIFS('Activity &amp; Event Log'!$H$5:$H$504,$B59,'Activity &amp; Event Log'!$G$5:$G$504,"?*")</f>
        <v>0</v>
      </c>
      <c r="D59" s="11" t="n">
        <f aca="false">SUMIFS('Activity &amp; Event Log'!$W$5:$W$504,'Activity &amp; Event Log'!$H$5:$H$504,$B59)</f>
        <v>0</v>
      </c>
      <c r="E59" s="12" t="str">
        <f aca="false">IFERROR(D59/C59,"")</f>
        <v/>
      </c>
      <c r="F59" s="15" t="str">
        <f aca="false">IFERROR(AVERAGEIFS('Activity &amp; Event Log'!$S$5:$S$504,'Activity &amp; Event Log'!$H$5:$H$504,$B59),"")</f>
        <v/>
      </c>
      <c r="G59" s="15" t="str">
        <f aca="false">IF(D59=0,"",_xlfn.MAXIFS('Activity &amp; Event Log'!$S$5:$S$504,'Activity &amp; Event Log'!$H$5:$H$504,$B59))</f>
        <v/>
      </c>
      <c r="H59" s="12" t="str">
        <f aca="false">IFERROR(COUNTIFS('Activity &amp; Event Log'!$H$5:$H$504,$B59,'Activity &amp; Event Log'!$U$5:$U$504,"Yes")/C59,"")</f>
        <v/>
      </c>
      <c r="I59" s="11" t="n">
        <f aca="false">COUNTIFS('Activity &amp; Event Log'!$H$5:$H$504,$B59,'Activity &amp; Event Log'!$V$5:$V$504,"Missed Alert")</f>
        <v>0</v>
      </c>
      <c r="J59" s="11" t="n">
        <f aca="false">COUNTIFS('Activity &amp; Event Log'!$H$5:$H$504,$B59,'Activity &amp; Event Log'!$V$5:$V$504,"Telemetry Blind Spot")</f>
        <v>0</v>
      </c>
      <c r="K59" s="11" t="n">
        <f aca="false">COUNTIFS('Activity &amp; Event Log'!$H$5:$H$504,$B59,'Activity &amp; Event Log'!$V$5:$V$504,"Triage Delay")</f>
        <v>0</v>
      </c>
    </row>
    <row r="60" customFormat="false" ht="15" hidden="false" customHeight="false" outlineLevel="0" collapsed="false">
      <c r="B60" s="10" t="s">
        <v>118</v>
      </c>
      <c r="C60" s="11" t="n">
        <f aca="false">COUNTIFS('Activity &amp; Event Log'!$H$5:$H$504,$B60,'Activity &amp; Event Log'!$G$5:$G$504,"?*")</f>
        <v>0</v>
      </c>
      <c r="D60" s="11" t="n">
        <f aca="false">SUMIFS('Activity &amp; Event Log'!$W$5:$W$504,'Activity &amp; Event Log'!$H$5:$H$504,$B60)</f>
        <v>0</v>
      </c>
      <c r="E60" s="12" t="str">
        <f aca="false">IFERROR(D60/C60,"")</f>
        <v/>
      </c>
      <c r="F60" s="15" t="str">
        <f aca="false">IFERROR(AVERAGEIFS('Activity &amp; Event Log'!$S$5:$S$504,'Activity &amp; Event Log'!$H$5:$H$504,$B60),"")</f>
        <v/>
      </c>
      <c r="G60" s="15" t="str">
        <f aca="false">IF(D60=0,"",_xlfn.MAXIFS('Activity &amp; Event Log'!$S$5:$S$504,'Activity &amp; Event Log'!$H$5:$H$504,$B60))</f>
        <v/>
      </c>
      <c r="H60" s="12" t="str">
        <f aca="false">IFERROR(COUNTIFS('Activity &amp; Event Log'!$H$5:$H$504,$B60,'Activity &amp; Event Log'!$U$5:$U$504,"Yes")/C60,"")</f>
        <v/>
      </c>
      <c r="I60" s="11" t="n">
        <f aca="false">COUNTIFS('Activity &amp; Event Log'!$H$5:$H$504,$B60,'Activity &amp; Event Log'!$V$5:$V$504,"Missed Alert")</f>
        <v>0</v>
      </c>
      <c r="J60" s="11" t="n">
        <f aca="false">COUNTIFS('Activity &amp; Event Log'!$H$5:$H$504,$B60,'Activity &amp; Event Log'!$V$5:$V$504,"Telemetry Blind Spot")</f>
        <v>0</v>
      </c>
      <c r="K60" s="11" t="n">
        <f aca="false">COUNTIFS('Activity &amp; Event Log'!$H$5:$H$504,$B60,'Activity &amp; Event Log'!$V$5:$V$504,"Triage Delay")</f>
        <v>0</v>
      </c>
    </row>
    <row r="62" customFormat="false" ht="15" hidden="false" customHeight="false" outlineLevel="0" collapsed="false">
      <c r="B62" s="20" t="s">
        <v>119</v>
      </c>
    </row>
    <row r="63" customFormat="false" ht="102.2" hidden="false" customHeight="false" outlineLevel="0" collapsed="false">
      <c r="B63" s="6" t="s">
        <v>120</v>
      </c>
      <c r="C63" s="6" t="s">
        <v>81</v>
      </c>
      <c r="D63" s="6" t="s">
        <v>82</v>
      </c>
      <c r="E63" s="6" t="s">
        <v>44</v>
      </c>
      <c r="F63" s="6" t="s">
        <v>50</v>
      </c>
      <c r="G63" s="6" t="s">
        <v>47</v>
      </c>
      <c r="H63" s="6" t="s">
        <v>84</v>
      </c>
      <c r="I63" s="6" t="s">
        <v>85</v>
      </c>
      <c r="J63" s="6" t="s">
        <v>86</v>
      </c>
      <c r="K63" s="6" t="s">
        <v>74</v>
      </c>
      <c r="L63" s="6" t="s">
        <v>72</v>
      </c>
      <c r="M63" s="6" t="s">
        <v>121</v>
      </c>
      <c r="N63" s="6" t="s">
        <v>46</v>
      </c>
    </row>
    <row r="64" customFormat="false" ht="15" hidden="false" customHeight="false" outlineLevel="0" collapsed="false">
      <c r="B64" s="10" t="str">
        <f aca="false">IF(Settings!H5="","",Settings!H5)</f>
        <v>Q2-2026 Engagement</v>
      </c>
      <c r="C64" s="11" t="n">
        <f aca="false">IF($B64="","",COUNTIFS('Activity &amp; Event Log'!$B$5:$B$504,$B64,'Activity &amp; Event Log'!$G$5:$G$504,"?*"))</f>
        <v>8</v>
      </c>
      <c r="D64" s="11" t="n">
        <f aca="false">IF($B64="","",SUMIFS('Activity &amp; Event Log'!$W$5:$W$504,'Activity &amp; Event Log'!$B$5:$B$504,$B64))</f>
        <v>5</v>
      </c>
      <c r="E64" s="12" t="n">
        <f aca="false">IF($B64="","",IFERROR(D64/C64,""))</f>
        <v>0.625</v>
      </c>
      <c r="F64" s="15" t="n">
        <f aca="false">IF($B64="","",IFERROR(AVERAGEIFS('Activity &amp; Event Log'!$S$5:$S$504,'Activity &amp; Event Log'!$B$5:$B$504,$B64),""))</f>
        <v>66.7999999953867</v>
      </c>
      <c r="G64" s="12" t="n">
        <f aca="false">IF($B64="","",IFERROR(COUNTIFS('Activity &amp; Event Log'!$B$5:$B$504,$B64,'Activity &amp; Event Log'!$U$5:$U$504,"Yes")/C64,""))</f>
        <v>0.25</v>
      </c>
      <c r="H64" s="11" t="n">
        <f aca="false">IF($B64="","",COUNTIFS('Activity &amp; Event Log'!$B$5:$B$504,$B64,'Activity &amp; Event Log'!$V$5:$V$504,"Missed Alert"))</f>
        <v>1</v>
      </c>
      <c r="I64" s="11" t="n">
        <f aca="false">IF($B64="","",COUNTIFS('Activity &amp; Event Log'!$B$5:$B$504,$B64,'Activity &amp; Event Log'!$V$5:$V$504,"Telemetry Blind Spot"))</f>
        <v>2</v>
      </c>
      <c r="J64" s="11" t="n">
        <f aca="false">IF($B64="","",COUNTIFS('Activity &amp; Event Log'!$B$5:$B$504,$B64,'Activity &amp; Event Log'!$V$5:$V$504,"Triage Delay"))</f>
        <v>3</v>
      </c>
      <c r="K64" s="15" t="n">
        <f aca="false">IF($B64="","",IFERROR(AVERAGEIFS('Activity &amp; Event Log'!$AF$5:$AF$504,'Activity &amp; Event Log'!$B$5:$B$504,$B64),""))</f>
        <v>80</v>
      </c>
      <c r="L64" s="12" t="n">
        <f aca="false">IF($B64="","",IFERROR(SUMIFS('Activity &amp; Event Log'!$AJ$5:$AJ$504,'Activity &amp; Event Log'!$B$5:$B$504,$B64)/D64,""))</f>
        <v>0.6</v>
      </c>
      <c r="M64" s="12" t="n">
        <f aca="false">IF($B64="","",IFERROR(COUNTIFS('Activity &amp; Event Log'!$B$5:$B$504,$B64,'Activity &amp; Event Log'!$AH$5:$AH$504,"Yes")/D64,""))</f>
        <v>0.6</v>
      </c>
      <c r="N64" s="11" t="n">
        <f aca="false">IF($B64="","",COUNTIFS('Activity &amp; Event Log'!$B$5:$B$504,$B64,'Activity &amp; Event Log'!$AI$5:$AI$504,"C2 Persisted"))</f>
        <v>1</v>
      </c>
    </row>
    <row r="65" customFormat="false" ht="15" hidden="false" customHeight="false" outlineLevel="0" collapsed="false">
      <c r="B65" s="10" t="str">
        <f aca="false">IF(Settings!H6="","",Settings!H6)</f>
        <v>Q3-2026 Engagement</v>
      </c>
      <c r="C65" s="11" t="n">
        <f aca="false">IF($B65="","",COUNTIFS('Activity &amp; Event Log'!$B$5:$B$504,$B65,'Activity &amp; Event Log'!$G$5:$G$504,"?*"))</f>
        <v>8</v>
      </c>
      <c r="D65" s="11" t="n">
        <f aca="false">IF($B65="","",SUMIFS('Activity &amp; Event Log'!$W$5:$W$504,'Activity &amp; Event Log'!$B$5:$B$504,$B65))</f>
        <v>7</v>
      </c>
      <c r="E65" s="12" t="n">
        <f aca="false">IF($B65="","",IFERROR(D65/C65,""))</f>
        <v>0.875</v>
      </c>
      <c r="F65" s="15" t="n">
        <f aca="false">IF($B65="","",IFERROR(AVERAGEIFS('Activity &amp; Event Log'!$S$5:$S$504,'Activity &amp; Event Log'!$B$5:$B$504,$B65),""))</f>
        <v>27.142857139531</v>
      </c>
      <c r="G65" s="12" t="n">
        <f aca="false">IF($B65="","",IFERROR(COUNTIFS('Activity &amp; Event Log'!$B$5:$B$504,$B65,'Activity &amp; Event Log'!$U$5:$U$504,"Yes")/C65,""))</f>
        <v>0.875</v>
      </c>
      <c r="H65" s="11" t="n">
        <f aca="false">IF($B65="","",COUNTIFS('Activity &amp; Event Log'!$B$5:$B$504,$B65,'Activity &amp; Event Log'!$V$5:$V$504,"Missed Alert"))</f>
        <v>1</v>
      </c>
      <c r="I65" s="11" t="n">
        <f aca="false">IF($B65="","",COUNTIFS('Activity &amp; Event Log'!$B$5:$B$504,$B65,'Activity &amp; Event Log'!$V$5:$V$504,"Telemetry Blind Spot"))</f>
        <v>0</v>
      </c>
      <c r="J65" s="11" t="n">
        <f aca="false">IF($B65="","",COUNTIFS('Activity &amp; Event Log'!$B$5:$B$504,$B65,'Activity &amp; Event Log'!$V$5:$V$504,"Triage Delay"))</f>
        <v>0</v>
      </c>
      <c r="K65" s="15" t="n">
        <f aca="false">IF($B65="","",IFERROR(AVERAGEIFS('Activity &amp; Event Log'!$AF$5:$AF$504,'Activity &amp; Event Log'!$B$5:$B$504,$B65),""))</f>
        <v>30.5</v>
      </c>
      <c r="L65" s="12" t="n">
        <f aca="false">IF($B65="","",IFERROR(SUMIFS('Activity &amp; Event Log'!$AJ$5:$AJ$504,'Activity &amp; Event Log'!$B$5:$B$504,$B65)/D65,""))</f>
        <v>0.857142857142857</v>
      </c>
      <c r="M65" s="12" t="n">
        <f aca="false">IF($B65="","",IFERROR(COUNTIFS('Activity &amp; Event Log'!$B$5:$B$504,$B65,'Activity &amp; Event Log'!$AH$5:$AH$504,"Yes")/D65,""))</f>
        <v>0.857142857142857</v>
      </c>
      <c r="N65" s="11" t="n">
        <f aca="false">IF($B65="","",COUNTIFS('Activity &amp; Event Log'!$B$5:$B$504,$B65,'Activity &amp; Event Log'!$AI$5:$AI$504,"C2 Persisted"))</f>
        <v>1</v>
      </c>
    </row>
    <row r="66" customFormat="false" ht="15" hidden="false" customHeight="false" outlineLevel="0" collapsed="false">
      <c r="B66" s="10" t="str">
        <f aca="false">IF(Settings!H7="","",Settings!H7)</f>
        <v/>
      </c>
      <c r="C66" s="11" t="str">
        <f aca="false">IF($B66="","",COUNTIFS('Activity &amp; Event Log'!$B$5:$B$504,$B66,'Activity &amp; Event Log'!$G$5:$G$504,"?*"))</f>
        <v/>
      </c>
      <c r="D66" s="11" t="str">
        <f aca="false">IF($B66="","",SUMIFS('Activity &amp; Event Log'!$W$5:$W$504,'Activity &amp; Event Log'!$B$5:$B$504,$B66))</f>
        <v/>
      </c>
      <c r="E66" s="12" t="str">
        <f aca="false">IF($B66="","",IFERROR(D66/C66,""))</f>
        <v/>
      </c>
      <c r="F66" s="15" t="str">
        <f aca="false">IF($B66="","",IFERROR(AVERAGEIFS('Activity &amp; Event Log'!$S$5:$S$504,'Activity &amp; Event Log'!$B$5:$B$504,$B66),""))</f>
        <v/>
      </c>
      <c r="G66" s="12" t="str">
        <f aca="false">IF($B66="","",IFERROR(COUNTIFS('Activity &amp; Event Log'!$B$5:$B$504,$B66,'Activity &amp; Event Log'!$U$5:$U$504,"Yes")/C66,""))</f>
        <v/>
      </c>
      <c r="H66" s="11" t="str">
        <f aca="false">IF($B66="","",COUNTIFS('Activity &amp; Event Log'!$B$5:$B$504,$B66,'Activity &amp; Event Log'!$V$5:$V$504,"Missed Alert"))</f>
        <v/>
      </c>
      <c r="I66" s="11" t="str">
        <f aca="false">IF($B66="","",COUNTIFS('Activity &amp; Event Log'!$B$5:$B$504,$B66,'Activity &amp; Event Log'!$V$5:$V$504,"Telemetry Blind Spot"))</f>
        <v/>
      </c>
      <c r="J66" s="11" t="str">
        <f aca="false">IF($B66="","",COUNTIFS('Activity &amp; Event Log'!$B$5:$B$504,$B66,'Activity &amp; Event Log'!$V$5:$V$504,"Triage Delay"))</f>
        <v/>
      </c>
      <c r="K66" s="15" t="str">
        <f aca="false">IF($B66="","",IFERROR(AVERAGEIFS('Activity &amp; Event Log'!$AF$5:$AF$504,'Activity &amp; Event Log'!$B$5:$B$504,$B66),""))</f>
        <v/>
      </c>
      <c r="L66" s="12" t="str">
        <f aca="false">IF($B66="","",IFERROR(SUMIFS('Activity &amp; Event Log'!$AJ$5:$AJ$504,'Activity &amp; Event Log'!$B$5:$B$504,$B66)/D66,""))</f>
        <v/>
      </c>
      <c r="M66" s="12" t="str">
        <f aca="false">IF($B66="","",IFERROR(COUNTIFS('Activity &amp; Event Log'!$B$5:$B$504,$B66,'Activity &amp; Event Log'!$AH$5:$AH$504,"Yes")/D66,""))</f>
        <v/>
      </c>
      <c r="N66" s="11" t="str">
        <f aca="false">IF($B66="","",COUNTIFS('Activity &amp; Event Log'!$B$5:$B$504,$B66,'Activity &amp; Event Log'!$AI$5:$AI$504,"C2 Persisted"))</f>
        <v/>
      </c>
    </row>
    <row r="67" customFormat="false" ht="15" hidden="false" customHeight="false" outlineLevel="0" collapsed="false">
      <c r="B67" s="10" t="str">
        <f aca="false">IF(Settings!H8="","",Settings!H8)</f>
        <v/>
      </c>
      <c r="C67" s="11" t="str">
        <f aca="false">IF($B67="","",COUNTIFS('Activity &amp; Event Log'!$B$5:$B$504,$B67,'Activity &amp; Event Log'!$G$5:$G$504,"?*"))</f>
        <v/>
      </c>
      <c r="D67" s="11" t="str">
        <f aca="false">IF($B67="","",SUMIFS('Activity &amp; Event Log'!$W$5:$W$504,'Activity &amp; Event Log'!$B$5:$B$504,$B67))</f>
        <v/>
      </c>
      <c r="E67" s="12" t="str">
        <f aca="false">IF($B67="","",IFERROR(D67/C67,""))</f>
        <v/>
      </c>
      <c r="F67" s="15" t="str">
        <f aca="false">IF($B67="","",IFERROR(AVERAGEIFS('Activity &amp; Event Log'!$S$5:$S$504,'Activity &amp; Event Log'!$B$5:$B$504,$B67),""))</f>
        <v/>
      </c>
      <c r="G67" s="12" t="str">
        <f aca="false">IF($B67="","",IFERROR(COUNTIFS('Activity &amp; Event Log'!$B$5:$B$504,$B67,'Activity &amp; Event Log'!$U$5:$U$504,"Yes")/C67,""))</f>
        <v/>
      </c>
      <c r="H67" s="11" t="str">
        <f aca="false">IF($B67="","",COUNTIFS('Activity &amp; Event Log'!$B$5:$B$504,$B67,'Activity &amp; Event Log'!$V$5:$V$504,"Missed Alert"))</f>
        <v/>
      </c>
      <c r="I67" s="11" t="str">
        <f aca="false">IF($B67="","",COUNTIFS('Activity &amp; Event Log'!$B$5:$B$504,$B67,'Activity &amp; Event Log'!$V$5:$V$504,"Telemetry Blind Spot"))</f>
        <v/>
      </c>
      <c r="J67" s="11" t="str">
        <f aca="false">IF($B67="","",COUNTIFS('Activity &amp; Event Log'!$B$5:$B$504,$B67,'Activity &amp; Event Log'!$V$5:$V$504,"Triage Delay"))</f>
        <v/>
      </c>
      <c r="K67" s="15" t="str">
        <f aca="false">IF($B67="","",IFERROR(AVERAGEIFS('Activity &amp; Event Log'!$AF$5:$AF$504,'Activity &amp; Event Log'!$B$5:$B$504,$B67),""))</f>
        <v/>
      </c>
      <c r="L67" s="12" t="str">
        <f aca="false">IF($B67="","",IFERROR(SUMIFS('Activity &amp; Event Log'!$AJ$5:$AJ$504,'Activity &amp; Event Log'!$B$5:$B$504,$B67)/D67,""))</f>
        <v/>
      </c>
      <c r="M67" s="12" t="str">
        <f aca="false">IF($B67="","",IFERROR(COUNTIFS('Activity &amp; Event Log'!$B$5:$B$504,$B67,'Activity &amp; Event Log'!$AH$5:$AH$504,"Yes")/D67,""))</f>
        <v/>
      </c>
      <c r="N67" s="11" t="str">
        <f aca="false">IF($B67="","",COUNTIFS('Activity &amp; Event Log'!$B$5:$B$504,$B67,'Activity &amp; Event Log'!$AI$5:$AI$504,"C2 Persisted"))</f>
        <v/>
      </c>
    </row>
    <row r="68" customFormat="false" ht="15" hidden="false" customHeight="false" outlineLevel="0" collapsed="false">
      <c r="B68" s="10" t="str">
        <f aca="false">IF(Settings!H9="","",Settings!H9)</f>
        <v/>
      </c>
      <c r="C68" s="11" t="str">
        <f aca="false">IF($B68="","",COUNTIFS('Activity &amp; Event Log'!$B$5:$B$504,$B68,'Activity &amp; Event Log'!$G$5:$G$504,"?*"))</f>
        <v/>
      </c>
      <c r="D68" s="11" t="str">
        <f aca="false">IF($B68="","",SUMIFS('Activity &amp; Event Log'!$W$5:$W$504,'Activity &amp; Event Log'!$B$5:$B$504,$B68))</f>
        <v/>
      </c>
      <c r="E68" s="12" t="str">
        <f aca="false">IF($B68="","",IFERROR(D68/C68,""))</f>
        <v/>
      </c>
      <c r="F68" s="15" t="str">
        <f aca="false">IF($B68="","",IFERROR(AVERAGEIFS('Activity &amp; Event Log'!$S$5:$S$504,'Activity &amp; Event Log'!$B$5:$B$504,$B68),""))</f>
        <v/>
      </c>
      <c r="G68" s="12" t="str">
        <f aca="false">IF($B68="","",IFERROR(COUNTIFS('Activity &amp; Event Log'!$B$5:$B$504,$B68,'Activity &amp; Event Log'!$U$5:$U$504,"Yes")/C68,""))</f>
        <v/>
      </c>
      <c r="H68" s="11" t="str">
        <f aca="false">IF($B68="","",COUNTIFS('Activity &amp; Event Log'!$B$5:$B$504,$B68,'Activity &amp; Event Log'!$V$5:$V$504,"Missed Alert"))</f>
        <v/>
      </c>
      <c r="I68" s="11" t="str">
        <f aca="false">IF($B68="","",COUNTIFS('Activity &amp; Event Log'!$B$5:$B$504,$B68,'Activity &amp; Event Log'!$V$5:$V$504,"Telemetry Blind Spot"))</f>
        <v/>
      </c>
      <c r="J68" s="11" t="str">
        <f aca="false">IF($B68="","",COUNTIFS('Activity &amp; Event Log'!$B$5:$B$504,$B68,'Activity &amp; Event Log'!$V$5:$V$504,"Triage Delay"))</f>
        <v/>
      </c>
      <c r="K68" s="15" t="str">
        <f aca="false">IF($B68="","",IFERROR(AVERAGEIFS('Activity &amp; Event Log'!$AF$5:$AF$504,'Activity &amp; Event Log'!$B$5:$B$504,$B68),""))</f>
        <v/>
      </c>
      <c r="L68" s="12" t="str">
        <f aca="false">IF($B68="","",IFERROR(SUMIFS('Activity &amp; Event Log'!$AJ$5:$AJ$504,'Activity &amp; Event Log'!$B$5:$B$504,$B68)/D68,""))</f>
        <v/>
      </c>
      <c r="M68" s="12" t="str">
        <f aca="false">IF($B68="","",IFERROR(COUNTIFS('Activity &amp; Event Log'!$B$5:$B$504,$B68,'Activity &amp; Event Log'!$AH$5:$AH$504,"Yes")/D68,""))</f>
        <v/>
      </c>
      <c r="N68" s="11" t="str">
        <f aca="false">IF($B68="","",COUNTIFS('Activity &amp; Event Log'!$B$5:$B$504,$B68,'Activity &amp; Event Log'!$AI$5:$AI$504,"C2 Persisted"))</f>
        <v/>
      </c>
    </row>
    <row r="69" customFormat="false" ht="15" hidden="false" customHeight="false" outlineLevel="0" collapsed="false">
      <c r="B69" s="10" t="str">
        <f aca="false">IF(Settings!H10="","",Settings!H10)</f>
        <v/>
      </c>
      <c r="C69" s="11" t="str">
        <f aca="false">IF($B69="","",COUNTIFS('Activity &amp; Event Log'!$B$5:$B$504,$B69,'Activity &amp; Event Log'!$G$5:$G$504,"?*"))</f>
        <v/>
      </c>
      <c r="D69" s="11" t="str">
        <f aca="false">IF($B69="","",SUMIFS('Activity &amp; Event Log'!$W$5:$W$504,'Activity &amp; Event Log'!$B$5:$B$504,$B69))</f>
        <v/>
      </c>
      <c r="E69" s="12" t="str">
        <f aca="false">IF($B69="","",IFERROR(D69/C69,""))</f>
        <v/>
      </c>
      <c r="F69" s="15" t="str">
        <f aca="false">IF($B69="","",IFERROR(AVERAGEIFS('Activity &amp; Event Log'!$S$5:$S$504,'Activity &amp; Event Log'!$B$5:$B$504,$B69),""))</f>
        <v/>
      </c>
      <c r="G69" s="12" t="str">
        <f aca="false">IF($B69="","",IFERROR(COUNTIFS('Activity &amp; Event Log'!$B$5:$B$504,$B69,'Activity &amp; Event Log'!$U$5:$U$504,"Yes")/C69,""))</f>
        <v/>
      </c>
      <c r="H69" s="11" t="str">
        <f aca="false">IF($B69="","",COUNTIFS('Activity &amp; Event Log'!$B$5:$B$504,$B69,'Activity &amp; Event Log'!$V$5:$V$504,"Missed Alert"))</f>
        <v/>
      </c>
      <c r="I69" s="11" t="str">
        <f aca="false">IF($B69="","",COUNTIFS('Activity &amp; Event Log'!$B$5:$B$504,$B69,'Activity &amp; Event Log'!$V$5:$V$504,"Telemetry Blind Spot"))</f>
        <v/>
      </c>
      <c r="J69" s="11" t="str">
        <f aca="false">IF($B69="","",COUNTIFS('Activity &amp; Event Log'!$B$5:$B$504,$B69,'Activity &amp; Event Log'!$V$5:$V$504,"Triage Delay"))</f>
        <v/>
      </c>
      <c r="K69" s="15" t="str">
        <f aca="false">IF($B69="","",IFERROR(AVERAGEIFS('Activity &amp; Event Log'!$AF$5:$AF$504,'Activity &amp; Event Log'!$B$5:$B$504,$B69),""))</f>
        <v/>
      </c>
      <c r="L69" s="12" t="str">
        <f aca="false">IF($B69="","",IFERROR(SUMIFS('Activity &amp; Event Log'!$AJ$5:$AJ$504,'Activity &amp; Event Log'!$B$5:$B$504,$B69)/D69,""))</f>
        <v/>
      </c>
      <c r="M69" s="12" t="str">
        <f aca="false">IF($B69="","",IFERROR(COUNTIFS('Activity &amp; Event Log'!$B$5:$B$504,$B69,'Activity &amp; Event Log'!$AH$5:$AH$504,"Yes")/D69,""))</f>
        <v/>
      </c>
      <c r="N69" s="11" t="str">
        <f aca="false">IF($B69="","",COUNTIFS('Activity &amp; Event Log'!$B$5:$B$504,$B69,'Activity &amp; Event Log'!$AI$5:$AI$504,"C2 Persisted"))</f>
        <v/>
      </c>
    </row>
    <row r="70" customFormat="false" ht="15" hidden="false" customHeight="false" outlineLevel="0" collapsed="false">
      <c r="B70" s="10" t="str">
        <f aca="false">IF(Settings!H11="","",Settings!H11)</f>
        <v/>
      </c>
      <c r="C70" s="11" t="str">
        <f aca="false">IF($B70="","",COUNTIFS('Activity &amp; Event Log'!$B$5:$B$504,$B70,'Activity &amp; Event Log'!$G$5:$G$504,"?*"))</f>
        <v/>
      </c>
      <c r="D70" s="11" t="str">
        <f aca="false">IF($B70="","",SUMIFS('Activity &amp; Event Log'!$W$5:$W$504,'Activity &amp; Event Log'!$B$5:$B$504,$B70))</f>
        <v/>
      </c>
      <c r="E70" s="12" t="str">
        <f aca="false">IF($B70="","",IFERROR(D70/C70,""))</f>
        <v/>
      </c>
      <c r="F70" s="15" t="str">
        <f aca="false">IF($B70="","",IFERROR(AVERAGEIFS('Activity &amp; Event Log'!$S$5:$S$504,'Activity &amp; Event Log'!$B$5:$B$504,$B70),""))</f>
        <v/>
      </c>
      <c r="G70" s="12" t="str">
        <f aca="false">IF($B70="","",IFERROR(COUNTIFS('Activity &amp; Event Log'!$B$5:$B$504,$B70,'Activity &amp; Event Log'!$U$5:$U$504,"Yes")/C70,""))</f>
        <v/>
      </c>
      <c r="H70" s="11" t="str">
        <f aca="false">IF($B70="","",COUNTIFS('Activity &amp; Event Log'!$B$5:$B$504,$B70,'Activity &amp; Event Log'!$V$5:$V$504,"Missed Alert"))</f>
        <v/>
      </c>
      <c r="I70" s="11" t="str">
        <f aca="false">IF($B70="","",COUNTIFS('Activity &amp; Event Log'!$B$5:$B$504,$B70,'Activity &amp; Event Log'!$V$5:$V$504,"Telemetry Blind Spot"))</f>
        <v/>
      </c>
      <c r="J70" s="11" t="str">
        <f aca="false">IF($B70="","",COUNTIFS('Activity &amp; Event Log'!$B$5:$B$504,$B70,'Activity &amp; Event Log'!$V$5:$V$504,"Triage Delay"))</f>
        <v/>
      </c>
      <c r="K70" s="15" t="str">
        <f aca="false">IF($B70="","",IFERROR(AVERAGEIFS('Activity &amp; Event Log'!$AF$5:$AF$504,'Activity &amp; Event Log'!$B$5:$B$504,$B70),""))</f>
        <v/>
      </c>
      <c r="L70" s="12" t="str">
        <f aca="false">IF($B70="","",IFERROR(SUMIFS('Activity &amp; Event Log'!$AJ$5:$AJ$504,'Activity &amp; Event Log'!$B$5:$B$504,$B70)/D70,""))</f>
        <v/>
      </c>
      <c r="M70" s="12" t="str">
        <f aca="false">IF($B70="","",IFERROR(COUNTIFS('Activity &amp; Event Log'!$B$5:$B$504,$B70,'Activity &amp; Event Log'!$AH$5:$AH$504,"Yes")/D70,""))</f>
        <v/>
      </c>
      <c r="N70" s="11" t="str">
        <f aca="false">IF($B70="","",COUNTIFS('Activity &amp; Event Log'!$B$5:$B$504,$B70,'Activity &amp; Event Log'!$AI$5:$AI$504,"C2 Persisted"))</f>
        <v/>
      </c>
    </row>
    <row r="71" customFormat="false" ht="15" hidden="false" customHeight="false" outlineLevel="0" collapsed="false">
      <c r="B71" s="10" t="str">
        <f aca="false">IF(Settings!H12="","",Settings!H12)</f>
        <v/>
      </c>
      <c r="C71" s="11" t="str">
        <f aca="false">IF($B71="","",COUNTIFS('Activity &amp; Event Log'!$B$5:$B$504,$B71,'Activity &amp; Event Log'!$G$5:$G$504,"?*"))</f>
        <v/>
      </c>
      <c r="D71" s="11" t="str">
        <f aca="false">IF($B71="","",SUMIFS('Activity &amp; Event Log'!$W$5:$W$504,'Activity &amp; Event Log'!$B$5:$B$504,$B71))</f>
        <v/>
      </c>
      <c r="E71" s="12" t="str">
        <f aca="false">IF($B71="","",IFERROR(D71/C71,""))</f>
        <v/>
      </c>
      <c r="F71" s="15" t="str">
        <f aca="false">IF($B71="","",IFERROR(AVERAGEIFS('Activity &amp; Event Log'!$S$5:$S$504,'Activity &amp; Event Log'!$B$5:$B$504,$B71),""))</f>
        <v/>
      </c>
      <c r="G71" s="12" t="str">
        <f aca="false">IF($B71="","",IFERROR(COUNTIFS('Activity &amp; Event Log'!$B$5:$B$504,$B71,'Activity &amp; Event Log'!$U$5:$U$504,"Yes")/C71,""))</f>
        <v/>
      </c>
      <c r="H71" s="11" t="str">
        <f aca="false">IF($B71="","",COUNTIFS('Activity &amp; Event Log'!$B$5:$B$504,$B71,'Activity &amp; Event Log'!$V$5:$V$504,"Missed Alert"))</f>
        <v/>
      </c>
      <c r="I71" s="11" t="str">
        <f aca="false">IF($B71="","",COUNTIFS('Activity &amp; Event Log'!$B$5:$B$504,$B71,'Activity &amp; Event Log'!$V$5:$V$504,"Telemetry Blind Spot"))</f>
        <v/>
      </c>
      <c r="J71" s="11" t="str">
        <f aca="false">IF($B71="","",COUNTIFS('Activity &amp; Event Log'!$B$5:$B$504,$B71,'Activity &amp; Event Log'!$V$5:$V$504,"Triage Delay"))</f>
        <v/>
      </c>
      <c r="K71" s="15" t="str">
        <f aca="false">IF($B71="","",IFERROR(AVERAGEIFS('Activity &amp; Event Log'!$AF$5:$AF$504,'Activity &amp; Event Log'!$B$5:$B$504,$B71),""))</f>
        <v/>
      </c>
      <c r="L71" s="12" t="str">
        <f aca="false">IF($B71="","",IFERROR(SUMIFS('Activity &amp; Event Log'!$AJ$5:$AJ$504,'Activity &amp; Event Log'!$B$5:$B$504,$B71)/D71,""))</f>
        <v/>
      </c>
      <c r="M71" s="12" t="str">
        <f aca="false">IF($B71="","",IFERROR(COUNTIFS('Activity &amp; Event Log'!$B$5:$B$504,$B71,'Activity &amp; Event Log'!$AH$5:$AH$504,"Yes")/D71,""))</f>
        <v/>
      </c>
      <c r="N71" s="11" t="str">
        <f aca="false">IF($B71="","",COUNTIFS('Activity &amp; Event Log'!$B$5:$B$504,$B71,'Activity &amp; Event Log'!$AI$5:$AI$504,"C2 Persisted"))</f>
        <v/>
      </c>
    </row>
    <row r="74" customFormat="false" ht="15" hidden="false" customHeight="false" outlineLevel="0" collapsed="false">
      <c r="B74" s="20" t="s">
        <v>122</v>
      </c>
    </row>
    <row r="75" customFormat="false" ht="15" hidden="false" customHeight="false" outlineLevel="0" collapsed="false">
      <c r="B75" s="4" t="s">
        <v>123</v>
      </c>
    </row>
    <row r="76" customFormat="false" ht="158.2" hidden="false" customHeight="false" outlineLevel="0" collapsed="false">
      <c r="B76" s="6" t="s">
        <v>124</v>
      </c>
      <c r="C76" s="6" t="s">
        <v>125</v>
      </c>
      <c r="D76" s="6" t="s">
        <v>126</v>
      </c>
      <c r="E76" s="6" t="s">
        <v>81</v>
      </c>
      <c r="F76" s="6" t="s">
        <v>82</v>
      </c>
      <c r="G76" s="6" t="s">
        <v>44</v>
      </c>
      <c r="H76" s="6" t="s">
        <v>50</v>
      </c>
      <c r="I76" s="6" t="s">
        <v>59</v>
      </c>
      <c r="J76" s="6" t="s">
        <v>83</v>
      </c>
      <c r="K76" s="6" t="s">
        <v>127</v>
      </c>
      <c r="L76" s="6" t="s">
        <v>128</v>
      </c>
    </row>
    <row r="77" customFormat="false" ht="15" hidden="false" customHeight="false" outlineLevel="0" collapsed="false">
      <c r="B77" s="10" t="str">
        <f aca="false">IF(Settings!$O$5="","",Settings!$Q$5)</f>
        <v>Initial Access</v>
      </c>
      <c r="C77" s="10" t="str">
        <f aca="false">IF(Settings!$O$5="","",Settings!$O$5)</f>
        <v>T1566.001</v>
      </c>
      <c r="D77" s="10" t="str">
        <f aca="false">IF(Settings!$O$5="","",Settings!$P$5)</f>
        <v>Spearphishing Attachment</v>
      </c>
      <c r="E77" s="11" t="n">
        <f aca="false">IF(Settings!$O$5="","",COUNTIFS('Activity &amp; Event Log'!$D$5:$D$504,Settings!$O$5,'Activity &amp; Event Log'!$G$5:$G$504,"?*"))</f>
        <v>2</v>
      </c>
      <c r="F77" s="11" t="n">
        <f aca="false">IF(Settings!$O$5="","",SUMIFS('Activity &amp; Event Log'!$W$5:$W$504,'Activity &amp; Event Log'!$D$5:$D$504,Settings!$O$5))</f>
        <v>2</v>
      </c>
      <c r="G77" s="12" t="n">
        <f aca="false">IF(OR(Settings!$O$5="",E77=0),"",F77/E77)</f>
        <v>1</v>
      </c>
      <c r="H77" s="15" t="n">
        <f aca="false">IF(OR(Settings!$O$5="",F77=0),"",AVERAGEIFS('Activity &amp; Event Log'!$S$5:$S$504,'Activity &amp; Event Log'!$D$5:$D$504,Settings!$O$5))</f>
        <v>36.5</v>
      </c>
      <c r="I77" s="15" t="n">
        <f aca="false">IF(OR(Settings!$O$5="",F77=0),"",_xlfn.MAXIFS('Activity &amp; Event Log'!$S$5:$S$504,'Activity &amp; Event Log'!$D$5:$D$504,Settings!$O$5))</f>
        <v>52</v>
      </c>
      <c r="J77" s="12" t="n">
        <f aca="false">IF(OR(Settings!$O$5="",E77=0),"",COUNTIFS('Activity &amp; Event Log'!$D$5:$D$504,Settings!$O$5,'Activity &amp; Event Log'!$U$5:$U$504,"Yes")/E77)</f>
        <v>1</v>
      </c>
      <c r="K77" s="10" t="str">
        <f aca="false">IF(OR(Settings!$O$5="",E77=0),"",IF(MAX(COUNTIFS('Activity &amp; Event Log'!$D$5:$D$504,Settings!$O$5,'Activity &amp; Event Log'!$V$5:$V$504,"Telemetry Blind Spot"),COUNTIFS('Activity &amp; Event Log'!$D$5:$D$504,Settings!$O$5,'Activity &amp; Event Log'!$V$5:$V$504,"Missed Alert"),COUNTIFS('Activity &amp; Event Log'!$D$5:$D$504,Settings!$O$5,'Activity &amp; Event Log'!$V$5:$V$504,"Triage Delay"))=0,"None",IF(COUNTIFS('Activity &amp; Event Log'!$D$5:$D$504,Settings!$O$5,'Activity &amp; Event Log'!$V$5:$V$504,"Telemetry Blind Spot")&gt;=COUNTIFS('Activity &amp; Event Log'!$D$5:$D$504,Settings!$O$5,'Activity &amp; Event Log'!$V$5:$V$504,"Missed Alert"),IF(COUNTIFS('Activity &amp; Event Log'!$D$5:$D$504,Settings!$O$5,'Activity &amp; Event Log'!$V$5:$V$504,"Telemetry Blind Spot")&gt;=COUNTIFS('Activity &amp; Event Log'!$D$5:$D$504,Settings!$O$5,'Activity &amp; Event Log'!$V$5:$V$504,"Triage Delay"),"Blind Spot",IF(COUNTIFS('Activity &amp; Event Log'!$D$5:$D$504,Settings!$O$5,'Activity &amp; Event Log'!$V$5:$V$504,"Missed Alert")&gt;=COUNTIFS('Activity &amp; Event Log'!$D$5:$D$504,Settings!$O$5,'Activity &amp; Event Log'!$V$5:$V$504,"Triage Delay"),"Missed Alert","Triage Delay")),IF(COUNTIFS('Activity &amp; Event Log'!$D$5:$D$504,Settings!$O$5,'Activity &amp; Event Log'!$V$5:$V$504,"Missed Alert")&gt;=COUNTIFS('Activity &amp; Event Log'!$D$5:$D$504,Settings!$O$5,'Activity &amp; Event Log'!$V$5:$V$504,"Triage Delay"),"Missed Alert","Triage Delay"))))</f>
        <v>None</v>
      </c>
      <c r="L77" s="10" t="str">
        <f aca="false">IF(OR(Settings!$O$5="",E77=0),"",IF((COUNTIFS('Activity &amp; Event Log'!$D$5:$D$504,Settings!$O$5,'Activity &amp; Event Log'!$V$5:$V$504,"Telemetry Blind Spot")+COUNTIFS('Activity &amp; Event Log'!$D$5:$D$504,Settings!$O$5,'Activity &amp; Event Log'!$V$5:$V$504,"Missed Alert")+COUNTIFS('Activity &amp; Event Log'!$D$5:$D$504,Settings!$O$5,'Activity &amp; Event Log'!$V$5:$V$504,"Detected - SLA Breach"))&gt;=Settings!$B$11,"High","Normal"))</f>
        <v>Normal</v>
      </c>
    </row>
    <row r="78" customFormat="false" ht="15" hidden="false" customHeight="false" outlineLevel="0" collapsed="false">
      <c r="B78" s="10" t="str">
        <f aca="false">IF(Settings!$O$6="","",Settings!$Q$6)</f>
        <v>Execution</v>
      </c>
      <c r="C78" s="10" t="str">
        <f aca="false">IF(Settings!$O$6="","",Settings!$O$6)</f>
        <v>T1059.001</v>
      </c>
      <c r="D78" s="10" t="str">
        <f aca="false">IF(Settings!$O$6="","",Settings!$P$6)</f>
        <v>PowerShell</v>
      </c>
      <c r="E78" s="11" t="n">
        <f aca="false">IF(Settings!$O$6="","",COUNTIFS('Activity &amp; Event Log'!$D$5:$D$504,Settings!$O$6,'Activity &amp; Event Log'!$G$5:$G$504,"?*"))</f>
        <v>2</v>
      </c>
      <c r="F78" s="11" t="n">
        <f aca="false">IF(Settings!$O$6="","",SUMIFS('Activity &amp; Event Log'!$W$5:$W$504,'Activity &amp; Event Log'!$D$5:$D$504,Settings!$O$6))</f>
        <v>2</v>
      </c>
      <c r="G78" s="12" t="n">
        <f aca="false">IF(OR(Settings!$O$6="",E78=0),"",F78/E78)</f>
        <v>1</v>
      </c>
      <c r="H78" s="15" t="n">
        <f aca="false">IF(OR(Settings!$O$6="",F78=0),"",AVERAGEIFS('Activity &amp; Event Log'!$S$5:$S$504,'Activity &amp; Event Log'!$D$5:$D$504,Settings!$O$6))</f>
        <v>22.5</v>
      </c>
      <c r="I78" s="15" t="n">
        <f aca="false">IF(OR(Settings!$O$6="",F78=0),"",_xlfn.MAXIFS('Activity &amp; Event Log'!$S$5:$S$504,'Activity &amp; Event Log'!$D$5:$D$504,Settings!$O$6))</f>
        <v>38</v>
      </c>
      <c r="J78" s="12" t="n">
        <f aca="false">IF(OR(Settings!$O$6="",E78=0),"",COUNTIFS('Activity &amp; Event Log'!$D$5:$D$504,Settings!$O$6,'Activity &amp; Event Log'!$U$5:$U$504,"Yes")/E78)</f>
        <v>0.5</v>
      </c>
      <c r="K78" s="10" t="str">
        <f aca="false">IF(OR(Settings!$O$6="",E78=0),"",IF(MAX(COUNTIFS('Activity &amp; Event Log'!$D$5:$D$504,Settings!$O$6,'Activity &amp; Event Log'!$V$5:$V$504,"Telemetry Blind Spot"),COUNTIFS('Activity &amp; Event Log'!$D$5:$D$504,Settings!$O$6,'Activity &amp; Event Log'!$V$5:$V$504,"Missed Alert"),COUNTIFS('Activity &amp; Event Log'!$D$5:$D$504,Settings!$O$6,'Activity &amp; Event Log'!$V$5:$V$504,"Triage Delay"))=0,"None",IF(COUNTIFS('Activity &amp; Event Log'!$D$5:$D$504,Settings!$O$6,'Activity &amp; Event Log'!$V$5:$V$504,"Telemetry Blind Spot")&gt;=COUNTIFS('Activity &amp; Event Log'!$D$5:$D$504,Settings!$O$6,'Activity &amp; Event Log'!$V$5:$V$504,"Missed Alert"),IF(COUNTIFS('Activity &amp; Event Log'!$D$5:$D$504,Settings!$O$6,'Activity &amp; Event Log'!$V$5:$V$504,"Telemetry Blind Spot")&gt;=COUNTIFS('Activity &amp; Event Log'!$D$5:$D$504,Settings!$O$6,'Activity &amp; Event Log'!$V$5:$V$504,"Triage Delay"),"Blind Spot",IF(COUNTIFS('Activity &amp; Event Log'!$D$5:$D$504,Settings!$O$6,'Activity &amp; Event Log'!$V$5:$V$504,"Missed Alert")&gt;=COUNTIFS('Activity &amp; Event Log'!$D$5:$D$504,Settings!$O$6,'Activity &amp; Event Log'!$V$5:$V$504,"Triage Delay"),"Missed Alert","Triage Delay")),IF(COUNTIFS('Activity &amp; Event Log'!$D$5:$D$504,Settings!$O$6,'Activity &amp; Event Log'!$V$5:$V$504,"Missed Alert")&gt;=COUNTIFS('Activity &amp; Event Log'!$D$5:$D$504,Settings!$O$6,'Activity &amp; Event Log'!$V$5:$V$504,"Triage Delay"),"Missed Alert","Triage Delay"))))</f>
        <v>Triage Delay</v>
      </c>
      <c r="L78" s="10" t="str">
        <f aca="false">IF(OR(Settings!$O$6="",E78=0),"",IF((COUNTIFS('Activity &amp; Event Log'!$D$5:$D$504,Settings!$O$6,'Activity &amp; Event Log'!$V$5:$V$504,"Telemetry Blind Spot")+COUNTIFS('Activity &amp; Event Log'!$D$5:$D$504,Settings!$O$6,'Activity &amp; Event Log'!$V$5:$V$504,"Missed Alert")+COUNTIFS('Activity &amp; Event Log'!$D$5:$D$504,Settings!$O$6,'Activity &amp; Event Log'!$V$5:$V$504,"Detected - SLA Breach"))&gt;=Settings!$B$11,"High","Normal"))</f>
        <v>Normal</v>
      </c>
    </row>
    <row r="79" customFormat="false" ht="15" hidden="false" customHeight="false" outlineLevel="0" collapsed="false">
      <c r="B79" s="10" t="str">
        <f aca="false">IF(Settings!$O$7="","",Settings!$Q$7)</f>
        <v>Persistence</v>
      </c>
      <c r="C79" s="10" t="str">
        <f aca="false">IF(Settings!$O$7="","",Settings!$O$7)</f>
        <v>T1053.005</v>
      </c>
      <c r="D79" s="10" t="str">
        <f aca="false">IF(Settings!$O$7="","",Settings!$P$7)</f>
        <v>Scheduled Task</v>
      </c>
      <c r="E79" s="11" t="n">
        <f aca="false">IF(Settings!$O$7="","",COUNTIFS('Activity &amp; Event Log'!$D$5:$D$504,Settings!$O$7,'Activity &amp; Event Log'!$G$5:$G$504,"?*"))</f>
        <v>2</v>
      </c>
      <c r="F79" s="11" t="n">
        <f aca="false">IF(Settings!$O$7="","",SUMIFS('Activity &amp; Event Log'!$W$5:$W$504,'Activity &amp; Event Log'!$D$5:$D$504,Settings!$O$7))</f>
        <v>1</v>
      </c>
      <c r="G79" s="12" t="n">
        <f aca="false">IF(OR(Settings!$O$7="",E79=0),"",F79/E79)</f>
        <v>0.5</v>
      </c>
      <c r="H79" s="15" t="n">
        <f aca="false">IF(OR(Settings!$O$7="",F79=0),"",AVERAGEIFS('Activity &amp; Event Log'!$S$5:$S$504,'Activity &amp; Event Log'!$D$5:$D$504,Settings!$O$7))</f>
        <v>25</v>
      </c>
      <c r="I79" s="15" t="n">
        <f aca="false">IF(OR(Settings!$O$7="",F79=0),"",_xlfn.MAXIFS('Activity &amp; Event Log'!$S$5:$S$504,'Activity &amp; Event Log'!$D$5:$D$504,Settings!$O$7))</f>
        <v>25</v>
      </c>
      <c r="J79" s="12" t="n">
        <f aca="false">IF(OR(Settings!$O$7="",E79=0),"",COUNTIFS('Activity &amp; Event Log'!$D$5:$D$504,Settings!$O$7,'Activity &amp; Event Log'!$U$5:$U$504,"Yes")/E79)</f>
        <v>0.5</v>
      </c>
      <c r="K79" s="10" t="str">
        <f aca="false">IF(OR(Settings!$O$7="",E79=0),"",IF(MAX(COUNTIFS('Activity &amp; Event Log'!$D$5:$D$504,Settings!$O$7,'Activity &amp; Event Log'!$V$5:$V$504,"Telemetry Blind Spot"),COUNTIFS('Activity &amp; Event Log'!$D$5:$D$504,Settings!$O$7,'Activity &amp; Event Log'!$V$5:$V$504,"Missed Alert"),COUNTIFS('Activity &amp; Event Log'!$D$5:$D$504,Settings!$O$7,'Activity &amp; Event Log'!$V$5:$V$504,"Triage Delay"))=0,"None",IF(COUNTIFS('Activity &amp; Event Log'!$D$5:$D$504,Settings!$O$7,'Activity &amp; Event Log'!$V$5:$V$504,"Telemetry Blind Spot")&gt;=COUNTIFS('Activity &amp; Event Log'!$D$5:$D$504,Settings!$O$7,'Activity &amp; Event Log'!$V$5:$V$504,"Missed Alert"),IF(COUNTIFS('Activity &amp; Event Log'!$D$5:$D$504,Settings!$O$7,'Activity &amp; Event Log'!$V$5:$V$504,"Telemetry Blind Spot")&gt;=COUNTIFS('Activity &amp; Event Log'!$D$5:$D$504,Settings!$O$7,'Activity &amp; Event Log'!$V$5:$V$504,"Triage Delay"),"Blind Spot",IF(COUNTIFS('Activity &amp; Event Log'!$D$5:$D$504,Settings!$O$7,'Activity &amp; Event Log'!$V$5:$V$504,"Missed Alert")&gt;=COUNTIFS('Activity &amp; Event Log'!$D$5:$D$504,Settings!$O$7,'Activity &amp; Event Log'!$V$5:$V$504,"Triage Delay"),"Missed Alert","Triage Delay")),IF(COUNTIFS('Activity &amp; Event Log'!$D$5:$D$504,Settings!$O$7,'Activity &amp; Event Log'!$V$5:$V$504,"Missed Alert")&gt;=COUNTIFS('Activity &amp; Event Log'!$D$5:$D$504,Settings!$O$7,'Activity &amp; Event Log'!$V$5:$V$504,"Triage Delay"),"Missed Alert","Triage Delay"))))</f>
        <v>Missed Alert</v>
      </c>
      <c r="L79" s="10" t="str">
        <f aca="false">IF(OR(Settings!$O$7="",E79=0),"",IF((COUNTIFS('Activity &amp; Event Log'!$D$5:$D$504,Settings!$O$7,'Activity &amp; Event Log'!$V$5:$V$504,"Telemetry Blind Spot")+COUNTIFS('Activity &amp; Event Log'!$D$5:$D$504,Settings!$O$7,'Activity &amp; Event Log'!$V$5:$V$504,"Missed Alert")+COUNTIFS('Activity &amp; Event Log'!$D$5:$D$504,Settings!$O$7,'Activity &amp; Event Log'!$V$5:$V$504,"Detected - SLA Breach"))&gt;=Settings!$B$11,"High","Normal"))</f>
        <v>Normal</v>
      </c>
    </row>
    <row r="80" customFormat="false" ht="15" hidden="false" customHeight="false" outlineLevel="0" collapsed="false">
      <c r="B80" s="10" t="str">
        <f aca="false">IF(Settings!$O$8="","",Settings!$Q$8)</f>
        <v>Defense Evasion</v>
      </c>
      <c r="C80" s="10" t="str">
        <f aca="false">IF(Settings!$O$8="","",Settings!$O$8)</f>
        <v>T1562.001</v>
      </c>
      <c r="D80" s="10" t="str">
        <f aca="false">IF(Settings!$O$8="","",Settings!$P$8)</f>
        <v>Disable or Modify Tools</v>
      </c>
      <c r="E80" s="11" t="n">
        <f aca="false">IF(Settings!$O$8="","",COUNTIFS('Activity &amp; Event Log'!$D$5:$D$504,Settings!$O$8,'Activity &amp; Event Log'!$G$5:$G$504,"?*"))</f>
        <v>2</v>
      </c>
      <c r="F80" s="11" t="n">
        <f aca="false">IF(Settings!$O$8="","",SUMIFS('Activity &amp; Event Log'!$W$5:$W$504,'Activity &amp; Event Log'!$D$5:$D$504,Settings!$O$8))</f>
        <v>2</v>
      </c>
      <c r="G80" s="12" t="n">
        <f aca="false">IF(OR(Settings!$O$8="",E80=0),"",F80/E80)</f>
        <v>1</v>
      </c>
      <c r="H80" s="15" t="n">
        <f aca="false">IF(OR(Settings!$O$8="",F80=0),"",AVERAGEIFS('Activity &amp; Event Log'!$S$5:$S$504,'Activity &amp; Event Log'!$D$5:$D$504,Settings!$O$8))</f>
        <v>7.49999998846667</v>
      </c>
      <c r="I80" s="15" t="n">
        <f aca="false">IF(OR(Settings!$O$8="",F80=0),"",_xlfn.MAXIFS('Activity &amp; Event Log'!$S$5:$S$504,'Activity &amp; Event Log'!$D$5:$D$504,Settings!$O$8))</f>
        <v>8.99999997693334</v>
      </c>
      <c r="J80" s="12" t="n">
        <f aca="false">IF(OR(Settings!$O$8="",E80=0),"",COUNTIFS('Activity &amp; Event Log'!$D$5:$D$504,Settings!$O$8,'Activity &amp; Event Log'!$U$5:$U$504,"Yes")/E80)</f>
        <v>1</v>
      </c>
      <c r="K80" s="10" t="str">
        <f aca="false">IF(OR(Settings!$O$8="",E80=0),"",IF(MAX(COUNTIFS('Activity &amp; Event Log'!$D$5:$D$504,Settings!$O$8,'Activity &amp; Event Log'!$V$5:$V$504,"Telemetry Blind Spot"),COUNTIFS('Activity &amp; Event Log'!$D$5:$D$504,Settings!$O$8,'Activity &amp; Event Log'!$V$5:$V$504,"Missed Alert"),COUNTIFS('Activity &amp; Event Log'!$D$5:$D$504,Settings!$O$8,'Activity &amp; Event Log'!$V$5:$V$504,"Triage Delay"))=0,"None",IF(COUNTIFS('Activity &amp; Event Log'!$D$5:$D$504,Settings!$O$8,'Activity &amp; Event Log'!$V$5:$V$504,"Telemetry Blind Spot")&gt;=COUNTIFS('Activity &amp; Event Log'!$D$5:$D$504,Settings!$O$8,'Activity &amp; Event Log'!$V$5:$V$504,"Missed Alert"),IF(COUNTIFS('Activity &amp; Event Log'!$D$5:$D$504,Settings!$O$8,'Activity &amp; Event Log'!$V$5:$V$504,"Telemetry Blind Spot")&gt;=COUNTIFS('Activity &amp; Event Log'!$D$5:$D$504,Settings!$O$8,'Activity &amp; Event Log'!$V$5:$V$504,"Triage Delay"),"Blind Spot",IF(COUNTIFS('Activity &amp; Event Log'!$D$5:$D$504,Settings!$O$8,'Activity &amp; Event Log'!$V$5:$V$504,"Missed Alert")&gt;=COUNTIFS('Activity &amp; Event Log'!$D$5:$D$504,Settings!$O$8,'Activity &amp; Event Log'!$V$5:$V$504,"Triage Delay"),"Missed Alert","Triage Delay")),IF(COUNTIFS('Activity &amp; Event Log'!$D$5:$D$504,Settings!$O$8,'Activity &amp; Event Log'!$V$5:$V$504,"Missed Alert")&gt;=COUNTIFS('Activity &amp; Event Log'!$D$5:$D$504,Settings!$O$8,'Activity &amp; Event Log'!$V$5:$V$504,"Triage Delay"),"Missed Alert","Triage Delay"))))</f>
        <v>None</v>
      </c>
      <c r="L80" s="10" t="str">
        <f aca="false">IF(OR(Settings!$O$8="",E80=0),"",IF((COUNTIFS('Activity &amp; Event Log'!$D$5:$D$504,Settings!$O$8,'Activity &amp; Event Log'!$V$5:$V$504,"Telemetry Blind Spot")+COUNTIFS('Activity &amp; Event Log'!$D$5:$D$504,Settings!$O$8,'Activity &amp; Event Log'!$V$5:$V$504,"Missed Alert")+COUNTIFS('Activity &amp; Event Log'!$D$5:$D$504,Settings!$O$8,'Activity &amp; Event Log'!$V$5:$V$504,"Detected - SLA Breach"))&gt;=Settings!$B$11,"High","Normal"))</f>
        <v>Normal</v>
      </c>
    </row>
    <row r="81" customFormat="false" ht="15" hidden="false" customHeight="false" outlineLevel="0" collapsed="false">
      <c r="B81" s="10" t="str">
        <f aca="false">IF(Settings!$O$9="","",Settings!$Q$9)</f>
        <v>Credential Access</v>
      </c>
      <c r="C81" s="10" t="str">
        <f aca="false">IF(Settings!$O$9="","",Settings!$O$9)</f>
        <v>T1003.001</v>
      </c>
      <c r="D81" s="10" t="str">
        <f aca="false">IF(Settings!$O$9="","",Settings!$P$9)</f>
        <v>LSASS Memory</v>
      </c>
      <c r="E81" s="11" t="n">
        <f aca="false">IF(Settings!$O$9="","",COUNTIFS('Activity &amp; Event Log'!$D$5:$D$504,Settings!$O$9,'Activity &amp; Event Log'!$G$5:$G$504,"?*"))</f>
        <v>2</v>
      </c>
      <c r="F81" s="11" t="n">
        <f aca="false">IF(Settings!$O$9="","",SUMIFS('Activity &amp; Event Log'!$W$5:$W$504,'Activity &amp; Event Log'!$D$5:$D$504,Settings!$O$9))</f>
        <v>2</v>
      </c>
      <c r="G81" s="12" t="n">
        <f aca="false">IF(OR(Settings!$O$9="",E81=0),"",F81/E81)</f>
        <v>1</v>
      </c>
      <c r="H81" s="15" t="n">
        <f aca="false">IF(OR(Settings!$O$9="",F81=0),"",AVERAGEIFS('Activity &amp; Event Log'!$S$5:$S$504,'Activity &amp; Event Log'!$D$5:$D$504,Settings!$O$9))</f>
        <v>54</v>
      </c>
      <c r="I81" s="15" t="n">
        <f aca="false">IF(OR(Settings!$O$9="",F81=0),"",_xlfn.MAXIFS('Activity &amp; Event Log'!$S$5:$S$504,'Activity &amp; Event Log'!$D$5:$D$504,Settings!$O$9))</f>
        <v>95</v>
      </c>
      <c r="J81" s="12" t="n">
        <f aca="false">IF(OR(Settings!$O$9="",E81=0),"",COUNTIFS('Activity &amp; Event Log'!$D$5:$D$504,Settings!$O$9,'Activity &amp; Event Log'!$U$5:$U$504,"Yes")/E81)</f>
        <v>0.5</v>
      </c>
      <c r="K81" s="10" t="str">
        <f aca="false">IF(OR(Settings!$O$9="",E81=0),"",IF(MAX(COUNTIFS('Activity &amp; Event Log'!$D$5:$D$504,Settings!$O$9,'Activity &amp; Event Log'!$V$5:$V$504,"Telemetry Blind Spot"),COUNTIFS('Activity &amp; Event Log'!$D$5:$D$504,Settings!$O$9,'Activity &amp; Event Log'!$V$5:$V$504,"Missed Alert"),COUNTIFS('Activity &amp; Event Log'!$D$5:$D$504,Settings!$O$9,'Activity &amp; Event Log'!$V$5:$V$504,"Triage Delay"))=0,"None",IF(COUNTIFS('Activity &amp; Event Log'!$D$5:$D$504,Settings!$O$9,'Activity &amp; Event Log'!$V$5:$V$504,"Telemetry Blind Spot")&gt;=COUNTIFS('Activity &amp; Event Log'!$D$5:$D$504,Settings!$O$9,'Activity &amp; Event Log'!$V$5:$V$504,"Missed Alert"),IF(COUNTIFS('Activity &amp; Event Log'!$D$5:$D$504,Settings!$O$9,'Activity &amp; Event Log'!$V$5:$V$504,"Telemetry Blind Spot")&gt;=COUNTIFS('Activity &amp; Event Log'!$D$5:$D$504,Settings!$O$9,'Activity &amp; Event Log'!$V$5:$V$504,"Triage Delay"),"Blind Spot",IF(COUNTIFS('Activity &amp; Event Log'!$D$5:$D$504,Settings!$O$9,'Activity &amp; Event Log'!$V$5:$V$504,"Missed Alert")&gt;=COUNTIFS('Activity &amp; Event Log'!$D$5:$D$504,Settings!$O$9,'Activity &amp; Event Log'!$V$5:$V$504,"Triage Delay"),"Missed Alert","Triage Delay")),IF(COUNTIFS('Activity &amp; Event Log'!$D$5:$D$504,Settings!$O$9,'Activity &amp; Event Log'!$V$5:$V$504,"Missed Alert")&gt;=COUNTIFS('Activity &amp; Event Log'!$D$5:$D$504,Settings!$O$9,'Activity &amp; Event Log'!$V$5:$V$504,"Triage Delay"),"Missed Alert","Triage Delay"))))</f>
        <v>Triage Delay</v>
      </c>
      <c r="L81" s="10" t="str">
        <f aca="false">IF(OR(Settings!$O$9="",E81=0),"",IF((COUNTIFS('Activity &amp; Event Log'!$D$5:$D$504,Settings!$O$9,'Activity &amp; Event Log'!$V$5:$V$504,"Telemetry Blind Spot")+COUNTIFS('Activity &amp; Event Log'!$D$5:$D$504,Settings!$O$9,'Activity &amp; Event Log'!$V$5:$V$504,"Missed Alert")+COUNTIFS('Activity &amp; Event Log'!$D$5:$D$504,Settings!$O$9,'Activity &amp; Event Log'!$V$5:$V$504,"Detected - SLA Breach"))&gt;=Settings!$B$11,"High","Normal"))</f>
        <v>Normal</v>
      </c>
    </row>
    <row r="82" customFormat="false" ht="15" hidden="false" customHeight="false" outlineLevel="0" collapsed="false">
      <c r="B82" s="10" t="str">
        <f aca="false">IF(Settings!$O$10="","",Settings!$Q$10)</f>
        <v>Discovery</v>
      </c>
      <c r="C82" s="10" t="str">
        <f aca="false">IF(Settings!$O$10="","",Settings!$O$10)</f>
        <v>T1087.002</v>
      </c>
      <c r="D82" s="10" t="str">
        <f aca="false">IF(Settings!$O$10="","",Settings!$P$10)</f>
        <v>Domain Account</v>
      </c>
      <c r="E82" s="11" t="n">
        <f aca="false">IF(Settings!$O$10="","",COUNTIFS('Activity &amp; Event Log'!$D$5:$D$504,Settings!$O$10,'Activity &amp; Event Log'!$G$5:$G$504,"?*"))</f>
        <v>2</v>
      </c>
      <c r="F82" s="11" t="n">
        <f aca="false">IF(Settings!$O$10="","",SUMIFS('Activity &amp; Event Log'!$W$5:$W$504,'Activity &amp; Event Log'!$D$5:$D$504,Settings!$O$10))</f>
        <v>1</v>
      </c>
      <c r="G82" s="12" t="n">
        <f aca="false">IF(OR(Settings!$O$10="",E82=0),"",F82/E82)</f>
        <v>0.5</v>
      </c>
      <c r="H82" s="15" t="n">
        <f aca="false">IF(OR(Settings!$O$10="",F82=0),"",AVERAGEIFS('Activity &amp; Event Log'!$S$5:$S$504,'Activity &amp; Event Log'!$D$5:$D$504,Settings!$O$10))</f>
        <v>69.9999999767167</v>
      </c>
      <c r="I82" s="15" t="n">
        <f aca="false">IF(OR(Settings!$O$10="",F82=0),"",_xlfn.MAXIFS('Activity &amp; Event Log'!$S$5:$S$504,'Activity &amp; Event Log'!$D$5:$D$504,Settings!$O$10))</f>
        <v>69.9999999767167</v>
      </c>
      <c r="J82" s="12" t="n">
        <f aca="false">IF(OR(Settings!$O$10="",E82=0),"",COUNTIFS('Activity &amp; Event Log'!$D$5:$D$504,Settings!$O$10,'Activity &amp; Event Log'!$U$5:$U$504,"Yes")/E82)</f>
        <v>0.5</v>
      </c>
      <c r="K82" s="10" t="str">
        <f aca="false">IF(OR(Settings!$O$10="",E82=0),"",IF(MAX(COUNTIFS('Activity &amp; Event Log'!$D$5:$D$504,Settings!$O$10,'Activity &amp; Event Log'!$V$5:$V$504,"Telemetry Blind Spot"),COUNTIFS('Activity &amp; Event Log'!$D$5:$D$504,Settings!$O$10,'Activity &amp; Event Log'!$V$5:$V$504,"Missed Alert"),COUNTIFS('Activity &amp; Event Log'!$D$5:$D$504,Settings!$O$10,'Activity &amp; Event Log'!$V$5:$V$504,"Triage Delay"))=0,"None",IF(COUNTIFS('Activity &amp; Event Log'!$D$5:$D$504,Settings!$O$10,'Activity &amp; Event Log'!$V$5:$V$504,"Telemetry Blind Spot")&gt;=COUNTIFS('Activity &amp; Event Log'!$D$5:$D$504,Settings!$O$10,'Activity &amp; Event Log'!$V$5:$V$504,"Missed Alert"),IF(COUNTIFS('Activity &amp; Event Log'!$D$5:$D$504,Settings!$O$10,'Activity &amp; Event Log'!$V$5:$V$504,"Telemetry Blind Spot")&gt;=COUNTIFS('Activity &amp; Event Log'!$D$5:$D$504,Settings!$O$10,'Activity &amp; Event Log'!$V$5:$V$504,"Triage Delay"),"Blind Spot",IF(COUNTIFS('Activity &amp; Event Log'!$D$5:$D$504,Settings!$O$10,'Activity &amp; Event Log'!$V$5:$V$504,"Missed Alert")&gt;=COUNTIFS('Activity &amp; Event Log'!$D$5:$D$504,Settings!$O$10,'Activity &amp; Event Log'!$V$5:$V$504,"Triage Delay"),"Missed Alert","Triage Delay")),IF(COUNTIFS('Activity &amp; Event Log'!$D$5:$D$504,Settings!$O$10,'Activity &amp; Event Log'!$V$5:$V$504,"Missed Alert")&gt;=COUNTIFS('Activity &amp; Event Log'!$D$5:$D$504,Settings!$O$10,'Activity &amp; Event Log'!$V$5:$V$504,"Triage Delay"),"Missed Alert","Triage Delay"))))</f>
        <v>Blind Spot</v>
      </c>
      <c r="L82" s="10" t="str">
        <f aca="false">IF(OR(Settings!$O$10="",E82=0),"",IF((COUNTIFS('Activity &amp; Event Log'!$D$5:$D$504,Settings!$O$10,'Activity &amp; Event Log'!$V$5:$V$504,"Telemetry Blind Spot")+COUNTIFS('Activity &amp; Event Log'!$D$5:$D$504,Settings!$O$10,'Activity &amp; Event Log'!$V$5:$V$504,"Missed Alert")+COUNTIFS('Activity &amp; Event Log'!$D$5:$D$504,Settings!$O$10,'Activity &amp; Event Log'!$V$5:$V$504,"Detected - SLA Breach"))&gt;=Settings!$B$11,"High","Normal"))</f>
        <v>Normal</v>
      </c>
    </row>
    <row r="83" customFormat="false" ht="15" hidden="false" customHeight="false" outlineLevel="0" collapsed="false">
      <c r="B83" s="10" t="str">
        <f aca="false">IF(Settings!$O$11="","",Settings!$Q$11)</f>
        <v>Lateral Movement</v>
      </c>
      <c r="C83" s="10" t="str">
        <f aca="false">IF(Settings!$O$11="","",Settings!$O$11)</f>
        <v>T1021.002</v>
      </c>
      <c r="D83" s="10" t="str">
        <f aca="false">IF(Settings!$O$11="","",Settings!$P$11)</f>
        <v>SMB/Windows Admin Shares</v>
      </c>
      <c r="E83" s="11" t="n">
        <f aca="false">IF(Settings!$O$11="","",COUNTIFS('Activity &amp; Event Log'!$D$5:$D$504,Settings!$O$11,'Activity &amp; Event Log'!$G$5:$G$504,"?*"))</f>
        <v>2</v>
      </c>
      <c r="F83" s="11" t="n">
        <f aca="false">IF(Settings!$O$11="","",SUMIFS('Activity &amp; Event Log'!$W$5:$W$504,'Activity &amp; Event Log'!$D$5:$D$504,Settings!$O$11))</f>
        <v>2</v>
      </c>
      <c r="G83" s="12" t="n">
        <f aca="false">IF(OR(Settings!$O$11="",E83=0),"",F83/E83)</f>
        <v>1</v>
      </c>
      <c r="H83" s="15" t="n">
        <f aca="false">IF(OR(Settings!$O$11="",F83=0),"",AVERAGEIFS('Activity &amp; Event Log'!$S$5:$S$504,'Activity &amp; Event Log'!$D$5:$D$504,Settings!$O$11))</f>
        <v>94</v>
      </c>
      <c r="I83" s="15" t="n">
        <f aca="false">IF(OR(Settings!$O$11="",F83=0),"",_xlfn.MAXIFS('Activity &amp; Event Log'!$S$5:$S$504,'Activity &amp; Event Log'!$D$5:$D$504,Settings!$O$11))</f>
        <v>140</v>
      </c>
      <c r="J83" s="12" t="n">
        <f aca="false">IF(OR(Settings!$O$11="",E83=0),"",COUNTIFS('Activity &amp; Event Log'!$D$5:$D$504,Settings!$O$11,'Activity &amp; Event Log'!$U$5:$U$504,"Yes")/E83)</f>
        <v>0.5</v>
      </c>
      <c r="K83" s="10" t="str">
        <f aca="false">IF(OR(Settings!$O$11="",E83=0),"",IF(MAX(COUNTIFS('Activity &amp; Event Log'!$D$5:$D$504,Settings!$O$11,'Activity &amp; Event Log'!$V$5:$V$504,"Telemetry Blind Spot"),COUNTIFS('Activity &amp; Event Log'!$D$5:$D$504,Settings!$O$11,'Activity &amp; Event Log'!$V$5:$V$504,"Missed Alert"),COUNTIFS('Activity &amp; Event Log'!$D$5:$D$504,Settings!$O$11,'Activity &amp; Event Log'!$V$5:$V$504,"Triage Delay"))=0,"None",IF(COUNTIFS('Activity &amp; Event Log'!$D$5:$D$504,Settings!$O$11,'Activity &amp; Event Log'!$V$5:$V$504,"Telemetry Blind Spot")&gt;=COUNTIFS('Activity &amp; Event Log'!$D$5:$D$504,Settings!$O$11,'Activity &amp; Event Log'!$V$5:$V$504,"Missed Alert"),IF(COUNTIFS('Activity &amp; Event Log'!$D$5:$D$504,Settings!$O$11,'Activity &amp; Event Log'!$V$5:$V$504,"Telemetry Blind Spot")&gt;=COUNTIFS('Activity &amp; Event Log'!$D$5:$D$504,Settings!$O$11,'Activity &amp; Event Log'!$V$5:$V$504,"Triage Delay"),"Blind Spot",IF(COUNTIFS('Activity &amp; Event Log'!$D$5:$D$504,Settings!$O$11,'Activity &amp; Event Log'!$V$5:$V$504,"Missed Alert")&gt;=COUNTIFS('Activity &amp; Event Log'!$D$5:$D$504,Settings!$O$11,'Activity &amp; Event Log'!$V$5:$V$504,"Triage Delay"),"Missed Alert","Triage Delay")),IF(COUNTIFS('Activity &amp; Event Log'!$D$5:$D$504,Settings!$O$11,'Activity &amp; Event Log'!$V$5:$V$504,"Missed Alert")&gt;=COUNTIFS('Activity &amp; Event Log'!$D$5:$D$504,Settings!$O$11,'Activity &amp; Event Log'!$V$5:$V$504,"Triage Delay"),"Missed Alert","Triage Delay"))))</f>
        <v>Triage Delay</v>
      </c>
      <c r="L83" s="10" t="str">
        <f aca="false">IF(OR(Settings!$O$11="",E83=0),"",IF((COUNTIFS('Activity &amp; Event Log'!$D$5:$D$504,Settings!$O$11,'Activity &amp; Event Log'!$V$5:$V$504,"Telemetry Blind Spot")+COUNTIFS('Activity &amp; Event Log'!$D$5:$D$504,Settings!$O$11,'Activity &amp; Event Log'!$V$5:$V$504,"Missed Alert")+COUNTIFS('Activity &amp; Event Log'!$D$5:$D$504,Settings!$O$11,'Activity &amp; Event Log'!$V$5:$V$504,"Detected - SLA Breach"))&gt;=Settings!$B$11,"High","Normal"))</f>
        <v>Normal</v>
      </c>
    </row>
    <row r="84" customFormat="false" ht="15" hidden="false" customHeight="false" outlineLevel="0" collapsed="false">
      <c r="B84" s="10" t="str">
        <f aca="false">IF(Settings!$O$12="","",Settings!$Q$12)</f>
        <v>Command and Control</v>
      </c>
      <c r="C84" s="10" t="str">
        <f aca="false">IF(Settings!$O$12="","",Settings!$O$12)</f>
        <v>T1071.001</v>
      </c>
      <c r="D84" s="10" t="str">
        <f aca="false">IF(Settings!$O$12="","",Settings!$P$12)</f>
        <v>Web Protocols</v>
      </c>
      <c r="E84" s="11" t="n">
        <f aca="false">IF(Settings!$O$12="","",COUNTIFS('Activity &amp; Event Log'!$D$5:$D$504,Settings!$O$12,'Activity &amp; Event Log'!$G$5:$G$504,"?*"))</f>
        <v>2</v>
      </c>
      <c r="F84" s="11" t="n">
        <f aca="false">IF(Settings!$O$12="","",SUMIFS('Activity &amp; Event Log'!$W$5:$W$504,'Activity &amp; Event Log'!$D$5:$D$504,Settings!$O$12))</f>
        <v>0</v>
      </c>
      <c r="G84" s="12" t="n">
        <f aca="false">IF(OR(Settings!$O$12="",E84=0),"",F84/E84)</f>
        <v>0</v>
      </c>
      <c r="H84" s="15" t="str">
        <f aca="false">IF(OR(Settings!$O$12="",F84=0),"",AVERAGEIFS('Activity &amp; Event Log'!$S$5:$S$504,'Activity &amp; Event Log'!$D$5:$D$504,Settings!$O$12))</f>
        <v/>
      </c>
      <c r="I84" s="15" t="str">
        <f aca="false">IF(OR(Settings!$O$12="",F84=0),"",_xlfn.MAXIFS('Activity &amp; Event Log'!$S$5:$S$504,'Activity &amp; Event Log'!$D$5:$D$504,Settings!$O$12))</f>
        <v/>
      </c>
      <c r="J84" s="12" t="n">
        <f aca="false">IF(OR(Settings!$O$12="",E84=0),"",COUNTIFS('Activity &amp; Event Log'!$D$5:$D$504,Settings!$O$12,'Activity &amp; Event Log'!$U$5:$U$504,"Yes")/E84)</f>
        <v>0</v>
      </c>
      <c r="K84" s="10" t="str">
        <f aca="false">IF(OR(Settings!$O$12="",E84=0),"",IF(MAX(COUNTIFS('Activity &amp; Event Log'!$D$5:$D$504,Settings!$O$12,'Activity &amp; Event Log'!$V$5:$V$504,"Telemetry Blind Spot"),COUNTIFS('Activity &amp; Event Log'!$D$5:$D$504,Settings!$O$12,'Activity &amp; Event Log'!$V$5:$V$504,"Missed Alert"),COUNTIFS('Activity &amp; Event Log'!$D$5:$D$504,Settings!$O$12,'Activity &amp; Event Log'!$V$5:$V$504,"Triage Delay"))=0,"None",IF(COUNTIFS('Activity &amp; Event Log'!$D$5:$D$504,Settings!$O$12,'Activity &amp; Event Log'!$V$5:$V$504,"Telemetry Blind Spot")&gt;=COUNTIFS('Activity &amp; Event Log'!$D$5:$D$504,Settings!$O$12,'Activity &amp; Event Log'!$V$5:$V$504,"Missed Alert"),IF(COUNTIFS('Activity &amp; Event Log'!$D$5:$D$504,Settings!$O$12,'Activity &amp; Event Log'!$V$5:$V$504,"Telemetry Blind Spot")&gt;=COUNTIFS('Activity &amp; Event Log'!$D$5:$D$504,Settings!$O$12,'Activity &amp; Event Log'!$V$5:$V$504,"Triage Delay"),"Blind Spot",IF(COUNTIFS('Activity &amp; Event Log'!$D$5:$D$504,Settings!$O$12,'Activity &amp; Event Log'!$V$5:$V$504,"Missed Alert")&gt;=COUNTIFS('Activity &amp; Event Log'!$D$5:$D$504,Settings!$O$12,'Activity &amp; Event Log'!$V$5:$V$504,"Triage Delay"),"Missed Alert","Triage Delay")),IF(COUNTIFS('Activity &amp; Event Log'!$D$5:$D$504,Settings!$O$12,'Activity &amp; Event Log'!$V$5:$V$504,"Missed Alert")&gt;=COUNTIFS('Activity &amp; Event Log'!$D$5:$D$504,Settings!$O$12,'Activity &amp; Event Log'!$V$5:$V$504,"Triage Delay"),"Missed Alert","Triage Delay"))))</f>
        <v>Blind Spot</v>
      </c>
      <c r="L84" s="10" t="str">
        <f aca="false">IF(OR(Settings!$O$12="",E84=0),"",IF((COUNTIFS('Activity &amp; Event Log'!$D$5:$D$504,Settings!$O$12,'Activity &amp; Event Log'!$V$5:$V$504,"Telemetry Blind Spot")+COUNTIFS('Activity &amp; Event Log'!$D$5:$D$504,Settings!$O$12,'Activity &amp; Event Log'!$V$5:$V$504,"Missed Alert")+COUNTIFS('Activity &amp; Event Log'!$D$5:$D$504,Settings!$O$12,'Activity &amp; Event Log'!$V$5:$V$504,"Detected - SLA Breach"))&gt;=Settings!$B$11,"High","Normal"))</f>
        <v>High</v>
      </c>
    </row>
    <row r="85" customFormat="false" ht="15" hidden="false" customHeight="false" outlineLevel="0" collapsed="false">
      <c r="B85" s="10" t="str">
        <f aca="false">IF(Settings!$O$13="","",Settings!$Q$13)</f>
        <v/>
      </c>
      <c r="C85" s="10" t="str">
        <f aca="false">IF(Settings!$O$13="","",Settings!$O$13)</f>
        <v/>
      </c>
      <c r="D85" s="10" t="str">
        <f aca="false">IF(Settings!$O$13="","",Settings!$P$13)</f>
        <v/>
      </c>
      <c r="E85" s="11" t="str">
        <f aca="false">IF(Settings!$O$13="","",COUNTIFS('Activity &amp; Event Log'!$D$5:$D$504,Settings!$O$13,'Activity &amp; Event Log'!$G$5:$G$504,"?*"))</f>
        <v/>
      </c>
      <c r="F85" s="11" t="str">
        <f aca="false">IF(Settings!$O$13="","",SUMIFS('Activity &amp; Event Log'!$W$5:$W$504,'Activity &amp; Event Log'!$D$5:$D$504,Settings!$O$13))</f>
        <v/>
      </c>
      <c r="G85" s="12" t="str">
        <f aca="false">IF(OR(Settings!$O$13="",E85=0),"",F85/E85)</f>
        <v/>
      </c>
      <c r="H85" s="15" t="str">
        <f aca="false">IF(OR(Settings!$O$13="",F85=0),"",AVERAGEIFS('Activity &amp; Event Log'!$S$5:$S$504,'Activity &amp; Event Log'!$D$5:$D$504,Settings!$O$13))</f>
        <v/>
      </c>
      <c r="I85" s="15" t="str">
        <f aca="false">IF(OR(Settings!$O$13="",F85=0),"",_xlfn.MAXIFS('Activity &amp; Event Log'!$S$5:$S$504,'Activity &amp; Event Log'!$D$5:$D$504,Settings!$O$13))</f>
        <v/>
      </c>
      <c r="J85" s="12" t="str">
        <f aca="false">IF(OR(Settings!$O$13="",E85=0),"",COUNTIFS('Activity &amp; Event Log'!$D$5:$D$504,Settings!$O$13,'Activity &amp; Event Log'!$U$5:$U$504,"Yes")/E85)</f>
        <v/>
      </c>
      <c r="K85" s="10" t="str">
        <f aca="false">IF(OR(Settings!$O$13="",E85=0),"",IF(MAX(COUNTIFS('Activity &amp; Event Log'!$D$5:$D$504,Settings!$O$13,'Activity &amp; Event Log'!$V$5:$V$504,"Telemetry Blind Spot"),COUNTIFS('Activity &amp; Event Log'!$D$5:$D$504,Settings!$O$13,'Activity &amp; Event Log'!$V$5:$V$504,"Missed Alert"),COUNTIFS('Activity &amp; Event Log'!$D$5:$D$504,Settings!$O$13,'Activity &amp; Event Log'!$V$5:$V$504,"Triage Delay"))=0,"None",IF(COUNTIFS('Activity &amp; Event Log'!$D$5:$D$504,Settings!$O$13,'Activity &amp; Event Log'!$V$5:$V$504,"Telemetry Blind Spot")&gt;=COUNTIFS('Activity &amp; Event Log'!$D$5:$D$504,Settings!$O$13,'Activity &amp; Event Log'!$V$5:$V$504,"Missed Alert"),IF(COUNTIFS('Activity &amp; Event Log'!$D$5:$D$504,Settings!$O$13,'Activity &amp; Event Log'!$V$5:$V$504,"Telemetry Blind Spot")&gt;=COUNTIFS('Activity &amp; Event Log'!$D$5:$D$504,Settings!$O$13,'Activity &amp; Event Log'!$V$5:$V$504,"Triage Delay"),"Blind Spot",IF(COUNTIFS('Activity &amp; Event Log'!$D$5:$D$504,Settings!$O$13,'Activity &amp; Event Log'!$V$5:$V$504,"Missed Alert")&gt;=COUNTIFS('Activity &amp; Event Log'!$D$5:$D$504,Settings!$O$13,'Activity &amp; Event Log'!$V$5:$V$504,"Triage Delay"),"Missed Alert","Triage Delay")),IF(COUNTIFS('Activity &amp; Event Log'!$D$5:$D$504,Settings!$O$13,'Activity &amp; Event Log'!$V$5:$V$504,"Missed Alert")&gt;=COUNTIFS('Activity &amp; Event Log'!$D$5:$D$504,Settings!$O$13,'Activity &amp; Event Log'!$V$5:$V$504,"Triage Delay"),"Missed Alert","Triage Delay"))))</f>
        <v/>
      </c>
      <c r="L85" s="10" t="str">
        <f aca="false">IF(OR(Settings!$O$13="",E85=0),"",IF((COUNTIFS('Activity &amp; Event Log'!$D$5:$D$504,Settings!$O$13,'Activity &amp; Event Log'!$V$5:$V$504,"Telemetry Blind Spot")+COUNTIFS('Activity &amp; Event Log'!$D$5:$D$504,Settings!$O$13,'Activity &amp; Event Log'!$V$5:$V$504,"Missed Alert")+COUNTIFS('Activity &amp; Event Log'!$D$5:$D$504,Settings!$O$13,'Activity &amp; Event Log'!$V$5:$V$504,"Detected - SLA Breach"))&gt;=Settings!$B$11,"High","Normal"))</f>
        <v/>
      </c>
    </row>
    <row r="86" customFormat="false" ht="15" hidden="false" customHeight="false" outlineLevel="0" collapsed="false">
      <c r="B86" s="10" t="str">
        <f aca="false">IF(Settings!$O$14="","",Settings!$Q$14)</f>
        <v/>
      </c>
      <c r="C86" s="10" t="str">
        <f aca="false">IF(Settings!$O$14="","",Settings!$O$14)</f>
        <v/>
      </c>
      <c r="D86" s="10" t="str">
        <f aca="false">IF(Settings!$O$14="","",Settings!$P$14)</f>
        <v/>
      </c>
      <c r="E86" s="11" t="str">
        <f aca="false">IF(Settings!$O$14="","",COUNTIFS('Activity &amp; Event Log'!$D$5:$D$504,Settings!$O$14,'Activity &amp; Event Log'!$G$5:$G$504,"?*"))</f>
        <v/>
      </c>
      <c r="F86" s="11" t="str">
        <f aca="false">IF(Settings!$O$14="","",SUMIFS('Activity &amp; Event Log'!$W$5:$W$504,'Activity &amp; Event Log'!$D$5:$D$504,Settings!$O$14))</f>
        <v/>
      </c>
      <c r="G86" s="12" t="str">
        <f aca="false">IF(OR(Settings!$O$14="",E86=0),"",F86/E86)</f>
        <v/>
      </c>
      <c r="H86" s="15" t="str">
        <f aca="false">IF(OR(Settings!$O$14="",F86=0),"",AVERAGEIFS('Activity &amp; Event Log'!$S$5:$S$504,'Activity &amp; Event Log'!$D$5:$D$504,Settings!$O$14))</f>
        <v/>
      </c>
      <c r="I86" s="15" t="str">
        <f aca="false">IF(OR(Settings!$O$14="",F86=0),"",_xlfn.MAXIFS('Activity &amp; Event Log'!$S$5:$S$504,'Activity &amp; Event Log'!$D$5:$D$504,Settings!$O$14))</f>
        <v/>
      </c>
      <c r="J86" s="12" t="str">
        <f aca="false">IF(OR(Settings!$O$14="",E86=0),"",COUNTIFS('Activity &amp; Event Log'!$D$5:$D$504,Settings!$O$14,'Activity &amp; Event Log'!$U$5:$U$504,"Yes")/E86)</f>
        <v/>
      </c>
      <c r="K86" s="10" t="str">
        <f aca="false">IF(OR(Settings!$O$14="",E86=0),"",IF(MAX(COUNTIFS('Activity &amp; Event Log'!$D$5:$D$504,Settings!$O$14,'Activity &amp; Event Log'!$V$5:$V$504,"Telemetry Blind Spot"),COUNTIFS('Activity &amp; Event Log'!$D$5:$D$504,Settings!$O$14,'Activity &amp; Event Log'!$V$5:$V$504,"Missed Alert"),COUNTIFS('Activity &amp; Event Log'!$D$5:$D$504,Settings!$O$14,'Activity &amp; Event Log'!$V$5:$V$504,"Triage Delay"))=0,"None",IF(COUNTIFS('Activity &amp; Event Log'!$D$5:$D$504,Settings!$O$14,'Activity &amp; Event Log'!$V$5:$V$504,"Telemetry Blind Spot")&gt;=COUNTIFS('Activity &amp; Event Log'!$D$5:$D$504,Settings!$O$14,'Activity &amp; Event Log'!$V$5:$V$504,"Missed Alert"),IF(COUNTIFS('Activity &amp; Event Log'!$D$5:$D$504,Settings!$O$14,'Activity &amp; Event Log'!$V$5:$V$504,"Telemetry Blind Spot")&gt;=COUNTIFS('Activity &amp; Event Log'!$D$5:$D$504,Settings!$O$14,'Activity &amp; Event Log'!$V$5:$V$504,"Triage Delay"),"Blind Spot",IF(COUNTIFS('Activity &amp; Event Log'!$D$5:$D$504,Settings!$O$14,'Activity &amp; Event Log'!$V$5:$V$504,"Missed Alert")&gt;=COUNTIFS('Activity &amp; Event Log'!$D$5:$D$504,Settings!$O$14,'Activity &amp; Event Log'!$V$5:$V$504,"Triage Delay"),"Missed Alert","Triage Delay")),IF(COUNTIFS('Activity &amp; Event Log'!$D$5:$D$504,Settings!$O$14,'Activity &amp; Event Log'!$V$5:$V$504,"Missed Alert")&gt;=COUNTIFS('Activity &amp; Event Log'!$D$5:$D$504,Settings!$O$14,'Activity &amp; Event Log'!$V$5:$V$504,"Triage Delay"),"Missed Alert","Triage Delay"))))</f>
        <v/>
      </c>
      <c r="L86" s="10" t="str">
        <f aca="false">IF(OR(Settings!$O$14="",E86=0),"",IF((COUNTIFS('Activity &amp; Event Log'!$D$5:$D$504,Settings!$O$14,'Activity &amp; Event Log'!$V$5:$V$504,"Telemetry Blind Spot")+COUNTIFS('Activity &amp; Event Log'!$D$5:$D$504,Settings!$O$14,'Activity &amp; Event Log'!$V$5:$V$504,"Missed Alert")+COUNTIFS('Activity &amp; Event Log'!$D$5:$D$504,Settings!$O$14,'Activity &amp; Event Log'!$V$5:$V$504,"Detected - SLA Breach"))&gt;=Settings!$B$11,"High","Normal"))</f>
        <v/>
      </c>
    </row>
    <row r="87" customFormat="false" ht="15" hidden="false" customHeight="false" outlineLevel="0" collapsed="false">
      <c r="B87" s="10" t="str">
        <f aca="false">IF(Settings!$O$15="","",Settings!$Q$15)</f>
        <v/>
      </c>
      <c r="C87" s="10" t="str">
        <f aca="false">IF(Settings!$O$15="","",Settings!$O$15)</f>
        <v/>
      </c>
      <c r="D87" s="10" t="str">
        <f aca="false">IF(Settings!$O$15="","",Settings!$P$15)</f>
        <v/>
      </c>
      <c r="E87" s="11" t="str">
        <f aca="false">IF(Settings!$O$15="","",COUNTIFS('Activity &amp; Event Log'!$D$5:$D$504,Settings!$O$15,'Activity &amp; Event Log'!$G$5:$G$504,"?*"))</f>
        <v/>
      </c>
      <c r="F87" s="11" t="str">
        <f aca="false">IF(Settings!$O$15="","",SUMIFS('Activity &amp; Event Log'!$W$5:$W$504,'Activity &amp; Event Log'!$D$5:$D$504,Settings!$O$15))</f>
        <v/>
      </c>
      <c r="G87" s="12" t="str">
        <f aca="false">IF(OR(Settings!$O$15="",E87=0),"",F87/E87)</f>
        <v/>
      </c>
      <c r="H87" s="15" t="str">
        <f aca="false">IF(OR(Settings!$O$15="",F87=0),"",AVERAGEIFS('Activity &amp; Event Log'!$S$5:$S$504,'Activity &amp; Event Log'!$D$5:$D$504,Settings!$O$15))</f>
        <v/>
      </c>
      <c r="I87" s="15" t="str">
        <f aca="false">IF(OR(Settings!$O$15="",F87=0),"",_xlfn.MAXIFS('Activity &amp; Event Log'!$S$5:$S$504,'Activity &amp; Event Log'!$D$5:$D$504,Settings!$O$15))</f>
        <v/>
      </c>
      <c r="J87" s="12" t="str">
        <f aca="false">IF(OR(Settings!$O$15="",E87=0),"",COUNTIFS('Activity &amp; Event Log'!$D$5:$D$504,Settings!$O$15,'Activity &amp; Event Log'!$U$5:$U$504,"Yes")/E87)</f>
        <v/>
      </c>
      <c r="K87" s="10" t="str">
        <f aca="false">IF(OR(Settings!$O$15="",E87=0),"",IF(MAX(COUNTIFS('Activity &amp; Event Log'!$D$5:$D$504,Settings!$O$15,'Activity &amp; Event Log'!$V$5:$V$504,"Telemetry Blind Spot"),COUNTIFS('Activity &amp; Event Log'!$D$5:$D$504,Settings!$O$15,'Activity &amp; Event Log'!$V$5:$V$504,"Missed Alert"),COUNTIFS('Activity &amp; Event Log'!$D$5:$D$504,Settings!$O$15,'Activity &amp; Event Log'!$V$5:$V$504,"Triage Delay"))=0,"None",IF(COUNTIFS('Activity &amp; Event Log'!$D$5:$D$504,Settings!$O$15,'Activity &amp; Event Log'!$V$5:$V$504,"Telemetry Blind Spot")&gt;=COUNTIFS('Activity &amp; Event Log'!$D$5:$D$504,Settings!$O$15,'Activity &amp; Event Log'!$V$5:$V$504,"Missed Alert"),IF(COUNTIFS('Activity &amp; Event Log'!$D$5:$D$504,Settings!$O$15,'Activity &amp; Event Log'!$V$5:$V$504,"Telemetry Blind Spot")&gt;=COUNTIFS('Activity &amp; Event Log'!$D$5:$D$504,Settings!$O$15,'Activity &amp; Event Log'!$V$5:$V$504,"Triage Delay"),"Blind Spot",IF(COUNTIFS('Activity &amp; Event Log'!$D$5:$D$504,Settings!$O$15,'Activity &amp; Event Log'!$V$5:$V$504,"Missed Alert")&gt;=COUNTIFS('Activity &amp; Event Log'!$D$5:$D$504,Settings!$O$15,'Activity &amp; Event Log'!$V$5:$V$504,"Triage Delay"),"Missed Alert","Triage Delay")),IF(COUNTIFS('Activity &amp; Event Log'!$D$5:$D$504,Settings!$O$15,'Activity &amp; Event Log'!$V$5:$V$504,"Missed Alert")&gt;=COUNTIFS('Activity &amp; Event Log'!$D$5:$D$504,Settings!$O$15,'Activity &amp; Event Log'!$V$5:$V$504,"Triage Delay"),"Missed Alert","Triage Delay"))))</f>
        <v/>
      </c>
      <c r="L87" s="10" t="str">
        <f aca="false">IF(OR(Settings!$O$15="",E87=0),"",IF((COUNTIFS('Activity &amp; Event Log'!$D$5:$D$504,Settings!$O$15,'Activity &amp; Event Log'!$V$5:$V$504,"Telemetry Blind Spot")+COUNTIFS('Activity &amp; Event Log'!$D$5:$D$504,Settings!$O$15,'Activity &amp; Event Log'!$V$5:$V$504,"Missed Alert")+COUNTIFS('Activity &amp; Event Log'!$D$5:$D$504,Settings!$O$15,'Activity &amp; Event Log'!$V$5:$V$504,"Detected - SLA Breach"))&gt;=Settings!$B$11,"High","Normal"))</f>
        <v/>
      </c>
    </row>
    <row r="88" customFormat="false" ht="15" hidden="false" customHeight="false" outlineLevel="0" collapsed="false">
      <c r="B88" s="10" t="str">
        <f aca="false">IF(Settings!$O$16="","",Settings!$Q$16)</f>
        <v/>
      </c>
      <c r="C88" s="10" t="str">
        <f aca="false">IF(Settings!$O$16="","",Settings!$O$16)</f>
        <v/>
      </c>
      <c r="D88" s="10" t="str">
        <f aca="false">IF(Settings!$O$16="","",Settings!$P$16)</f>
        <v/>
      </c>
      <c r="E88" s="11" t="str">
        <f aca="false">IF(Settings!$O$16="","",COUNTIFS('Activity &amp; Event Log'!$D$5:$D$504,Settings!$O$16,'Activity &amp; Event Log'!$G$5:$G$504,"?*"))</f>
        <v/>
      </c>
      <c r="F88" s="11" t="str">
        <f aca="false">IF(Settings!$O$16="","",SUMIFS('Activity &amp; Event Log'!$W$5:$W$504,'Activity &amp; Event Log'!$D$5:$D$504,Settings!$O$16))</f>
        <v/>
      </c>
      <c r="G88" s="12" t="str">
        <f aca="false">IF(OR(Settings!$O$16="",E88=0),"",F88/E88)</f>
        <v/>
      </c>
      <c r="H88" s="15" t="str">
        <f aca="false">IF(OR(Settings!$O$16="",F88=0),"",AVERAGEIFS('Activity &amp; Event Log'!$S$5:$S$504,'Activity &amp; Event Log'!$D$5:$D$504,Settings!$O$16))</f>
        <v/>
      </c>
      <c r="I88" s="15" t="str">
        <f aca="false">IF(OR(Settings!$O$16="",F88=0),"",_xlfn.MAXIFS('Activity &amp; Event Log'!$S$5:$S$504,'Activity &amp; Event Log'!$D$5:$D$504,Settings!$O$16))</f>
        <v/>
      </c>
      <c r="J88" s="12" t="str">
        <f aca="false">IF(OR(Settings!$O$16="",E88=0),"",COUNTIFS('Activity &amp; Event Log'!$D$5:$D$504,Settings!$O$16,'Activity &amp; Event Log'!$U$5:$U$504,"Yes")/E88)</f>
        <v/>
      </c>
      <c r="K88" s="10" t="str">
        <f aca="false">IF(OR(Settings!$O$16="",E88=0),"",IF(MAX(COUNTIFS('Activity &amp; Event Log'!$D$5:$D$504,Settings!$O$16,'Activity &amp; Event Log'!$V$5:$V$504,"Telemetry Blind Spot"),COUNTIFS('Activity &amp; Event Log'!$D$5:$D$504,Settings!$O$16,'Activity &amp; Event Log'!$V$5:$V$504,"Missed Alert"),COUNTIFS('Activity &amp; Event Log'!$D$5:$D$504,Settings!$O$16,'Activity &amp; Event Log'!$V$5:$V$504,"Triage Delay"))=0,"None",IF(COUNTIFS('Activity &amp; Event Log'!$D$5:$D$504,Settings!$O$16,'Activity &amp; Event Log'!$V$5:$V$504,"Telemetry Blind Spot")&gt;=COUNTIFS('Activity &amp; Event Log'!$D$5:$D$504,Settings!$O$16,'Activity &amp; Event Log'!$V$5:$V$504,"Missed Alert"),IF(COUNTIFS('Activity &amp; Event Log'!$D$5:$D$504,Settings!$O$16,'Activity &amp; Event Log'!$V$5:$V$504,"Telemetry Blind Spot")&gt;=COUNTIFS('Activity &amp; Event Log'!$D$5:$D$504,Settings!$O$16,'Activity &amp; Event Log'!$V$5:$V$504,"Triage Delay"),"Blind Spot",IF(COUNTIFS('Activity &amp; Event Log'!$D$5:$D$504,Settings!$O$16,'Activity &amp; Event Log'!$V$5:$V$504,"Missed Alert")&gt;=COUNTIFS('Activity &amp; Event Log'!$D$5:$D$504,Settings!$O$16,'Activity &amp; Event Log'!$V$5:$V$504,"Triage Delay"),"Missed Alert","Triage Delay")),IF(COUNTIFS('Activity &amp; Event Log'!$D$5:$D$504,Settings!$O$16,'Activity &amp; Event Log'!$V$5:$V$504,"Missed Alert")&gt;=COUNTIFS('Activity &amp; Event Log'!$D$5:$D$504,Settings!$O$16,'Activity &amp; Event Log'!$V$5:$V$504,"Triage Delay"),"Missed Alert","Triage Delay"))))</f>
        <v/>
      </c>
      <c r="L88" s="10" t="str">
        <f aca="false">IF(OR(Settings!$O$16="",E88=0),"",IF((COUNTIFS('Activity &amp; Event Log'!$D$5:$D$504,Settings!$O$16,'Activity &amp; Event Log'!$V$5:$V$504,"Telemetry Blind Spot")+COUNTIFS('Activity &amp; Event Log'!$D$5:$D$504,Settings!$O$16,'Activity &amp; Event Log'!$V$5:$V$504,"Missed Alert")+COUNTIFS('Activity &amp; Event Log'!$D$5:$D$504,Settings!$O$16,'Activity &amp; Event Log'!$V$5:$V$504,"Detected - SLA Breach"))&gt;=Settings!$B$11,"High","Normal"))</f>
        <v/>
      </c>
    </row>
    <row r="89" customFormat="false" ht="15" hidden="false" customHeight="false" outlineLevel="0" collapsed="false">
      <c r="B89" s="10" t="str">
        <f aca="false">IF(Settings!$O$17="","",Settings!$Q$17)</f>
        <v/>
      </c>
      <c r="C89" s="10" t="str">
        <f aca="false">IF(Settings!$O$17="","",Settings!$O$17)</f>
        <v/>
      </c>
      <c r="D89" s="10" t="str">
        <f aca="false">IF(Settings!$O$17="","",Settings!$P$17)</f>
        <v/>
      </c>
      <c r="E89" s="11" t="str">
        <f aca="false">IF(Settings!$O$17="","",COUNTIFS('Activity &amp; Event Log'!$D$5:$D$504,Settings!$O$17,'Activity &amp; Event Log'!$G$5:$G$504,"?*"))</f>
        <v/>
      </c>
      <c r="F89" s="11" t="str">
        <f aca="false">IF(Settings!$O$17="","",SUMIFS('Activity &amp; Event Log'!$W$5:$W$504,'Activity &amp; Event Log'!$D$5:$D$504,Settings!$O$17))</f>
        <v/>
      </c>
      <c r="G89" s="12" t="str">
        <f aca="false">IF(OR(Settings!$O$17="",E89=0),"",F89/E89)</f>
        <v/>
      </c>
      <c r="H89" s="15" t="str">
        <f aca="false">IF(OR(Settings!$O$17="",F89=0),"",AVERAGEIFS('Activity &amp; Event Log'!$S$5:$S$504,'Activity &amp; Event Log'!$D$5:$D$504,Settings!$O$17))</f>
        <v/>
      </c>
      <c r="I89" s="15" t="str">
        <f aca="false">IF(OR(Settings!$O$17="",F89=0),"",_xlfn.MAXIFS('Activity &amp; Event Log'!$S$5:$S$504,'Activity &amp; Event Log'!$D$5:$D$504,Settings!$O$17))</f>
        <v/>
      </c>
      <c r="J89" s="12" t="str">
        <f aca="false">IF(OR(Settings!$O$17="",E89=0),"",COUNTIFS('Activity &amp; Event Log'!$D$5:$D$504,Settings!$O$17,'Activity &amp; Event Log'!$U$5:$U$504,"Yes")/E89)</f>
        <v/>
      </c>
      <c r="K89" s="10" t="str">
        <f aca="false">IF(OR(Settings!$O$17="",E89=0),"",IF(MAX(COUNTIFS('Activity &amp; Event Log'!$D$5:$D$504,Settings!$O$17,'Activity &amp; Event Log'!$V$5:$V$504,"Telemetry Blind Spot"),COUNTIFS('Activity &amp; Event Log'!$D$5:$D$504,Settings!$O$17,'Activity &amp; Event Log'!$V$5:$V$504,"Missed Alert"),COUNTIFS('Activity &amp; Event Log'!$D$5:$D$504,Settings!$O$17,'Activity &amp; Event Log'!$V$5:$V$504,"Triage Delay"))=0,"None",IF(COUNTIFS('Activity &amp; Event Log'!$D$5:$D$504,Settings!$O$17,'Activity &amp; Event Log'!$V$5:$V$504,"Telemetry Blind Spot")&gt;=COUNTIFS('Activity &amp; Event Log'!$D$5:$D$504,Settings!$O$17,'Activity &amp; Event Log'!$V$5:$V$504,"Missed Alert"),IF(COUNTIFS('Activity &amp; Event Log'!$D$5:$D$504,Settings!$O$17,'Activity &amp; Event Log'!$V$5:$V$504,"Telemetry Blind Spot")&gt;=COUNTIFS('Activity &amp; Event Log'!$D$5:$D$504,Settings!$O$17,'Activity &amp; Event Log'!$V$5:$V$504,"Triage Delay"),"Blind Spot",IF(COUNTIFS('Activity &amp; Event Log'!$D$5:$D$504,Settings!$O$17,'Activity &amp; Event Log'!$V$5:$V$504,"Missed Alert")&gt;=COUNTIFS('Activity &amp; Event Log'!$D$5:$D$504,Settings!$O$17,'Activity &amp; Event Log'!$V$5:$V$504,"Triage Delay"),"Missed Alert","Triage Delay")),IF(COUNTIFS('Activity &amp; Event Log'!$D$5:$D$504,Settings!$O$17,'Activity &amp; Event Log'!$V$5:$V$504,"Missed Alert")&gt;=COUNTIFS('Activity &amp; Event Log'!$D$5:$D$504,Settings!$O$17,'Activity &amp; Event Log'!$V$5:$V$504,"Triage Delay"),"Missed Alert","Triage Delay"))))</f>
        <v/>
      </c>
      <c r="L89" s="10" t="str">
        <f aca="false">IF(OR(Settings!$O$17="",E89=0),"",IF((COUNTIFS('Activity &amp; Event Log'!$D$5:$D$504,Settings!$O$17,'Activity &amp; Event Log'!$V$5:$V$504,"Telemetry Blind Spot")+COUNTIFS('Activity &amp; Event Log'!$D$5:$D$504,Settings!$O$17,'Activity &amp; Event Log'!$V$5:$V$504,"Missed Alert")+COUNTIFS('Activity &amp; Event Log'!$D$5:$D$504,Settings!$O$17,'Activity &amp; Event Log'!$V$5:$V$504,"Detected - SLA Breach"))&gt;=Settings!$B$11,"High","Normal"))</f>
        <v/>
      </c>
    </row>
    <row r="90" customFormat="false" ht="15" hidden="false" customHeight="false" outlineLevel="0" collapsed="false">
      <c r="B90" s="10" t="str">
        <f aca="false">IF(Settings!$O$18="","",Settings!$Q$18)</f>
        <v/>
      </c>
      <c r="C90" s="10" t="str">
        <f aca="false">IF(Settings!$O$18="","",Settings!$O$18)</f>
        <v/>
      </c>
      <c r="D90" s="10" t="str">
        <f aca="false">IF(Settings!$O$18="","",Settings!$P$18)</f>
        <v/>
      </c>
      <c r="E90" s="11" t="str">
        <f aca="false">IF(Settings!$O$18="","",COUNTIFS('Activity &amp; Event Log'!$D$5:$D$504,Settings!$O$18,'Activity &amp; Event Log'!$G$5:$G$504,"?*"))</f>
        <v/>
      </c>
      <c r="F90" s="11" t="str">
        <f aca="false">IF(Settings!$O$18="","",SUMIFS('Activity &amp; Event Log'!$W$5:$W$504,'Activity &amp; Event Log'!$D$5:$D$504,Settings!$O$18))</f>
        <v/>
      </c>
      <c r="G90" s="12" t="str">
        <f aca="false">IF(OR(Settings!$O$18="",E90=0),"",F90/E90)</f>
        <v/>
      </c>
      <c r="H90" s="15" t="str">
        <f aca="false">IF(OR(Settings!$O$18="",F90=0),"",AVERAGEIFS('Activity &amp; Event Log'!$S$5:$S$504,'Activity &amp; Event Log'!$D$5:$D$504,Settings!$O$18))</f>
        <v/>
      </c>
      <c r="I90" s="15" t="str">
        <f aca="false">IF(OR(Settings!$O$18="",F90=0),"",_xlfn.MAXIFS('Activity &amp; Event Log'!$S$5:$S$504,'Activity &amp; Event Log'!$D$5:$D$504,Settings!$O$18))</f>
        <v/>
      </c>
      <c r="J90" s="12" t="str">
        <f aca="false">IF(OR(Settings!$O$18="",E90=0),"",COUNTIFS('Activity &amp; Event Log'!$D$5:$D$504,Settings!$O$18,'Activity &amp; Event Log'!$U$5:$U$504,"Yes")/E90)</f>
        <v/>
      </c>
      <c r="K90" s="10" t="str">
        <f aca="false">IF(OR(Settings!$O$18="",E90=0),"",IF(MAX(COUNTIFS('Activity &amp; Event Log'!$D$5:$D$504,Settings!$O$18,'Activity &amp; Event Log'!$V$5:$V$504,"Telemetry Blind Spot"),COUNTIFS('Activity &amp; Event Log'!$D$5:$D$504,Settings!$O$18,'Activity &amp; Event Log'!$V$5:$V$504,"Missed Alert"),COUNTIFS('Activity &amp; Event Log'!$D$5:$D$504,Settings!$O$18,'Activity &amp; Event Log'!$V$5:$V$504,"Triage Delay"))=0,"None",IF(COUNTIFS('Activity &amp; Event Log'!$D$5:$D$504,Settings!$O$18,'Activity &amp; Event Log'!$V$5:$V$504,"Telemetry Blind Spot")&gt;=COUNTIFS('Activity &amp; Event Log'!$D$5:$D$504,Settings!$O$18,'Activity &amp; Event Log'!$V$5:$V$504,"Missed Alert"),IF(COUNTIFS('Activity &amp; Event Log'!$D$5:$D$504,Settings!$O$18,'Activity &amp; Event Log'!$V$5:$V$504,"Telemetry Blind Spot")&gt;=COUNTIFS('Activity &amp; Event Log'!$D$5:$D$504,Settings!$O$18,'Activity &amp; Event Log'!$V$5:$V$504,"Triage Delay"),"Blind Spot",IF(COUNTIFS('Activity &amp; Event Log'!$D$5:$D$504,Settings!$O$18,'Activity &amp; Event Log'!$V$5:$V$504,"Missed Alert")&gt;=COUNTIFS('Activity &amp; Event Log'!$D$5:$D$504,Settings!$O$18,'Activity &amp; Event Log'!$V$5:$V$504,"Triage Delay"),"Missed Alert","Triage Delay")),IF(COUNTIFS('Activity &amp; Event Log'!$D$5:$D$504,Settings!$O$18,'Activity &amp; Event Log'!$V$5:$V$504,"Missed Alert")&gt;=COUNTIFS('Activity &amp; Event Log'!$D$5:$D$504,Settings!$O$18,'Activity &amp; Event Log'!$V$5:$V$504,"Triage Delay"),"Missed Alert","Triage Delay"))))</f>
        <v/>
      </c>
      <c r="L90" s="10" t="str">
        <f aca="false">IF(OR(Settings!$O$18="",E90=0),"",IF((COUNTIFS('Activity &amp; Event Log'!$D$5:$D$504,Settings!$O$18,'Activity &amp; Event Log'!$V$5:$V$504,"Telemetry Blind Spot")+COUNTIFS('Activity &amp; Event Log'!$D$5:$D$504,Settings!$O$18,'Activity &amp; Event Log'!$V$5:$V$504,"Missed Alert")+COUNTIFS('Activity &amp; Event Log'!$D$5:$D$504,Settings!$O$18,'Activity &amp; Event Log'!$V$5:$V$504,"Detected - SLA Breach"))&gt;=Settings!$B$11,"High","Normal"))</f>
        <v/>
      </c>
    </row>
    <row r="91" customFormat="false" ht="15" hidden="false" customHeight="false" outlineLevel="0" collapsed="false">
      <c r="B91" s="10" t="str">
        <f aca="false">IF(Settings!$O$19="","",Settings!$Q$19)</f>
        <v/>
      </c>
      <c r="C91" s="10" t="str">
        <f aca="false">IF(Settings!$O$19="","",Settings!$O$19)</f>
        <v/>
      </c>
      <c r="D91" s="10" t="str">
        <f aca="false">IF(Settings!$O$19="","",Settings!$P$19)</f>
        <v/>
      </c>
      <c r="E91" s="11" t="str">
        <f aca="false">IF(Settings!$O$19="","",COUNTIFS('Activity &amp; Event Log'!$D$5:$D$504,Settings!$O$19,'Activity &amp; Event Log'!$G$5:$G$504,"?*"))</f>
        <v/>
      </c>
      <c r="F91" s="11" t="str">
        <f aca="false">IF(Settings!$O$19="","",SUMIFS('Activity &amp; Event Log'!$W$5:$W$504,'Activity &amp; Event Log'!$D$5:$D$504,Settings!$O$19))</f>
        <v/>
      </c>
      <c r="G91" s="12" t="str">
        <f aca="false">IF(OR(Settings!$O$19="",E91=0),"",F91/E91)</f>
        <v/>
      </c>
      <c r="H91" s="15" t="str">
        <f aca="false">IF(OR(Settings!$O$19="",F91=0),"",AVERAGEIFS('Activity &amp; Event Log'!$S$5:$S$504,'Activity &amp; Event Log'!$D$5:$D$504,Settings!$O$19))</f>
        <v/>
      </c>
      <c r="I91" s="15" t="str">
        <f aca="false">IF(OR(Settings!$O$19="",F91=0),"",_xlfn.MAXIFS('Activity &amp; Event Log'!$S$5:$S$504,'Activity &amp; Event Log'!$D$5:$D$504,Settings!$O$19))</f>
        <v/>
      </c>
      <c r="J91" s="12" t="str">
        <f aca="false">IF(OR(Settings!$O$19="",E91=0),"",COUNTIFS('Activity &amp; Event Log'!$D$5:$D$504,Settings!$O$19,'Activity &amp; Event Log'!$U$5:$U$504,"Yes")/E91)</f>
        <v/>
      </c>
      <c r="K91" s="10" t="str">
        <f aca="false">IF(OR(Settings!$O$19="",E91=0),"",IF(MAX(COUNTIFS('Activity &amp; Event Log'!$D$5:$D$504,Settings!$O$19,'Activity &amp; Event Log'!$V$5:$V$504,"Telemetry Blind Spot"),COUNTIFS('Activity &amp; Event Log'!$D$5:$D$504,Settings!$O$19,'Activity &amp; Event Log'!$V$5:$V$504,"Missed Alert"),COUNTIFS('Activity &amp; Event Log'!$D$5:$D$504,Settings!$O$19,'Activity &amp; Event Log'!$V$5:$V$504,"Triage Delay"))=0,"None",IF(COUNTIFS('Activity &amp; Event Log'!$D$5:$D$504,Settings!$O$19,'Activity &amp; Event Log'!$V$5:$V$504,"Telemetry Blind Spot")&gt;=COUNTIFS('Activity &amp; Event Log'!$D$5:$D$504,Settings!$O$19,'Activity &amp; Event Log'!$V$5:$V$504,"Missed Alert"),IF(COUNTIFS('Activity &amp; Event Log'!$D$5:$D$504,Settings!$O$19,'Activity &amp; Event Log'!$V$5:$V$504,"Telemetry Blind Spot")&gt;=COUNTIFS('Activity &amp; Event Log'!$D$5:$D$504,Settings!$O$19,'Activity &amp; Event Log'!$V$5:$V$504,"Triage Delay"),"Blind Spot",IF(COUNTIFS('Activity &amp; Event Log'!$D$5:$D$504,Settings!$O$19,'Activity &amp; Event Log'!$V$5:$V$504,"Missed Alert")&gt;=COUNTIFS('Activity &amp; Event Log'!$D$5:$D$504,Settings!$O$19,'Activity &amp; Event Log'!$V$5:$V$504,"Triage Delay"),"Missed Alert","Triage Delay")),IF(COUNTIFS('Activity &amp; Event Log'!$D$5:$D$504,Settings!$O$19,'Activity &amp; Event Log'!$V$5:$V$504,"Missed Alert")&gt;=COUNTIFS('Activity &amp; Event Log'!$D$5:$D$504,Settings!$O$19,'Activity &amp; Event Log'!$V$5:$V$504,"Triage Delay"),"Missed Alert","Triage Delay"))))</f>
        <v/>
      </c>
      <c r="L91" s="10" t="str">
        <f aca="false">IF(OR(Settings!$O$19="",E91=0),"",IF((COUNTIFS('Activity &amp; Event Log'!$D$5:$D$504,Settings!$O$19,'Activity &amp; Event Log'!$V$5:$V$504,"Telemetry Blind Spot")+COUNTIFS('Activity &amp; Event Log'!$D$5:$D$504,Settings!$O$19,'Activity &amp; Event Log'!$V$5:$V$504,"Missed Alert")+COUNTIFS('Activity &amp; Event Log'!$D$5:$D$504,Settings!$O$19,'Activity &amp; Event Log'!$V$5:$V$504,"Detected - SLA Breach"))&gt;=Settings!$B$11,"High","Normal"))</f>
        <v/>
      </c>
    </row>
    <row r="92" customFormat="false" ht="15" hidden="false" customHeight="false" outlineLevel="0" collapsed="false">
      <c r="B92" s="10" t="str">
        <f aca="false">IF(Settings!$O$20="","",Settings!$Q$20)</f>
        <v/>
      </c>
      <c r="C92" s="10" t="str">
        <f aca="false">IF(Settings!$O$20="","",Settings!$O$20)</f>
        <v/>
      </c>
      <c r="D92" s="10" t="str">
        <f aca="false">IF(Settings!$O$20="","",Settings!$P$20)</f>
        <v/>
      </c>
      <c r="E92" s="11" t="str">
        <f aca="false">IF(Settings!$O$20="","",COUNTIFS('Activity &amp; Event Log'!$D$5:$D$504,Settings!$O$20,'Activity &amp; Event Log'!$G$5:$G$504,"?*"))</f>
        <v/>
      </c>
      <c r="F92" s="11" t="str">
        <f aca="false">IF(Settings!$O$20="","",SUMIFS('Activity &amp; Event Log'!$W$5:$W$504,'Activity &amp; Event Log'!$D$5:$D$504,Settings!$O$20))</f>
        <v/>
      </c>
      <c r="G92" s="12" t="str">
        <f aca="false">IF(OR(Settings!$O$20="",E92=0),"",F92/E92)</f>
        <v/>
      </c>
      <c r="H92" s="15" t="str">
        <f aca="false">IF(OR(Settings!$O$20="",F92=0),"",AVERAGEIFS('Activity &amp; Event Log'!$S$5:$S$504,'Activity &amp; Event Log'!$D$5:$D$504,Settings!$O$20))</f>
        <v/>
      </c>
      <c r="I92" s="15" t="str">
        <f aca="false">IF(OR(Settings!$O$20="",F92=0),"",_xlfn.MAXIFS('Activity &amp; Event Log'!$S$5:$S$504,'Activity &amp; Event Log'!$D$5:$D$504,Settings!$O$20))</f>
        <v/>
      </c>
      <c r="J92" s="12" t="str">
        <f aca="false">IF(OR(Settings!$O$20="",E92=0),"",COUNTIFS('Activity &amp; Event Log'!$D$5:$D$504,Settings!$O$20,'Activity &amp; Event Log'!$U$5:$U$504,"Yes")/E92)</f>
        <v/>
      </c>
      <c r="K92" s="10" t="str">
        <f aca="false">IF(OR(Settings!$O$20="",E92=0),"",IF(MAX(COUNTIFS('Activity &amp; Event Log'!$D$5:$D$504,Settings!$O$20,'Activity &amp; Event Log'!$V$5:$V$504,"Telemetry Blind Spot"),COUNTIFS('Activity &amp; Event Log'!$D$5:$D$504,Settings!$O$20,'Activity &amp; Event Log'!$V$5:$V$504,"Missed Alert"),COUNTIFS('Activity &amp; Event Log'!$D$5:$D$504,Settings!$O$20,'Activity &amp; Event Log'!$V$5:$V$504,"Triage Delay"))=0,"None",IF(COUNTIFS('Activity &amp; Event Log'!$D$5:$D$504,Settings!$O$20,'Activity &amp; Event Log'!$V$5:$V$504,"Telemetry Blind Spot")&gt;=COUNTIFS('Activity &amp; Event Log'!$D$5:$D$504,Settings!$O$20,'Activity &amp; Event Log'!$V$5:$V$504,"Missed Alert"),IF(COUNTIFS('Activity &amp; Event Log'!$D$5:$D$504,Settings!$O$20,'Activity &amp; Event Log'!$V$5:$V$504,"Telemetry Blind Spot")&gt;=COUNTIFS('Activity &amp; Event Log'!$D$5:$D$504,Settings!$O$20,'Activity &amp; Event Log'!$V$5:$V$504,"Triage Delay"),"Blind Spot",IF(COUNTIFS('Activity &amp; Event Log'!$D$5:$D$504,Settings!$O$20,'Activity &amp; Event Log'!$V$5:$V$504,"Missed Alert")&gt;=COUNTIFS('Activity &amp; Event Log'!$D$5:$D$504,Settings!$O$20,'Activity &amp; Event Log'!$V$5:$V$504,"Triage Delay"),"Missed Alert","Triage Delay")),IF(COUNTIFS('Activity &amp; Event Log'!$D$5:$D$504,Settings!$O$20,'Activity &amp; Event Log'!$V$5:$V$504,"Missed Alert")&gt;=COUNTIFS('Activity &amp; Event Log'!$D$5:$D$504,Settings!$O$20,'Activity &amp; Event Log'!$V$5:$V$504,"Triage Delay"),"Missed Alert","Triage Delay"))))</f>
        <v/>
      </c>
      <c r="L92" s="10" t="str">
        <f aca="false">IF(OR(Settings!$O$20="",E92=0),"",IF((COUNTIFS('Activity &amp; Event Log'!$D$5:$D$504,Settings!$O$20,'Activity &amp; Event Log'!$V$5:$V$504,"Telemetry Blind Spot")+COUNTIFS('Activity &amp; Event Log'!$D$5:$D$504,Settings!$O$20,'Activity &amp; Event Log'!$V$5:$V$504,"Missed Alert")+COUNTIFS('Activity &amp; Event Log'!$D$5:$D$504,Settings!$O$20,'Activity &amp; Event Log'!$V$5:$V$504,"Detected - SLA Breach"))&gt;=Settings!$B$11,"High","Normal"))</f>
        <v/>
      </c>
    </row>
    <row r="93" customFormat="false" ht="15" hidden="false" customHeight="false" outlineLevel="0" collapsed="false">
      <c r="B93" s="10" t="str">
        <f aca="false">IF(Settings!$O$21="","",Settings!$Q$21)</f>
        <v/>
      </c>
      <c r="C93" s="10" t="str">
        <f aca="false">IF(Settings!$O$21="","",Settings!$O$21)</f>
        <v/>
      </c>
      <c r="D93" s="10" t="str">
        <f aca="false">IF(Settings!$O$21="","",Settings!$P$21)</f>
        <v/>
      </c>
      <c r="E93" s="11" t="str">
        <f aca="false">IF(Settings!$O$21="","",COUNTIFS('Activity &amp; Event Log'!$D$5:$D$504,Settings!$O$21,'Activity &amp; Event Log'!$G$5:$G$504,"?*"))</f>
        <v/>
      </c>
      <c r="F93" s="11" t="str">
        <f aca="false">IF(Settings!$O$21="","",SUMIFS('Activity &amp; Event Log'!$W$5:$W$504,'Activity &amp; Event Log'!$D$5:$D$504,Settings!$O$21))</f>
        <v/>
      </c>
      <c r="G93" s="12" t="str">
        <f aca="false">IF(OR(Settings!$O$21="",E93=0),"",F93/E93)</f>
        <v/>
      </c>
      <c r="H93" s="15" t="str">
        <f aca="false">IF(OR(Settings!$O$21="",F93=0),"",AVERAGEIFS('Activity &amp; Event Log'!$S$5:$S$504,'Activity &amp; Event Log'!$D$5:$D$504,Settings!$O$21))</f>
        <v/>
      </c>
      <c r="I93" s="15" t="str">
        <f aca="false">IF(OR(Settings!$O$21="",F93=0),"",_xlfn.MAXIFS('Activity &amp; Event Log'!$S$5:$S$504,'Activity &amp; Event Log'!$D$5:$D$504,Settings!$O$21))</f>
        <v/>
      </c>
      <c r="J93" s="12" t="str">
        <f aca="false">IF(OR(Settings!$O$21="",E93=0),"",COUNTIFS('Activity &amp; Event Log'!$D$5:$D$504,Settings!$O$21,'Activity &amp; Event Log'!$U$5:$U$504,"Yes")/E93)</f>
        <v/>
      </c>
      <c r="K93" s="10" t="str">
        <f aca="false">IF(OR(Settings!$O$21="",E93=0),"",IF(MAX(COUNTIFS('Activity &amp; Event Log'!$D$5:$D$504,Settings!$O$21,'Activity &amp; Event Log'!$V$5:$V$504,"Telemetry Blind Spot"),COUNTIFS('Activity &amp; Event Log'!$D$5:$D$504,Settings!$O$21,'Activity &amp; Event Log'!$V$5:$V$504,"Missed Alert"),COUNTIFS('Activity &amp; Event Log'!$D$5:$D$504,Settings!$O$21,'Activity &amp; Event Log'!$V$5:$V$504,"Triage Delay"))=0,"None",IF(COUNTIFS('Activity &amp; Event Log'!$D$5:$D$504,Settings!$O$21,'Activity &amp; Event Log'!$V$5:$V$504,"Telemetry Blind Spot")&gt;=COUNTIFS('Activity &amp; Event Log'!$D$5:$D$504,Settings!$O$21,'Activity &amp; Event Log'!$V$5:$V$504,"Missed Alert"),IF(COUNTIFS('Activity &amp; Event Log'!$D$5:$D$504,Settings!$O$21,'Activity &amp; Event Log'!$V$5:$V$504,"Telemetry Blind Spot")&gt;=COUNTIFS('Activity &amp; Event Log'!$D$5:$D$504,Settings!$O$21,'Activity &amp; Event Log'!$V$5:$V$504,"Triage Delay"),"Blind Spot",IF(COUNTIFS('Activity &amp; Event Log'!$D$5:$D$504,Settings!$O$21,'Activity &amp; Event Log'!$V$5:$V$504,"Missed Alert")&gt;=COUNTIFS('Activity &amp; Event Log'!$D$5:$D$504,Settings!$O$21,'Activity &amp; Event Log'!$V$5:$V$504,"Triage Delay"),"Missed Alert","Triage Delay")),IF(COUNTIFS('Activity &amp; Event Log'!$D$5:$D$504,Settings!$O$21,'Activity &amp; Event Log'!$V$5:$V$504,"Missed Alert")&gt;=COUNTIFS('Activity &amp; Event Log'!$D$5:$D$504,Settings!$O$21,'Activity &amp; Event Log'!$V$5:$V$504,"Triage Delay"),"Missed Alert","Triage Delay"))))</f>
        <v/>
      </c>
      <c r="L93" s="10" t="str">
        <f aca="false">IF(OR(Settings!$O$21="",E93=0),"",IF((COUNTIFS('Activity &amp; Event Log'!$D$5:$D$504,Settings!$O$21,'Activity &amp; Event Log'!$V$5:$V$504,"Telemetry Blind Spot")+COUNTIFS('Activity &amp; Event Log'!$D$5:$D$504,Settings!$O$21,'Activity &amp; Event Log'!$V$5:$V$504,"Missed Alert")+COUNTIFS('Activity &amp; Event Log'!$D$5:$D$504,Settings!$O$21,'Activity &amp; Event Log'!$V$5:$V$504,"Detected - SLA Breach"))&gt;=Settings!$B$11,"High","Normal"))</f>
        <v/>
      </c>
    </row>
    <row r="94" customFormat="false" ht="15" hidden="false" customHeight="false" outlineLevel="0" collapsed="false">
      <c r="B94" s="10" t="str">
        <f aca="false">IF(Settings!$O$22="","",Settings!$Q$22)</f>
        <v/>
      </c>
      <c r="C94" s="10" t="str">
        <f aca="false">IF(Settings!$O$22="","",Settings!$O$22)</f>
        <v/>
      </c>
      <c r="D94" s="10" t="str">
        <f aca="false">IF(Settings!$O$22="","",Settings!$P$22)</f>
        <v/>
      </c>
      <c r="E94" s="11" t="str">
        <f aca="false">IF(Settings!$O$22="","",COUNTIFS('Activity &amp; Event Log'!$D$5:$D$504,Settings!$O$22,'Activity &amp; Event Log'!$G$5:$G$504,"?*"))</f>
        <v/>
      </c>
      <c r="F94" s="11" t="str">
        <f aca="false">IF(Settings!$O$22="","",SUMIFS('Activity &amp; Event Log'!$W$5:$W$504,'Activity &amp; Event Log'!$D$5:$D$504,Settings!$O$22))</f>
        <v/>
      </c>
      <c r="G94" s="12" t="str">
        <f aca="false">IF(OR(Settings!$O$22="",E94=0),"",F94/E94)</f>
        <v/>
      </c>
      <c r="H94" s="15" t="str">
        <f aca="false">IF(OR(Settings!$O$22="",F94=0),"",AVERAGEIFS('Activity &amp; Event Log'!$S$5:$S$504,'Activity &amp; Event Log'!$D$5:$D$504,Settings!$O$22))</f>
        <v/>
      </c>
      <c r="I94" s="15" t="str">
        <f aca="false">IF(OR(Settings!$O$22="",F94=0),"",_xlfn.MAXIFS('Activity &amp; Event Log'!$S$5:$S$504,'Activity &amp; Event Log'!$D$5:$D$504,Settings!$O$22))</f>
        <v/>
      </c>
      <c r="J94" s="12" t="str">
        <f aca="false">IF(OR(Settings!$O$22="",E94=0),"",COUNTIFS('Activity &amp; Event Log'!$D$5:$D$504,Settings!$O$22,'Activity &amp; Event Log'!$U$5:$U$504,"Yes")/E94)</f>
        <v/>
      </c>
      <c r="K94" s="10" t="str">
        <f aca="false">IF(OR(Settings!$O$22="",E94=0),"",IF(MAX(COUNTIFS('Activity &amp; Event Log'!$D$5:$D$504,Settings!$O$22,'Activity &amp; Event Log'!$V$5:$V$504,"Telemetry Blind Spot"),COUNTIFS('Activity &amp; Event Log'!$D$5:$D$504,Settings!$O$22,'Activity &amp; Event Log'!$V$5:$V$504,"Missed Alert"),COUNTIFS('Activity &amp; Event Log'!$D$5:$D$504,Settings!$O$22,'Activity &amp; Event Log'!$V$5:$V$504,"Triage Delay"))=0,"None",IF(COUNTIFS('Activity &amp; Event Log'!$D$5:$D$504,Settings!$O$22,'Activity &amp; Event Log'!$V$5:$V$504,"Telemetry Blind Spot")&gt;=COUNTIFS('Activity &amp; Event Log'!$D$5:$D$504,Settings!$O$22,'Activity &amp; Event Log'!$V$5:$V$504,"Missed Alert"),IF(COUNTIFS('Activity &amp; Event Log'!$D$5:$D$504,Settings!$O$22,'Activity &amp; Event Log'!$V$5:$V$504,"Telemetry Blind Spot")&gt;=COUNTIFS('Activity &amp; Event Log'!$D$5:$D$504,Settings!$O$22,'Activity &amp; Event Log'!$V$5:$V$504,"Triage Delay"),"Blind Spot",IF(COUNTIFS('Activity &amp; Event Log'!$D$5:$D$504,Settings!$O$22,'Activity &amp; Event Log'!$V$5:$V$504,"Missed Alert")&gt;=COUNTIFS('Activity &amp; Event Log'!$D$5:$D$504,Settings!$O$22,'Activity &amp; Event Log'!$V$5:$V$504,"Triage Delay"),"Missed Alert","Triage Delay")),IF(COUNTIFS('Activity &amp; Event Log'!$D$5:$D$504,Settings!$O$22,'Activity &amp; Event Log'!$V$5:$V$504,"Missed Alert")&gt;=COUNTIFS('Activity &amp; Event Log'!$D$5:$D$504,Settings!$O$22,'Activity &amp; Event Log'!$V$5:$V$504,"Triage Delay"),"Missed Alert","Triage Delay"))))</f>
        <v/>
      </c>
      <c r="L94" s="10" t="str">
        <f aca="false">IF(OR(Settings!$O$22="",E94=0),"",IF((COUNTIFS('Activity &amp; Event Log'!$D$5:$D$504,Settings!$O$22,'Activity &amp; Event Log'!$V$5:$V$504,"Telemetry Blind Spot")+COUNTIFS('Activity &amp; Event Log'!$D$5:$D$504,Settings!$O$22,'Activity &amp; Event Log'!$V$5:$V$504,"Missed Alert")+COUNTIFS('Activity &amp; Event Log'!$D$5:$D$504,Settings!$O$22,'Activity &amp; Event Log'!$V$5:$V$504,"Detected - SLA Breach"))&gt;=Settings!$B$11,"High","Normal"))</f>
        <v/>
      </c>
    </row>
    <row r="95" customFormat="false" ht="15" hidden="false" customHeight="false" outlineLevel="0" collapsed="false">
      <c r="B95" s="10" t="str">
        <f aca="false">IF(Settings!$O$23="","",Settings!$Q$23)</f>
        <v/>
      </c>
      <c r="C95" s="10" t="str">
        <f aca="false">IF(Settings!$O$23="","",Settings!$O$23)</f>
        <v/>
      </c>
      <c r="D95" s="10" t="str">
        <f aca="false">IF(Settings!$O$23="","",Settings!$P$23)</f>
        <v/>
      </c>
      <c r="E95" s="11" t="str">
        <f aca="false">IF(Settings!$O$23="","",COUNTIFS('Activity &amp; Event Log'!$D$5:$D$504,Settings!$O$23,'Activity &amp; Event Log'!$G$5:$G$504,"?*"))</f>
        <v/>
      </c>
      <c r="F95" s="11" t="str">
        <f aca="false">IF(Settings!$O$23="","",SUMIFS('Activity &amp; Event Log'!$W$5:$W$504,'Activity &amp; Event Log'!$D$5:$D$504,Settings!$O$23))</f>
        <v/>
      </c>
      <c r="G95" s="12" t="str">
        <f aca="false">IF(OR(Settings!$O$23="",E95=0),"",F95/E95)</f>
        <v/>
      </c>
      <c r="H95" s="15" t="str">
        <f aca="false">IF(OR(Settings!$O$23="",F95=0),"",AVERAGEIFS('Activity &amp; Event Log'!$S$5:$S$504,'Activity &amp; Event Log'!$D$5:$D$504,Settings!$O$23))</f>
        <v/>
      </c>
      <c r="I95" s="15" t="str">
        <f aca="false">IF(OR(Settings!$O$23="",F95=0),"",_xlfn.MAXIFS('Activity &amp; Event Log'!$S$5:$S$504,'Activity &amp; Event Log'!$D$5:$D$504,Settings!$O$23))</f>
        <v/>
      </c>
      <c r="J95" s="12" t="str">
        <f aca="false">IF(OR(Settings!$O$23="",E95=0),"",COUNTIFS('Activity &amp; Event Log'!$D$5:$D$504,Settings!$O$23,'Activity &amp; Event Log'!$U$5:$U$504,"Yes")/E95)</f>
        <v/>
      </c>
      <c r="K95" s="10" t="str">
        <f aca="false">IF(OR(Settings!$O$23="",E95=0),"",IF(MAX(COUNTIFS('Activity &amp; Event Log'!$D$5:$D$504,Settings!$O$23,'Activity &amp; Event Log'!$V$5:$V$504,"Telemetry Blind Spot"),COUNTIFS('Activity &amp; Event Log'!$D$5:$D$504,Settings!$O$23,'Activity &amp; Event Log'!$V$5:$V$504,"Missed Alert"),COUNTIFS('Activity &amp; Event Log'!$D$5:$D$504,Settings!$O$23,'Activity &amp; Event Log'!$V$5:$V$504,"Triage Delay"))=0,"None",IF(COUNTIFS('Activity &amp; Event Log'!$D$5:$D$504,Settings!$O$23,'Activity &amp; Event Log'!$V$5:$V$504,"Telemetry Blind Spot")&gt;=COUNTIFS('Activity &amp; Event Log'!$D$5:$D$504,Settings!$O$23,'Activity &amp; Event Log'!$V$5:$V$504,"Missed Alert"),IF(COUNTIFS('Activity &amp; Event Log'!$D$5:$D$504,Settings!$O$23,'Activity &amp; Event Log'!$V$5:$V$504,"Telemetry Blind Spot")&gt;=COUNTIFS('Activity &amp; Event Log'!$D$5:$D$504,Settings!$O$23,'Activity &amp; Event Log'!$V$5:$V$504,"Triage Delay"),"Blind Spot",IF(COUNTIFS('Activity &amp; Event Log'!$D$5:$D$504,Settings!$O$23,'Activity &amp; Event Log'!$V$5:$V$504,"Missed Alert")&gt;=COUNTIFS('Activity &amp; Event Log'!$D$5:$D$504,Settings!$O$23,'Activity &amp; Event Log'!$V$5:$V$504,"Triage Delay"),"Missed Alert","Triage Delay")),IF(COUNTIFS('Activity &amp; Event Log'!$D$5:$D$504,Settings!$O$23,'Activity &amp; Event Log'!$V$5:$V$504,"Missed Alert")&gt;=COUNTIFS('Activity &amp; Event Log'!$D$5:$D$504,Settings!$O$23,'Activity &amp; Event Log'!$V$5:$V$504,"Triage Delay"),"Missed Alert","Triage Delay"))))</f>
        <v/>
      </c>
      <c r="L95" s="10" t="str">
        <f aca="false">IF(OR(Settings!$O$23="",E95=0),"",IF((COUNTIFS('Activity &amp; Event Log'!$D$5:$D$504,Settings!$O$23,'Activity &amp; Event Log'!$V$5:$V$504,"Telemetry Blind Spot")+COUNTIFS('Activity &amp; Event Log'!$D$5:$D$504,Settings!$O$23,'Activity &amp; Event Log'!$V$5:$V$504,"Missed Alert")+COUNTIFS('Activity &amp; Event Log'!$D$5:$D$504,Settings!$O$23,'Activity &amp; Event Log'!$V$5:$V$504,"Detected - SLA Breach"))&gt;=Settings!$B$11,"High","Normal"))</f>
        <v/>
      </c>
    </row>
    <row r="96" customFormat="false" ht="15" hidden="false" customHeight="false" outlineLevel="0" collapsed="false">
      <c r="B96" s="10" t="str">
        <f aca="false">IF(Settings!$O$24="","",Settings!$Q$24)</f>
        <v/>
      </c>
      <c r="C96" s="10" t="str">
        <f aca="false">IF(Settings!$O$24="","",Settings!$O$24)</f>
        <v/>
      </c>
      <c r="D96" s="10" t="str">
        <f aca="false">IF(Settings!$O$24="","",Settings!$P$24)</f>
        <v/>
      </c>
      <c r="E96" s="11" t="str">
        <f aca="false">IF(Settings!$O$24="","",COUNTIFS('Activity &amp; Event Log'!$D$5:$D$504,Settings!$O$24,'Activity &amp; Event Log'!$G$5:$G$504,"?*"))</f>
        <v/>
      </c>
      <c r="F96" s="11" t="str">
        <f aca="false">IF(Settings!$O$24="","",SUMIFS('Activity &amp; Event Log'!$W$5:$W$504,'Activity &amp; Event Log'!$D$5:$D$504,Settings!$O$24))</f>
        <v/>
      </c>
      <c r="G96" s="12" t="str">
        <f aca="false">IF(OR(Settings!$O$24="",E96=0),"",F96/E96)</f>
        <v/>
      </c>
      <c r="H96" s="15" t="str">
        <f aca="false">IF(OR(Settings!$O$24="",F96=0),"",AVERAGEIFS('Activity &amp; Event Log'!$S$5:$S$504,'Activity &amp; Event Log'!$D$5:$D$504,Settings!$O$24))</f>
        <v/>
      </c>
      <c r="I96" s="15" t="str">
        <f aca="false">IF(OR(Settings!$O$24="",F96=0),"",_xlfn.MAXIFS('Activity &amp; Event Log'!$S$5:$S$504,'Activity &amp; Event Log'!$D$5:$D$504,Settings!$O$24))</f>
        <v/>
      </c>
      <c r="J96" s="12" t="str">
        <f aca="false">IF(OR(Settings!$O$24="",E96=0),"",COUNTIFS('Activity &amp; Event Log'!$D$5:$D$504,Settings!$O$24,'Activity &amp; Event Log'!$U$5:$U$504,"Yes")/E96)</f>
        <v/>
      </c>
      <c r="K96" s="10" t="str">
        <f aca="false">IF(OR(Settings!$O$24="",E96=0),"",IF(MAX(COUNTIFS('Activity &amp; Event Log'!$D$5:$D$504,Settings!$O$24,'Activity &amp; Event Log'!$V$5:$V$504,"Telemetry Blind Spot"),COUNTIFS('Activity &amp; Event Log'!$D$5:$D$504,Settings!$O$24,'Activity &amp; Event Log'!$V$5:$V$504,"Missed Alert"),COUNTIFS('Activity &amp; Event Log'!$D$5:$D$504,Settings!$O$24,'Activity &amp; Event Log'!$V$5:$V$504,"Triage Delay"))=0,"None",IF(COUNTIFS('Activity &amp; Event Log'!$D$5:$D$504,Settings!$O$24,'Activity &amp; Event Log'!$V$5:$V$504,"Telemetry Blind Spot")&gt;=COUNTIFS('Activity &amp; Event Log'!$D$5:$D$504,Settings!$O$24,'Activity &amp; Event Log'!$V$5:$V$504,"Missed Alert"),IF(COUNTIFS('Activity &amp; Event Log'!$D$5:$D$504,Settings!$O$24,'Activity &amp; Event Log'!$V$5:$V$504,"Telemetry Blind Spot")&gt;=COUNTIFS('Activity &amp; Event Log'!$D$5:$D$504,Settings!$O$24,'Activity &amp; Event Log'!$V$5:$V$504,"Triage Delay"),"Blind Spot",IF(COUNTIFS('Activity &amp; Event Log'!$D$5:$D$504,Settings!$O$24,'Activity &amp; Event Log'!$V$5:$V$504,"Missed Alert")&gt;=COUNTIFS('Activity &amp; Event Log'!$D$5:$D$504,Settings!$O$24,'Activity &amp; Event Log'!$V$5:$V$504,"Triage Delay"),"Missed Alert","Triage Delay")),IF(COUNTIFS('Activity &amp; Event Log'!$D$5:$D$504,Settings!$O$24,'Activity &amp; Event Log'!$V$5:$V$504,"Missed Alert")&gt;=COUNTIFS('Activity &amp; Event Log'!$D$5:$D$504,Settings!$O$24,'Activity &amp; Event Log'!$V$5:$V$504,"Triage Delay"),"Missed Alert","Triage Delay"))))</f>
        <v/>
      </c>
      <c r="L96" s="10" t="str">
        <f aca="false">IF(OR(Settings!$O$24="",E96=0),"",IF((COUNTIFS('Activity &amp; Event Log'!$D$5:$D$504,Settings!$O$24,'Activity &amp; Event Log'!$V$5:$V$504,"Telemetry Blind Spot")+COUNTIFS('Activity &amp; Event Log'!$D$5:$D$504,Settings!$O$24,'Activity &amp; Event Log'!$V$5:$V$504,"Missed Alert")+COUNTIFS('Activity &amp; Event Log'!$D$5:$D$504,Settings!$O$24,'Activity &amp; Event Log'!$V$5:$V$504,"Detected - SLA Breach"))&gt;=Settings!$B$11,"High","Normal"))</f>
        <v/>
      </c>
    </row>
    <row r="97" customFormat="false" ht="15" hidden="false" customHeight="false" outlineLevel="0" collapsed="false">
      <c r="B97" s="10" t="str">
        <f aca="false">IF(Settings!$O$25="","",Settings!$Q$25)</f>
        <v/>
      </c>
      <c r="C97" s="10" t="str">
        <f aca="false">IF(Settings!$O$25="","",Settings!$O$25)</f>
        <v/>
      </c>
      <c r="D97" s="10" t="str">
        <f aca="false">IF(Settings!$O$25="","",Settings!$P$25)</f>
        <v/>
      </c>
      <c r="E97" s="11" t="str">
        <f aca="false">IF(Settings!$O$25="","",COUNTIFS('Activity &amp; Event Log'!$D$5:$D$504,Settings!$O$25,'Activity &amp; Event Log'!$G$5:$G$504,"?*"))</f>
        <v/>
      </c>
      <c r="F97" s="11" t="str">
        <f aca="false">IF(Settings!$O$25="","",SUMIFS('Activity &amp; Event Log'!$W$5:$W$504,'Activity &amp; Event Log'!$D$5:$D$504,Settings!$O$25))</f>
        <v/>
      </c>
      <c r="G97" s="12" t="str">
        <f aca="false">IF(OR(Settings!$O$25="",E97=0),"",F97/E97)</f>
        <v/>
      </c>
      <c r="H97" s="15" t="str">
        <f aca="false">IF(OR(Settings!$O$25="",F97=0),"",AVERAGEIFS('Activity &amp; Event Log'!$S$5:$S$504,'Activity &amp; Event Log'!$D$5:$D$504,Settings!$O$25))</f>
        <v/>
      </c>
      <c r="I97" s="15" t="str">
        <f aca="false">IF(OR(Settings!$O$25="",F97=0),"",_xlfn.MAXIFS('Activity &amp; Event Log'!$S$5:$S$504,'Activity &amp; Event Log'!$D$5:$D$504,Settings!$O$25))</f>
        <v/>
      </c>
      <c r="J97" s="12" t="str">
        <f aca="false">IF(OR(Settings!$O$25="",E97=0),"",COUNTIFS('Activity &amp; Event Log'!$D$5:$D$504,Settings!$O$25,'Activity &amp; Event Log'!$U$5:$U$504,"Yes")/E97)</f>
        <v/>
      </c>
      <c r="K97" s="10" t="str">
        <f aca="false">IF(OR(Settings!$O$25="",E97=0),"",IF(MAX(COUNTIFS('Activity &amp; Event Log'!$D$5:$D$504,Settings!$O$25,'Activity &amp; Event Log'!$V$5:$V$504,"Telemetry Blind Spot"),COUNTIFS('Activity &amp; Event Log'!$D$5:$D$504,Settings!$O$25,'Activity &amp; Event Log'!$V$5:$V$504,"Missed Alert"),COUNTIFS('Activity &amp; Event Log'!$D$5:$D$504,Settings!$O$25,'Activity &amp; Event Log'!$V$5:$V$504,"Triage Delay"))=0,"None",IF(COUNTIFS('Activity &amp; Event Log'!$D$5:$D$504,Settings!$O$25,'Activity &amp; Event Log'!$V$5:$V$504,"Telemetry Blind Spot")&gt;=COUNTIFS('Activity &amp; Event Log'!$D$5:$D$504,Settings!$O$25,'Activity &amp; Event Log'!$V$5:$V$504,"Missed Alert"),IF(COUNTIFS('Activity &amp; Event Log'!$D$5:$D$504,Settings!$O$25,'Activity &amp; Event Log'!$V$5:$V$504,"Telemetry Blind Spot")&gt;=COUNTIFS('Activity &amp; Event Log'!$D$5:$D$504,Settings!$O$25,'Activity &amp; Event Log'!$V$5:$V$504,"Triage Delay"),"Blind Spot",IF(COUNTIFS('Activity &amp; Event Log'!$D$5:$D$504,Settings!$O$25,'Activity &amp; Event Log'!$V$5:$V$504,"Missed Alert")&gt;=COUNTIFS('Activity &amp; Event Log'!$D$5:$D$504,Settings!$O$25,'Activity &amp; Event Log'!$V$5:$V$504,"Triage Delay"),"Missed Alert","Triage Delay")),IF(COUNTIFS('Activity &amp; Event Log'!$D$5:$D$504,Settings!$O$25,'Activity &amp; Event Log'!$V$5:$V$504,"Missed Alert")&gt;=COUNTIFS('Activity &amp; Event Log'!$D$5:$D$504,Settings!$O$25,'Activity &amp; Event Log'!$V$5:$V$504,"Triage Delay"),"Missed Alert","Triage Delay"))))</f>
        <v/>
      </c>
      <c r="L97" s="10" t="str">
        <f aca="false">IF(OR(Settings!$O$25="",E97=0),"",IF((COUNTIFS('Activity &amp; Event Log'!$D$5:$D$504,Settings!$O$25,'Activity &amp; Event Log'!$V$5:$V$504,"Telemetry Blind Spot")+COUNTIFS('Activity &amp; Event Log'!$D$5:$D$504,Settings!$O$25,'Activity &amp; Event Log'!$V$5:$V$504,"Missed Alert")+COUNTIFS('Activity &amp; Event Log'!$D$5:$D$504,Settings!$O$25,'Activity &amp; Event Log'!$V$5:$V$504,"Detected - SLA Breach"))&gt;=Settings!$B$11,"High","Normal"))</f>
        <v/>
      </c>
    </row>
    <row r="98" customFormat="false" ht="15" hidden="false" customHeight="false" outlineLevel="0" collapsed="false">
      <c r="B98" s="10" t="str">
        <f aca="false">IF(Settings!$O$26="","",Settings!$Q$26)</f>
        <v/>
      </c>
      <c r="C98" s="10" t="str">
        <f aca="false">IF(Settings!$O$26="","",Settings!$O$26)</f>
        <v/>
      </c>
      <c r="D98" s="10" t="str">
        <f aca="false">IF(Settings!$O$26="","",Settings!$P$26)</f>
        <v/>
      </c>
      <c r="E98" s="11" t="str">
        <f aca="false">IF(Settings!$O$26="","",COUNTIFS('Activity &amp; Event Log'!$D$5:$D$504,Settings!$O$26,'Activity &amp; Event Log'!$G$5:$G$504,"?*"))</f>
        <v/>
      </c>
      <c r="F98" s="11" t="str">
        <f aca="false">IF(Settings!$O$26="","",SUMIFS('Activity &amp; Event Log'!$W$5:$W$504,'Activity &amp; Event Log'!$D$5:$D$504,Settings!$O$26))</f>
        <v/>
      </c>
      <c r="G98" s="12" t="str">
        <f aca="false">IF(OR(Settings!$O$26="",E98=0),"",F98/E98)</f>
        <v/>
      </c>
      <c r="H98" s="15" t="str">
        <f aca="false">IF(OR(Settings!$O$26="",F98=0),"",AVERAGEIFS('Activity &amp; Event Log'!$S$5:$S$504,'Activity &amp; Event Log'!$D$5:$D$504,Settings!$O$26))</f>
        <v/>
      </c>
      <c r="I98" s="15" t="str">
        <f aca="false">IF(OR(Settings!$O$26="",F98=0),"",_xlfn.MAXIFS('Activity &amp; Event Log'!$S$5:$S$504,'Activity &amp; Event Log'!$D$5:$D$504,Settings!$O$26))</f>
        <v/>
      </c>
      <c r="J98" s="12" t="str">
        <f aca="false">IF(OR(Settings!$O$26="",E98=0),"",COUNTIFS('Activity &amp; Event Log'!$D$5:$D$504,Settings!$O$26,'Activity &amp; Event Log'!$U$5:$U$504,"Yes")/E98)</f>
        <v/>
      </c>
      <c r="K98" s="10" t="str">
        <f aca="false">IF(OR(Settings!$O$26="",E98=0),"",IF(MAX(COUNTIFS('Activity &amp; Event Log'!$D$5:$D$504,Settings!$O$26,'Activity &amp; Event Log'!$V$5:$V$504,"Telemetry Blind Spot"),COUNTIFS('Activity &amp; Event Log'!$D$5:$D$504,Settings!$O$26,'Activity &amp; Event Log'!$V$5:$V$504,"Missed Alert"),COUNTIFS('Activity &amp; Event Log'!$D$5:$D$504,Settings!$O$26,'Activity &amp; Event Log'!$V$5:$V$504,"Triage Delay"))=0,"None",IF(COUNTIFS('Activity &amp; Event Log'!$D$5:$D$504,Settings!$O$26,'Activity &amp; Event Log'!$V$5:$V$504,"Telemetry Blind Spot")&gt;=COUNTIFS('Activity &amp; Event Log'!$D$5:$D$504,Settings!$O$26,'Activity &amp; Event Log'!$V$5:$V$504,"Missed Alert"),IF(COUNTIFS('Activity &amp; Event Log'!$D$5:$D$504,Settings!$O$26,'Activity &amp; Event Log'!$V$5:$V$504,"Telemetry Blind Spot")&gt;=COUNTIFS('Activity &amp; Event Log'!$D$5:$D$504,Settings!$O$26,'Activity &amp; Event Log'!$V$5:$V$504,"Triage Delay"),"Blind Spot",IF(COUNTIFS('Activity &amp; Event Log'!$D$5:$D$504,Settings!$O$26,'Activity &amp; Event Log'!$V$5:$V$504,"Missed Alert")&gt;=COUNTIFS('Activity &amp; Event Log'!$D$5:$D$504,Settings!$O$26,'Activity &amp; Event Log'!$V$5:$V$504,"Triage Delay"),"Missed Alert","Triage Delay")),IF(COUNTIFS('Activity &amp; Event Log'!$D$5:$D$504,Settings!$O$26,'Activity &amp; Event Log'!$V$5:$V$504,"Missed Alert")&gt;=COUNTIFS('Activity &amp; Event Log'!$D$5:$D$504,Settings!$O$26,'Activity &amp; Event Log'!$V$5:$V$504,"Triage Delay"),"Missed Alert","Triage Delay"))))</f>
        <v/>
      </c>
      <c r="L98" s="10" t="str">
        <f aca="false">IF(OR(Settings!$O$26="",E98=0),"",IF((COUNTIFS('Activity &amp; Event Log'!$D$5:$D$504,Settings!$O$26,'Activity &amp; Event Log'!$V$5:$V$504,"Telemetry Blind Spot")+COUNTIFS('Activity &amp; Event Log'!$D$5:$D$504,Settings!$O$26,'Activity &amp; Event Log'!$V$5:$V$504,"Missed Alert")+COUNTIFS('Activity &amp; Event Log'!$D$5:$D$504,Settings!$O$26,'Activity &amp; Event Log'!$V$5:$V$504,"Detected - SLA Breach"))&gt;=Settings!$B$11,"High","Normal"))</f>
        <v/>
      </c>
    </row>
    <row r="99" customFormat="false" ht="15" hidden="false" customHeight="false" outlineLevel="0" collapsed="false">
      <c r="B99" s="10" t="str">
        <f aca="false">IF(Settings!$O$27="","",Settings!$Q$27)</f>
        <v/>
      </c>
      <c r="C99" s="10" t="str">
        <f aca="false">IF(Settings!$O$27="","",Settings!$O$27)</f>
        <v/>
      </c>
      <c r="D99" s="10" t="str">
        <f aca="false">IF(Settings!$O$27="","",Settings!$P$27)</f>
        <v/>
      </c>
      <c r="E99" s="11" t="str">
        <f aca="false">IF(Settings!$O$27="","",COUNTIFS('Activity &amp; Event Log'!$D$5:$D$504,Settings!$O$27,'Activity &amp; Event Log'!$G$5:$G$504,"?*"))</f>
        <v/>
      </c>
      <c r="F99" s="11" t="str">
        <f aca="false">IF(Settings!$O$27="","",SUMIFS('Activity &amp; Event Log'!$W$5:$W$504,'Activity &amp; Event Log'!$D$5:$D$504,Settings!$O$27))</f>
        <v/>
      </c>
      <c r="G99" s="12" t="str">
        <f aca="false">IF(OR(Settings!$O$27="",E99=0),"",F99/E99)</f>
        <v/>
      </c>
      <c r="H99" s="15" t="str">
        <f aca="false">IF(OR(Settings!$O$27="",F99=0),"",AVERAGEIFS('Activity &amp; Event Log'!$S$5:$S$504,'Activity &amp; Event Log'!$D$5:$D$504,Settings!$O$27))</f>
        <v/>
      </c>
      <c r="I99" s="15" t="str">
        <f aca="false">IF(OR(Settings!$O$27="",F99=0),"",_xlfn.MAXIFS('Activity &amp; Event Log'!$S$5:$S$504,'Activity &amp; Event Log'!$D$5:$D$504,Settings!$O$27))</f>
        <v/>
      </c>
      <c r="J99" s="12" t="str">
        <f aca="false">IF(OR(Settings!$O$27="",E99=0),"",COUNTIFS('Activity &amp; Event Log'!$D$5:$D$504,Settings!$O$27,'Activity &amp; Event Log'!$U$5:$U$504,"Yes")/E99)</f>
        <v/>
      </c>
      <c r="K99" s="10" t="str">
        <f aca="false">IF(OR(Settings!$O$27="",E99=0),"",IF(MAX(COUNTIFS('Activity &amp; Event Log'!$D$5:$D$504,Settings!$O$27,'Activity &amp; Event Log'!$V$5:$V$504,"Telemetry Blind Spot"),COUNTIFS('Activity &amp; Event Log'!$D$5:$D$504,Settings!$O$27,'Activity &amp; Event Log'!$V$5:$V$504,"Missed Alert"),COUNTIFS('Activity &amp; Event Log'!$D$5:$D$504,Settings!$O$27,'Activity &amp; Event Log'!$V$5:$V$504,"Triage Delay"))=0,"None",IF(COUNTIFS('Activity &amp; Event Log'!$D$5:$D$504,Settings!$O$27,'Activity &amp; Event Log'!$V$5:$V$504,"Telemetry Blind Spot")&gt;=COUNTIFS('Activity &amp; Event Log'!$D$5:$D$504,Settings!$O$27,'Activity &amp; Event Log'!$V$5:$V$504,"Missed Alert"),IF(COUNTIFS('Activity &amp; Event Log'!$D$5:$D$504,Settings!$O$27,'Activity &amp; Event Log'!$V$5:$V$504,"Telemetry Blind Spot")&gt;=COUNTIFS('Activity &amp; Event Log'!$D$5:$D$504,Settings!$O$27,'Activity &amp; Event Log'!$V$5:$V$504,"Triage Delay"),"Blind Spot",IF(COUNTIFS('Activity &amp; Event Log'!$D$5:$D$504,Settings!$O$27,'Activity &amp; Event Log'!$V$5:$V$504,"Missed Alert")&gt;=COUNTIFS('Activity &amp; Event Log'!$D$5:$D$504,Settings!$O$27,'Activity &amp; Event Log'!$V$5:$V$504,"Triage Delay"),"Missed Alert","Triage Delay")),IF(COUNTIFS('Activity &amp; Event Log'!$D$5:$D$504,Settings!$O$27,'Activity &amp; Event Log'!$V$5:$V$504,"Missed Alert")&gt;=COUNTIFS('Activity &amp; Event Log'!$D$5:$D$504,Settings!$O$27,'Activity &amp; Event Log'!$V$5:$V$504,"Triage Delay"),"Missed Alert","Triage Delay"))))</f>
        <v/>
      </c>
      <c r="L99" s="10" t="str">
        <f aca="false">IF(OR(Settings!$O$27="",E99=0),"",IF((COUNTIFS('Activity &amp; Event Log'!$D$5:$D$504,Settings!$O$27,'Activity &amp; Event Log'!$V$5:$V$504,"Telemetry Blind Spot")+COUNTIFS('Activity &amp; Event Log'!$D$5:$D$504,Settings!$O$27,'Activity &amp; Event Log'!$V$5:$V$504,"Missed Alert")+COUNTIFS('Activity &amp; Event Log'!$D$5:$D$504,Settings!$O$27,'Activity &amp; Event Log'!$V$5:$V$504,"Detected - SLA Breach"))&gt;=Settings!$B$11,"High","Normal"))</f>
        <v/>
      </c>
    </row>
    <row r="100" customFormat="false" ht="15" hidden="false" customHeight="false" outlineLevel="0" collapsed="false">
      <c r="B100" s="10" t="str">
        <f aca="false">IF(Settings!$O$28="","",Settings!$Q$28)</f>
        <v/>
      </c>
      <c r="C100" s="10" t="str">
        <f aca="false">IF(Settings!$O$28="","",Settings!$O$28)</f>
        <v/>
      </c>
      <c r="D100" s="10" t="str">
        <f aca="false">IF(Settings!$O$28="","",Settings!$P$28)</f>
        <v/>
      </c>
      <c r="E100" s="11" t="str">
        <f aca="false">IF(Settings!$O$28="","",COUNTIFS('Activity &amp; Event Log'!$D$5:$D$504,Settings!$O$28,'Activity &amp; Event Log'!$G$5:$G$504,"?*"))</f>
        <v/>
      </c>
      <c r="F100" s="11" t="str">
        <f aca="false">IF(Settings!$O$28="","",SUMIFS('Activity &amp; Event Log'!$W$5:$W$504,'Activity &amp; Event Log'!$D$5:$D$504,Settings!$O$28))</f>
        <v/>
      </c>
      <c r="G100" s="12" t="str">
        <f aca="false">IF(OR(Settings!$O$28="",E100=0),"",F100/E100)</f>
        <v/>
      </c>
      <c r="H100" s="15" t="str">
        <f aca="false">IF(OR(Settings!$O$28="",F100=0),"",AVERAGEIFS('Activity &amp; Event Log'!$S$5:$S$504,'Activity &amp; Event Log'!$D$5:$D$504,Settings!$O$28))</f>
        <v/>
      </c>
      <c r="I100" s="15" t="str">
        <f aca="false">IF(OR(Settings!$O$28="",F100=0),"",_xlfn.MAXIFS('Activity &amp; Event Log'!$S$5:$S$504,'Activity &amp; Event Log'!$D$5:$D$504,Settings!$O$28))</f>
        <v/>
      </c>
      <c r="J100" s="12" t="str">
        <f aca="false">IF(OR(Settings!$O$28="",E100=0),"",COUNTIFS('Activity &amp; Event Log'!$D$5:$D$504,Settings!$O$28,'Activity &amp; Event Log'!$U$5:$U$504,"Yes")/E100)</f>
        <v/>
      </c>
      <c r="K100" s="10" t="str">
        <f aca="false">IF(OR(Settings!$O$28="",E100=0),"",IF(MAX(COUNTIFS('Activity &amp; Event Log'!$D$5:$D$504,Settings!$O$28,'Activity &amp; Event Log'!$V$5:$V$504,"Telemetry Blind Spot"),COUNTIFS('Activity &amp; Event Log'!$D$5:$D$504,Settings!$O$28,'Activity &amp; Event Log'!$V$5:$V$504,"Missed Alert"),COUNTIFS('Activity &amp; Event Log'!$D$5:$D$504,Settings!$O$28,'Activity &amp; Event Log'!$V$5:$V$504,"Triage Delay"))=0,"None",IF(COUNTIFS('Activity &amp; Event Log'!$D$5:$D$504,Settings!$O$28,'Activity &amp; Event Log'!$V$5:$V$504,"Telemetry Blind Spot")&gt;=COUNTIFS('Activity &amp; Event Log'!$D$5:$D$504,Settings!$O$28,'Activity &amp; Event Log'!$V$5:$V$504,"Missed Alert"),IF(COUNTIFS('Activity &amp; Event Log'!$D$5:$D$504,Settings!$O$28,'Activity &amp; Event Log'!$V$5:$V$504,"Telemetry Blind Spot")&gt;=COUNTIFS('Activity &amp; Event Log'!$D$5:$D$504,Settings!$O$28,'Activity &amp; Event Log'!$V$5:$V$504,"Triage Delay"),"Blind Spot",IF(COUNTIFS('Activity &amp; Event Log'!$D$5:$D$504,Settings!$O$28,'Activity &amp; Event Log'!$V$5:$V$504,"Missed Alert")&gt;=COUNTIFS('Activity &amp; Event Log'!$D$5:$D$504,Settings!$O$28,'Activity &amp; Event Log'!$V$5:$V$504,"Triage Delay"),"Missed Alert","Triage Delay")),IF(COUNTIFS('Activity &amp; Event Log'!$D$5:$D$504,Settings!$O$28,'Activity &amp; Event Log'!$V$5:$V$504,"Missed Alert")&gt;=COUNTIFS('Activity &amp; Event Log'!$D$5:$D$504,Settings!$O$28,'Activity &amp; Event Log'!$V$5:$V$504,"Triage Delay"),"Missed Alert","Triage Delay"))))</f>
        <v/>
      </c>
      <c r="L100" s="10" t="str">
        <f aca="false">IF(OR(Settings!$O$28="",E100=0),"",IF((COUNTIFS('Activity &amp; Event Log'!$D$5:$D$504,Settings!$O$28,'Activity &amp; Event Log'!$V$5:$V$504,"Telemetry Blind Spot")+COUNTIFS('Activity &amp; Event Log'!$D$5:$D$504,Settings!$O$28,'Activity &amp; Event Log'!$V$5:$V$504,"Missed Alert")+COUNTIFS('Activity &amp; Event Log'!$D$5:$D$504,Settings!$O$28,'Activity &amp; Event Log'!$V$5:$V$504,"Detected - SLA Breach"))&gt;=Settings!$B$11,"High","Normal"))</f>
        <v/>
      </c>
    </row>
    <row r="101" customFormat="false" ht="15" hidden="false" customHeight="false" outlineLevel="0" collapsed="false">
      <c r="B101" s="10" t="str">
        <f aca="false">IF(Settings!$O$29="","",Settings!$Q$29)</f>
        <v/>
      </c>
      <c r="C101" s="10" t="str">
        <f aca="false">IF(Settings!$O$29="","",Settings!$O$29)</f>
        <v/>
      </c>
      <c r="D101" s="10" t="str">
        <f aca="false">IF(Settings!$O$29="","",Settings!$P$29)</f>
        <v/>
      </c>
      <c r="E101" s="11" t="str">
        <f aca="false">IF(Settings!$O$29="","",COUNTIFS('Activity &amp; Event Log'!$D$5:$D$504,Settings!$O$29,'Activity &amp; Event Log'!$G$5:$G$504,"?*"))</f>
        <v/>
      </c>
      <c r="F101" s="11" t="str">
        <f aca="false">IF(Settings!$O$29="","",SUMIFS('Activity &amp; Event Log'!$W$5:$W$504,'Activity &amp; Event Log'!$D$5:$D$504,Settings!$O$29))</f>
        <v/>
      </c>
      <c r="G101" s="12" t="str">
        <f aca="false">IF(OR(Settings!$O$29="",E101=0),"",F101/E101)</f>
        <v/>
      </c>
      <c r="H101" s="15" t="str">
        <f aca="false">IF(OR(Settings!$O$29="",F101=0),"",AVERAGEIFS('Activity &amp; Event Log'!$S$5:$S$504,'Activity &amp; Event Log'!$D$5:$D$504,Settings!$O$29))</f>
        <v/>
      </c>
      <c r="I101" s="15" t="str">
        <f aca="false">IF(OR(Settings!$O$29="",F101=0),"",_xlfn.MAXIFS('Activity &amp; Event Log'!$S$5:$S$504,'Activity &amp; Event Log'!$D$5:$D$504,Settings!$O$29))</f>
        <v/>
      </c>
      <c r="J101" s="12" t="str">
        <f aca="false">IF(OR(Settings!$O$29="",E101=0),"",COUNTIFS('Activity &amp; Event Log'!$D$5:$D$504,Settings!$O$29,'Activity &amp; Event Log'!$U$5:$U$504,"Yes")/E101)</f>
        <v/>
      </c>
      <c r="K101" s="10" t="str">
        <f aca="false">IF(OR(Settings!$O$29="",E101=0),"",IF(MAX(COUNTIFS('Activity &amp; Event Log'!$D$5:$D$504,Settings!$O$29,'Activity &amp; Event Log'!$V$5:$V$504,"Telemetry Blind Spot"),COUNTIFS('Activity &amp; Event Log'!$D$5:$D$504,Settings!$O$29,'Activity &amp; Event Log'!$V$5:$V$504,"Missed Alert"),COUNTIFS('Activity &amp; Event Log'!$D$5:$D$504,Settings!$O$29,'Activity &amp; Event Log'!$V$5:$V$504,"Triage Delay"))=0,"None",IF(COUNTIFS('Activity &amp; Event Log'!$D$5:$D$504,Settings!$O$29,'Activity &amp; Event Log'!$V$5:$V$504,"Telemetry Blind Spot")&gt;=COUNTIFS('Activity &amp; Event Log'!$D$5:$D$504,Settings!$O$29,'Activity &amp; Event Log'!$V$5:$V$504,"Missed Alert"),IF(COUNTIFS('Activity &amp; Event Log'!$D$5:$D$504,Settings!$O$29,'Activity &amp; Event Log'!$V$5:$V$504,"Telemetry Blind Spot")&gt;=COUNTIFS('Activity &amp; Event Log'!$D$5:$D$504,Settings!$O$29,'Activity &amp; Event Log'!$V$5:$V$504,"Triage Delay"),"Blind Spot",IF(COUNTIFS('Activity &amp; Event Log'!$D$5:$D$504,Settings!$O$29,'Activity &amp; Event Log'!$V$5:$V$504,"Missed Alert")&gt;=COUNTIFS('Activity &amp; Event Log'!$D$5:$D$504,Settings!$O$29,'Activity &amp; Event Log'!$V$5:$V$504,"Triage Delay"),"Missed Alert","Triage Delay")),IF(COUNTIFS('Activity &amp; Event Log'!$D$5:$D$504,Settings!$O$29,'Activity &amp; Event Log'!$V$5:$V$504,"Missed Alert")&gt;=COUNTIFS('Activity &amp; Event Log'!$D$5:$D$504,Settings!$O$29,'Activity &amp; Event Log'!$V$5:$V$504,"Triage Delay"),"Missed Alert","Triage Delay"))))</f>
        <v/>
      </c>
      <c r="L101" s="10" t="str">
        <f aca="false">IF(OR(Settings!$O$29="",E101=0),"",IF((COUNTIFS('Activity &amp; Event Log'!$D$5:$D$504,Settings!$O$29,'Activity &amp; Event Log'!$V$5:$V$504,"Telemetry Blind Spot")+COUNTIFS('Activity &amp; Event Log'!$D$5:$D$504,Settings!$O$29,'Activity &amp; Event Log'!$V$5:$V$504,"Missed Alert")+COUNTIFS('Activity &amp; Event Log'!$D$5:$D$504,Settings!$O$29,'Activity &amp; Event Log'!$V$5:$V$504,"Detected - SLA Breach"))&gt;=Settings!$B$11,"High","Normal"))</f>
        <v/>
      </c>
    </row>
    <row r="102" customFormat="false" ht="15" hidden="false" customHeight="false" outlineLevel="0" collapsed="false">
      <c r="B102" s="10" t="str">
        <f aca="false">IF(Settings!$O$30="","",Settings!$Q$30)</f>
        <v/>
      </c>
      <c r="C102" s="10" t="str">
        <f aca="false">IF(Settings!$O$30="","",Settings!$O$30)</f>
        <v/>
      </c>
      <c r="D102" s="10" t="str">
        <f aca="false">IF(Settings!$O$30="","",Settings!$P$30)</f>
        <v/>
      </c>
      <c r="E102" s="11" t="str">
        <f aca="false">IF(Settings!$O$30="","",COUNTIFS('Activity &amp; Event Log'!$D$5:$D$504,Settings!$O$30,'Activity &amp; Event Log'!$G$5:$G$504,"?*"))</f>
        <v/>
      </c>
      <c r="F102" s="11" t="str">
        <f aca="false">IF(Settings!$O$30="","",SUMIFS('Activity &amp; Event Log'!$W$5:$W$504,'Activity &amp; Event Log'!$D$5:$D$504,Settings!$O$30))</f>
        <v/>
      </c>
      <c r="G102" s="12" t="str">
        <f aca="false">IF(OR(Settings!$O$30="",E102=0),"",F102/E102)</f>
        <v/>
      </c>
      <c r="H102" s="15" t="str">
        <f aca="false">IF(OR(Settings!$O$30="",F102=0),"",AVERAGEIFS('Activity &amp; Event Log'!$S$5:$S$504,'Activity &amp; Event Log'!$D$5:$D$504,Settings!$O$30))</f>
        <v/>
      </c>
      <c r="I102" s="15" t="str">
        <f aca="false">IF(OR(Settings!$O$30="",F102=0),"",_xlfn.MAXIFS('Activity &amp; Event Log'!$S$5:$S$504,'Activity &amp; Event Log'!$D$5:$D$504,Settings!$O$30))</f>
        <v/>
      </c>
      <c r="J102" s="12" t="str">
        <f aca="false">IF(OR(Settings!$O$30="",E102=0),"",COUNTIFS('Activity &amp; Event Log'!$D$5:$D$504,Settings!$O$30,'Activity &amp; Event Log'!$U$5:$U$504,"Yes")/E102)</f>
        <v/>
      </c>
      <c r="K102" s="10" t="str">
        <f aca="false">IF(OR(Settings!$O$30="",E102=0),"",IF(MAX(COUNTIFS('Activity &amp; Event Log'!$D$5:$D$504,Settings!$O$30,'Activity &amp; Event Log'!$V$5:$V$504,"Telemetry Blind Spot"),COUNTIFS('Activity &amp; Event Log'!$D$5:$D$504,Settings!$O$30,'Activity &amp; Event Log'!$V$5:$V$504,"Missed Alert"),COUNTIFS('Activity &amp; Event Log'!$D$5:$D$504,Settings!$O$30,'Activity &amp; Event Log'!$V$5:$V$504,"Triage Delay"))=0,"None",IF(COUNTIFS('Activity &amp; Event Log'!$D$5:$D$504,Settings!$O$30,'Activity &amp; Event Log'!$V$5:$V$504,"Telemetry Blind Spot")&gt;=COUNTIFS('Activity &amp; Event Log'!$D$5:$D$504,Settings!$O$30,'Activity &amp; Event Log'!$V$5:$V$504,"Missed Alert"),IF(COUNTIFS('Activity &amp; Event Log'!$D$5:$D$504,Settings!$O$30,'Activity &amp; Event Log'!$V$5:$V$504,"Telemetry Blind Spot")&gt;=COUNTIFS('Activity &amp; Event Log'!$D$5:$D$504,Settings!$O$30,'Activity &amp; Event Log'!$V$5:$V$504,"Triage Delay"),"Blind Spot",IF(COUNTIFS('Activity &amp; Event Log'!$D$5:$D$504,Settings!$O$30,'Activity &amp; Event Log'!$V$5:$V$504,"Missed Alert")&gt;=COUNTIFS('Activity &amp; Event Log'!$D$5:$D$504,Settings!$O$30,'Activity &amp; Event Log'!$V$5:$V$504,"Triage Delay"),"Missed Alert","Triage Delay")),IF(COUNTIFS('Activity &amp; Event Log'!$D$5:$D$504,Settings!$O$30,'Activity &amp; Event Log'!$V$5:$V$504,"Missed Alert")&gt;=COUNTIFS('Activity &amp; Event Log'!$D$5:$D$504,Settings!$O$30,'Activity &amp; Event Log'!$V$5:$V$504,"Triage Delay"),"Missed Alert","Triage Delay"))))</f>
        <v/>
      </c>
      <c r="L102" s="10" t="str">
        <f aca="false">IF(OR(Settings!$O$30="",E102=0),"",IF((COUNTIFS('Activity &amp; Event Log'!$D$5:$D$504,Settings!$O$30,'Activity &amp; Event Log'!$V$5:$V$504,"Telemetry Blind Spot")+COUNTIFS('Activity &amp; Event Log'!$D$5:$D$504,Settings!$O$30,'Activity &amp; Event Log'!$V$5:$V$504,"Missed Alert")+COUNTIFS('Activity &amp; Event Log'!$D$5:$D$504,Settings!$O$30,'Activity &amp; Event Log'!$V$5:$V$504,"Detected - SLA Breach"))&gt;=Settings!$B$11,"High","Normal"))</f>
        <v/>
      </c>
    </row>
    <row r="103" customFormat="false" ht="15" hidden="false" customHeight="false" outlineLevel="0" collapsed="false">
      <c r="B103" s="10" t="str">
        <f aca="false">IF(Settings!$O$31="","",Settings!$Q$31)</f>
        <v/>
      </c>
      <c r="C103" s="10" t="str">
        <f aca="false">IF(Settings!$O$31="","",Settings!$O$31)</f>
        <v/>
      </c>
      <c r="D103" s="10" t="str">
        <f aca="false">IF(Settings!$O$31="","",Settings!$P$31)</f>
        <v/>
      </c>
      <c r="E103" s="11" t="str">
        <f aca="false">IF(Settings!$O$31="","",COUNTIFS('Activity &amp; Event Log'!$D$5:$D$504,Settings!$O$31,'Activity &amp; Event Log'!$G$5:$G$504,"?*"))</f>
        <v/>
      </c>
      <c r="F103" s="11" t="str">
        <f aca="false">IF(Settings!$O$31="","",SUMIFS('Activity &amp; Event Log'!$W$5:$W$504,'Activity &amp; Event Log'!$D$5:$D$504,Settings!$O$31))</f>
        <v/>
      </c>
      <c r="G103" s="12" t="str">
        <f aca="false">IF(OR(Settings!$O$31="",E103=0),"",F103/E103)</f>
        <v/>
      </c>
      <c r="H103" s="15" t="str">
        <f aca="false">IF(OR(Settings!$O$31="",F103=0),"",AVERAGEIFS('Activity &amp; Event Log'!$S$5:$S$504,'Activity &amp; Event Log'!$D$5:$D$504,Settings!$O$31))</f>
        <v/>
      </c>
      <c r="I103" s="15" t="str">
        <f aca="false">IF(OR(Settings!$O$31="",F103=0),"",_xlfn.MAXIFS('Activity &amp; Event Log'!$S$5:$S$504,'Activity &amp; Event Log'!$D$5:$D$504,Settings!$O$31))</f>
        <v/>
      </c>
      <c r="J103" s="12" t="str">
        <f aca="false">IF(OR(Settings!$O$31="",E103=0),"",COUNTIFS('Activity &amp; Event Log'!$D$5:$D$504,Settings!$O$31,'Activity &amp; Event Log'!$U$5:$U$504,"Yes")/E103)</f>
        <v/>
      </c>
      <c r="K103" s="10" t="str">
        <f aca="false">IF(OR(Settings!$O$31="",E103=0),"",IF(MAX(COUNTIFS('Activity &amp; Event Log'!$D$5:$D$504,Settings!$O$31,'Activity &amp; Event Log'!$V$5:$V$504,"Telemetry Blind Spot"),COUNTIFS('Activity &amp; Event Log'!$D$5:$D$504,Settings!$O$31,'Activity &amp; Event Log'!$V$5:$V$504,"Missed Alert"),COUNTIFS('Activity &amp; Event Log'!$D$5:$D$504,Settings!$O$31,'Activity &amp; Event Log'!$V$5:$V$504,"Triage Delay"))=0,"None",IF(COUNTIFS('Activity &amp; Event Log'!$D$5:$D$504,Settings!$O$31,'Activity &amp; Event Log'!$V$5:$V$504,"Telemetry Blind Spot")&gt;=COUNTIFS('Activity &amp; Event Log'!$D$5:$D$504,Settings!$O$31,'Activity &amp; Event Log'!$V$5:$V$504,"Missed Alert"),IF(COUNTIFS('Activity &amp; Event Log'!$D$5:$D$504,Settings!$O$31,'Activity &amp; Event Log'!$V$5:$V$504,"Telemetry Blind Spot")&gt;=COUNTIFS('Activity &amp; Event Log'!$D$5:$D$504,Settings!$O$31,'Activity &amp; Event Log'!$V$5:$V$504,"Triage Delay"),"Blind Spot",IF(COUNTIFS('Activity &amp; Event Log'!$D$5:$D$504,Settings!$O$31,'Activity &amp; Event Log'!$V$5:$V$504,"Missed Alert")&gt;=COUNTIFS('Activity &amp; Event Log'!$D$5:$D$504,Settings!$O$31,'Activity &amp; Event Log'!$V$5:$V$504,"Triage Delay"),"Missed Alert","Triage Delay")),IF(COUNTIFS('Activity &amp; Event Log'!$D$5:$D$504,Settings!$O$31,'Activity &amp; Event Log'!$V$5:$V$504,"Missed Alert")&gt;=COUNTIFS('Activity &amp; Event Log'!$D$5:$D$504,Settings!$O$31,'Activity &amp; Event Log'!$V$5:$V$504,"Triage Delay"),"Missed Alert","Triage Delay"))))</f>
        <v/>
      </c>
      <c r="L103" s="10" t="str">
        <f aca="false">IF(OR(Settings!$O$31="",E103=0),"",IF((COUNTIFS('Activity &amp; Event Log'!$D$5:$D$504,Settings!$O$31,'Activity &amp; Event Log'!$V$5:$V$504,"Telemetry Blind Spot")+COUNTIFS('Activity &amp; Event Log'!$D$5:$D$504,Settings!$O$31,'Activity &amp; Event Log'!$V$5:$V$504,"Missed Alert")+COUNTIFS('Activity &amp; Event Log'!$D$5:$D$504,Settings!$O$31,'Activity &amp; Event Log'!$V$5:$V$504,"Detected - SLA Breach"))&gt;=Settings!$B$11,"High","Normal"))</f>
        <v/>
      </c>
    </row>
    <row r="104" customFormat="false" ht="15" hidden="false" customHeight="false" outlineLevel="0" collapsed="false">
      <c r="B104" s="10" t="str">
        <f aca="false">IF(Settings!$O$32="","",Settings!$Q$32)</f>
        <v/>
      </c>
      <c r="C104" s="10" t="str">
        <f aca="false">IF(Settings!$O$32="","",Settings!$O$32)</f>
        <v/>
      </c>
      <c r="D104" s="10" t="str">
        <f aca="false">IF(Settings!$O$32="","",Settings!$P$32)</f>
        <v/>
      </c>
      <c r="E104" s="11" t="str">
        <f aca="false">IF(Settings!$O$32="","",COUNTIFS('Activity &amp; Event Log'!$D$5:$D$504,Settings!$O$32,'Activity &amp; Event Log'!$G$5:$G$504,"?*"))</f>
        <v/>
      </c>
      <c r="F104" s="11" t="str">
        <f aca="false">IF(Settings!$O$32="","",SUMIFS('Activity &amp; Event Log'!$W$5:$W$504,'Activity &amp; Event Log'!$D$5:$D$504,Settings!$O$32))</f>
        <v/>
      </c>
      <c r="G104" s="12" t="str">
        <f aca="false">IF(OR(Settings!$O$32="",E104=0),"",F104/E104)</f>
        <v/>
      </c>
      <c r="H104" s="15" t="str">
        <f aca="false">IF(OR(Settings!$O$32="",F104=0),"",AVERAGEIFS('Activity &amp; Event Log'!$S$5:$S$504,'Activity &amp; Event Log'!$D$5:$D$504,Settings!$O$32))</f>
        <v/>
      </c>
      <c r="I104" s="15" t="str">
        <f aca="false">IF(OR(Settings!$O$32="",F104=0),"",_xlfn.MAXIFS('Activity &amp; Event Log'!$S$5:$S$504,'Activity &amp; Event Log'!$D$5:$D$504,Settings!$O$32))</f>
        <v/>
      </c>
      <c r="J104" s="12" t="str">
        <f aca="false">IF(OR(Settings!$O$32="",E104=0),"",COUNTIFS('Activity &amp; Event Log'!$D$5:$D$504,Settings!$O$32,'Activity &amp; Event Log'!$U$5:$U$504,"Yes")/E104)</f>
        <v/>
      </c>
      <c r="K104" s="10" t="str">
        <f aca="false">IF(OR(Settings!$O$32="",E104=0),"",IF(MAX(COUNTIFS('Activity &amp; Event Log'!$D$5:$D$504,Settings!$O$32,'Activity &amp; Event Log'!$V$5:$V$504,"Telemetry Blind Spot"),COUNTIFS('Activity &amp; Event Log'!$D$5:$D$504,Settings!$O$32,'Activity &amp; Event Log'!$V$5:$V$504,"Missed Alert"),COUNTIFS('Activity &amp; Event Log'!$D$5:$D$504,Settings!$O$32,'Activity &amp; Event Log'!$V$5:$V$504,"Triage Delay"))=0,"None",IF(COUNTIFS('Activity &amp; Event Log'!$D$5:$D$504,Settings!$O$32,'Activity &amp; Event Log'!$V$5:$V$504,"Telemetry Blind Spot")&gt;=COUNTIFS('Activity &amp; Event Log'!$D$5:$D$504,Settings!$O$32,'Activity &amp; Event Log'!$V$5:$V$504,"Missed Alert"),IF(COUNTIFS('Activity &amp; Event Log'!$D$5:$D$504,Settings!$O$32,'Activity &amp; Event Log'!$V$5:$V$504,"Telemetry Blind Spot")&gt;=COUNTIFS('Activity &amp; Event Log'!$D$5:$D$504,Settings!$O$32,'Activity &amp; Event Log'!$V$5:$V$504,"Triage Delay"),"Blind Spot",IF(COUNTIFS('Activity &amp; Event Log'!$D$5:$D$504,Settings!$O$32,'Activity &amp; Event Log'!$V$5:$V$504,"Missed Alert")&gt;=COUNTIFS('Activity &amp; Event Log'!$D$5:$D$504,Settings!$O$32,'Activity &amp; Event Log'!$V$5:$V$504,"Triage Delay"),"Missed Alert","Triage Delay")),IF(COUNTIFS('Activity &amp; Event Log'!$D$5:$D$504,Settings!$O$32,'Activity &amp; Event Log'!$V$5:$V$504,"Missed Alert")&gt;=COUNTIFS('Activity &amp; Event Log'!$D$5:$D$504,Settings!$O$32,'Activity &amp; Event Log'!$V$5:$V$504,"Triage Delay"),"Missed Alert","Triage Delay"))))</f>
        <v/>
      </c>
      <c r="L104" s="10" t="str">
        <f aca="false">IF(OR(Settings!$O$32="",E104=0),"",IF((COUNTIFS('Activity &amp; Event Log'!$D$5:$D$504,Settings!$O$32,'Activity &amp; Event Log'!$V$5:$V$504,"Telemetry Blind Spot")+COUNTIFS('Activity &amp; Event Log'!$D$5:$D$504,Settings!$O$32,'Activity &amp; Event Log'!$V$5:$V$504,"Missed Alert")+COUNTIFS('Activity &amp; Event Log'!$D$5:$D$504,Settings!$O$32,'Activity &amp; Event Log'!$V$5:$V$504,"Detected - SLA Breach"))&gt;=Settings!$B$11,"High","Normal"))</f>
        <v/>
      </c>
    </row>
    <row r="105" customFormat="false" ht="15" hidden="false" customHeight="false" outlineLevel="0" collapsed="false">
      <c r="B105" s="10" t="str">
        <f aca="false">IF(Settings!$O$33="","",Settings!$Q$33)</f>
        <v/>
      </c>
      <c r="C105" s="10" t="str">
        <f aca="false">IF(Settings!$O$33="","",Settings!$O$33)</f>
        <v/>
      </c>
      <c r="D105" s="10" t="str">
        <f aca="false">IF(Settings!$O$33="","",Settings!$P$33)</f>
        <v/>
      </c>
      <c r="E105" s="11" t="str">
        <f aca="false">IF(Settings!$O$33="","",COUNTIFS('Activity &amp; Event Log'!$D$5:$D$504,Settings!$O$33,'Activity &amp; Event Log'!$G$5:$G$504,"?*"))</f>
        <v/>
      </c>
      <c r="F105" s="11" t="str">
        <f aca="false">IF(Settings!$O$33="","",SUMIFS('Activity &amp; Event Log'!$W$5:$W$504,'Activity &amp; Event Log'!$D$5:$D$504,Settings!$O$33))</f>
        <v/>
      </c>
      <c r="G105" s="12" t="str">
        <f aca="false">IF(OR(Settings!$O$33="",E105=0),"",F105/E105)</f>
        <v/>
      </c>
      <c r="H105" s="15" t="str">
        <f aca="false">IF(OR(Settings!$O$33="",F105=0),"",AVERAGEIFS('Activity &amp; Event Log'!$S$5:$S$504,'Activity &amp; Event Log'!$D$5:$D$504,Settings!$O$33))</f>
        <v/>
      </c>
      <c r="I105" s="15" t="str">
        <f aca="false">IF(OR(Settings!$O$33="",F105=0),"",_xlfn.MAXIFS('Activity &amp; Event Log'!$S$5:$S$504,'Activity &amp; Event Log'!$D$5:$D$504,Settings!$O$33))</f>
        <v/>
      </c>
      <c r="J105" s="12" t="str">
        <f aca="false">IF(OR(Settings!$O$33="",E105=0),"",COUNTIFS('Activity &amp; Event Log'!$D$5:$D$504,Settings!$O$33,'Activity &amp; Event Log'!$U$5:$U$504,"Yes")/E105)</f>
        <v/>
      </c>
      <c r="K105" s="10" t="str">
        <f aca="false">IF(OR(Settings!$O$33="",E105=0),"",IF(MAX(COUNTIFS('Activity &amp; Event Log'!$D$5:$D$504,Settings!$O$33,'Activity &amp; Event Log'!$V$5:$V$504,"Telemetry Blind Spot"),COUNTIFS('Activity &amp; Event Log'!$D$5:$D$504,Settings!$O$33,'Activity &amp; Event Log'!$V$5:$V$504,"Missed Alert"),COUNTIFS('Activity &amp; Event Log'!$D$5:$D$504,Settings!$O$33,'Activity &amp; Event Log'!$V$5:$V$504,"Triage Delay"))=0,"None",IF(COUNTIFS('Activity &amp; Event Log'!$D$5:$D$504,Settings!$O$33,'Activity &amp; Event Log'!$V$5:$V$504,"Telemetry Blind Spot")&gt;=COUNTIFS('Activity &amp; Event Log'!$D$5:$D$504,Settings!$O$33,'Activity &amp; Event Log'!$V$5:$V$504,"Missed Alert"),IF(COUNTIFS('Activity &amp; Event Log'!$D$5:$D$504,Settings!$O$33,'Activity &amp; Event Log'!$V$5:$V$504,"Telemetry Blind Spot")&gt;=COUNTIFS('Activity &amp; Event Log'!$D$5:$D$504,Settings!$O$33,'Activity &amp; Event Log'!$V$5:$V$504,"Triage Delay"),"Blind Spot",IF(COUNTIFS('Activity &amp; Event Log'!$D$5:$D$504,Settings!$O$33,'Activity &amp; Event Log'!$V$5:$V$504,"Missed Alert")&gt;=COUNTIFS('Activity &amp; Event Log'!$D$5:$D$504,Settings!$O$33,'Activity &amp; Event Log'!$V$5:$V$504,"Triage Delay"),"Missed Alert","Triage Delay")),IF(COUNTIFS('Activity &amp; Event Log'!$D$5:$D$504,Settings!$O$33,'Activity &amp; Event Log'!$V$5:$V$504,"Missed Alert")&gt;=COUNTIFS('Activity &amp; Event Log'!$D$5:$D$504,Settings!$O$33,'Activity &amp; Event Log'!$V$5:$V$504,"Triage Delay"),"Missed Alert","Triage Delay"))))</f>
        <v/>
      </c>
      <c r="L105" s="10" t="str">
        <f aca="false">IF(OR(Settings!$O$33="",E105=0),"",IF((COUNTIFS('Activity &amp; Event Log'!$D$5:$D$504,Settings!$O$33,'Activity &amp; Event Log'!$V$5:$V$504,"Telemetry Blind Spot")+COUNTIFS('Activity &amp; Event Log'!$D$5:$D$504,Settings!$O$33,'Activity &amp; Event Log'!$V$5:$V$504,"Missed Alert")+COUNTIFS('Activity &amp; Event Log'!$D$5:$D$504,Settings!$O$33,'Activity &amp; Event Log'!$V$5:$V$504,"Detected - SLA Breach"))&gt;=Settings!$B$11,"High","Normal"))</f>
        <v/>
      </c>
    </row>
    <row r="106" customFormat="false" ht="15" hidden="false" customHeight="false" outlineLevel="0" collapsed="false">
      <c r="B106" s="10" t="str">
        <f aca="false">IF(Settings!$O$34="","",Settings!$Q$34)</f>
        <v/>
      </c>
      <c r="C106" s="10" t="str">
        <f aca="false">IF(Settings!$O$34="","",Settings!$O$34)</f>
        <v/>
      </c>
      <c r="D106" s="10" t="str">
        <f aca="false">IF(Settings!$O$34="","",Settings!$P$34)</f>
        <v/>
      </c>
      <c r="E106" s="11" t="str">
        <f aca="false">IF(Settings!$O$34="","",COUNTIFS('Activity &amp; Event Log'!$D$5:$D$504,Settings!$O$34,'Activity &amp; Event Log'!$G$5:$G$504,"?*"))</f>
        <v/>
      </c>
      <c r="F106" s="11" t="str">
        <f aca="false">IF(Settings!$O$34="","",SUMIFS('Activity &amp; Event Log'!$W$5:$W$504,'Activity &amp; Event Log'!$D$5:$D$504,Settings!$O$34))</f>
        <v/>
      </c>
      <c r="G106" s="12" t="str">
        <f aca="false">IF(OR(Settings!$O$34="",E106=0),"",F106/E106)</f>
        <v/>
      </c>
      <c r="H106" s="15" t="str">
        <f aca="false">IF(OR(Settings!$O$34="",F106=0),"",AVERAGEIFS('Activity &amp; Event Log'!$S$5:$S$504,'Activity &amp; Event Log'!$D$5:$D$504,Settings!$O$34))</f>
        <v/>
      </c>
      <c r="I106" s="15" t="str">
        <f aca="false">IF(OR(Settings!$O$34="",F106=0),"",_xlfn.MAXIFS('Activity &amp; Event Log'!$S$5:$S$504,'Activity &amp; Event Log'!$D$5:$D$504,Settings!$O$34))</f>
        <v/>
      </c>
      <c r="J106" s="12" t="str">
        <f aca="false">IF(OR(Settings!$O$34="",E106=0),"",COUNTIFS('Activity &amp; Event Log'!$D$5:$D$504,Settings!$O$34,'Activity &amp; Event Log'!$U$5:$U$504,"Yes")/E106)</f>
        <v/>
      </c>
      <c r="K106" s="10" t="str">
        <f aca="false">IF(OR(Settings!$O$34="",E106=0),"",IF(MAX(COUNTIFS('Activity &amp; Event Log'!$D$5:$D$504,Settings!$O$34,'Activity &amp; Event Log'!$V$5:$V$504,"Telemetry Blind Spot"),COUNTIFS('Activity &amp; Event Log'!$D$5:$D$504,Settings!$O$34,'Activity &amp; Event Log'!$V$5:$V$504,"Missed Alert"),COUNTIFS('Activity &amp; Event Log'!$D$5:$D$504,Settings!$O$34,'Activity &amp; Event Log'!$V$5:$V$504,"Triage Delay"))=0,"None",IF(COUNTIFS('Activity &amp; Event Log'!$D$5:$D$504,Settings!$O$34,'Activity &amp; Event Log'!$V$5:$V$504,"Telemetry Blind Spot")&gt;=COUNTIFS('Activity &amp; Event Log'!$D$5:$D$504,Settings!$O$34,'Activity &amp; Event Log'!$V$5:$V$504,"Missed Alert"),IF(COUNTIFS('Activity &amp; Event Log'!$D$5:$D$504,Settings!$O$34,'Activity &amp; Event Log'!$V$5:$V$504,"Telemetry Blind Spot")&gt;=COUNTIFS('Activity &amp; Event Log'!$D$5:$D$504,Settings!$O$34,'Activity &amp; Event Log'!$V$5:$V$504,"Triage Delay"),"Blind Spot",IF(COUNTIFS('Activity &amp; Event Log'!$D$5:$D$504,Settings!$O$34,'Activity &amp; Event Log'!$V$5:$V$504,"Missed Alert")&gt;=COUNTIFS('Activity &amp; Event Log'!$D$5:$D$504,Settings!$O$34,'Activity &amp; Event Log'!$V$5:$V$504,"Triage Delay"),"Missed Alert","Triage Delay")),IF(COUNTIFS('Activity &amp; Event Log'!$D$5:$D$504,Settings!$O$34,'Activity &amp; Event Log'!$V$5:$V$504,"Missed Alert")&gt;=COUNTIFS('Activity &amp; Event Log'!$D$5:$D$504,Settings!$O$34,'Activity &amp; Event Log'!$V$5:$V$504,"Triage Delay"),"Missed Alert","Triage Delay"))))</f>
        <v/>
      </c>
      <c r="L106" s="10" t="str">
        <f aca="false">IF(OR(Settings!$O$34="",E106=0),"",IF((COUNTIFS('Activity &amp; Event Log'!$D$5:$D$504,Settings!$O$34,'Activity &amp; Event Log'!$V$5:$V$504,"Telemetry Blind Spot")+COUNTIFS('Activity &amp; Event Log'!$D$5:$D$504,Settings!$O$34,'Activity &amp; Event Log'!$V$5:$V$504,"Missed Alert")+COUNTIFS('Activity &amp; Event Log'!$D$5:$D$504,Settings!$O$34,'Activity &amp; Event Log'!$V$5:$V$504,"Detected - SLA Breach"))&gt;=Settings!$B$11,"High","Normal"))</f>
        <v/>
      </c>
    </row>
    <row r="107" customFormat="false" ht="15" hidden="false" customHeight="false" outlineLevel="0" collapsed="false">
      <c r="B107" s="10" t="str">
        <f aca="false">IF(Settings!$O$35="","",Settings!$Q$35)</f>
        <v/>
      </c>
      <c r="C107" s="10" t="str">
        <f aca="false">IF(Settings!$O$35="","",Settings!$O$35)</f>
        <v/>
      </c>
      <c r="D107" s="10" t="str">
        <f aca="false">IF(Settings!$O$35="","",Settings!$P$35)</f>
        <v/>
      </c>
      <c r="E107" s="11" t="str">
        <f aca="false">IF(Settings!$O$35="","",COUNTIFS('Activity &amp; Event Log'!$D$5:$D$504,Settings!$O$35,'Activity &amp; Event Log'!$G$5:$G$504,"?*"))</f>
        <v/>
      </c>
      <c r="F107" s="11" t="str">
        <f aca="false">IF(Settings!$O$35="","",SUMIFS('Activity &amp; Event Log'!$W$5:$W$504,'Activity &amp; Event Log'!$D$5:$D$504,Settings!$O$35))</f>
        <v/>
      </c>
      <c r="G107" s="12" t="str">
        <f aca="false">IF(OR(Settings!$O$35="",E107=0),"",F107/E107)</f>
        <v/>
      </c>
      <c r="H107" s="15" t="str">
        <f aca="false">IF(OR(Settings!$O$35="",F107=0),"",AVERAGEIFS('Activity &amp; Event Log'!$S$5:$S$504,'Activity &amp; Event Log'!$D$5:$D$504,Settings!$O$35))</f>
        <v/>
      </c>
      <c r="I107" s="15" t="str">
        <f aca="false">IF(OR(Settings!$O$35="",F107=0),"",_xlfn.MAXIFS('Activity &amp; Event Log'!$S$5:$S$504,'Activity &amp; Event Log'!$D$5:$D$504,Settings!$O$35))</f>
        <v/>
      </c>
      <c r="J107" s="12" t="str">
        <f aca="false">IF(OR(Settings!$O$35="",E107=0),"",COUNTIFS('Activity &amp; Event Log'!$D$5:$D$504,Settings!$O$35,'Activity &amp; Event Log'!$U$5:$U$504,"Yes")/E107)</f>
        <v/>
      </c>
      <c r="K107" s="10" t="str">
        <f aca="false">IF(OR(Settings!$O$35="",E107=0),"",IF(MAX(COUNTIFS('Activity &amp; Event Log'!$D$5:$D$504,Settings!$O$35,'Activity &amp; Event Log'!$V$5:$V$504,"Telemetry Blind Spot"),COUNTIFS('Activity &amp; Event Log'!$D$5:$D$504,Settings!$O$35,'Activity &amp; Event Log'!$V$5:$V$504,"Missed Alert"),COUNTIFS('Activity &amp; Event Log'!$D$5:$D$504,Settings!$O$35,'Activity &amp; Event Log'!$V$5:$V$504,"Triage Delay"))=0,"None",IF(COUNTIFS('Activity &amp; Event Log'!$D$5:$D$504,Settings!$O$35,'Activity &amp; Event Log'!$V$5:$V$504,"Telemetry Blind Spot")&gt;=COUNTIFS('Activity &amp; Event Log'!$D$5:$D$504,Settings!$O$35,'Activity &amp; Event Log'!$V$5:$V$504,"Missed Alert"),IF(COUNTIFS('Activity &amp; Event Log'!$D$5:$D$504,Settings!$O$35,'Activity &amp; Event Log'!$V$5:$V$504,"Telemetry Blind Spot")&gt;=COUNTIFS('Activity &amp; Event Log'!$D$5:$D$504,Settings!$O$35,'Activity &amp; Event Log'!$V$5:$V$504,"Triage Delay"),"Blind Spot",IF(COUNTIFS('Activity &amp; Event Log'!$D$5:$D$504,Settings!$O$35,'Activity &amp; Event Log'!$V$5:$V$504,"Missed Alert")&gt;=COUNTIFS('Activity &amp; Event Log'!$D$5:$D$504,Settings!$O$35,'Activity &amp; Event Log'!$V$5:$V$504,"Triage Delay"),"Missed Alert","Triage Delay")),IF(COUNTIFS('Activity &amp; Event Log'!$D$5:$D$504,Settings!$O$35,'Activity &amp; Event Log'!$V$5:$V$504,"Missed Alert")&gt;=COUNTIFS('Activity &amp; Event Log'!$D$5:$D$504,Settings!$O$35,'Activity &amp; Event Log'!$V$5:$V$504,"Triage Delay"),"Missed Alert","Triage Delay"))))</f>
        <v/>
      </c>
      <c r="L107" s="10" t="str">
        <f aca="false">IF(OR(Settings!$O$35="",E107=0),"",IF((COUNTIFS('Activity &amp; Event Log'!$D$5:$D$504,Settings!$O$35,'Activity &amp; Event Log'!$V$5:$V$504,"Telemetry Blind Spot")+COUNTIFS('Activity &amp; Event Log'!$D$5:$D$504,Settings!$O$35,'Activity &amp; Event Log'!$V$5:$V$504,"Missed Alert")+COUNTIFS('Activity &amp; Event Log'!$D$5:$D$504,Settings!$O$35,'Activity &amp; Event Log'!$V$5:$V$504,"Detected - SLA Breach"))&gt;=Settings!$B$11,"High","Normal"))</f>
        <v/>
      </c>
    </row>
    <row r="108" customFormat="false" ht="15" hidden="false" customHeight="false" outlineLevel="0" collapsed="false">
      <c r="B108" s="10" t="str">
        <f aca="false">IF(Settings!$O$36="","",Settings!$Q$36)</f>
        <v/>
      </c>
      <c r="C108" s="10" t="str">
        <f aca="false">IF(Settings!$O$36="","",Settings!$O$36)</f>
        <v/>
      </c>
      <c r="D108" s="10" t="str">
        <f aca="false">IF(Settings!$O$36="","",Settings!$P$36)</f>
        <v/>
      </c>
      <c r="E108" s="11" t="str">
        <f aca="false">IF(Settings!$O$36="","",COUNTIFS('Activity &amp; Event Log'!$D$5:$D$504,Settings!$O$36,'Activity &amp; Event Log'!$G$5:$G$504,"?*"))</f>
        <v/>
      </c>
      <c r="F108" s="11" t="str">
        <f aca="false">IF(Settings!$O$36="","",SUMIFS('Activity &amp; Event Log'!$W$5:$W$504,'Activity &amp; Event Log'!$D$5:$D$504,Settings!$O$36))</f>
        <v/>
      </c>
      <c r="G108" s="12" t="str">
        <f aca="false">IF(OR(Settings!$O$36="",E108=0),"",F108/E108)</f>
        <v/>
      </c>
      <c r="H108" s="15" t="str">
        <f aca="false">IF(OR(Settings!$O$36="",F108=0),"",AVERAGEIFS('Activity &amp; Event Log'!$S$5:$S$504,'Activity &amp; Event Log'!$D$5:$D$504,Settings!$O$36))</f>
        <v/>
      </c>
      <c r="I108" s="15" t="str">
        <f aca="false">IF(OR(Settings!$O$36="",F108=0),"",_xlfn.MAXIFS('Activity &amp; Event Log'!$S$5:$S$504,'Activity &amp; Event Log'!$D$5:$D$504,Settings!$O$36))</f>
        <v/>
      </c>
      <c r="J108" s="12" t="str">
        <f aca="false">IF(OR(Settings!$O$36="",E108=0),"",COUNTIFS('Activity &amp; Event Log'!$D$5:$D$504,Settings!$O$36,'Activity &amp; Event Log'!$U$5:$U$504,"Yes")/E108)</f>
        <v/>
      </c>
      <c r="K108" s="10" t="str">
        <f aca="false">IF(OR(Settings!$O$36="",E108=0),"",IF(MAX(COUNTIFS('Activity &amp; Event Log'!$D$5:$D$504,Settings!$O$36,'Activity &amp; Event Log'!$V$5:$V$504,"Telemetry Blind Spot"),COUNTIFS('Activity &amp; Event Log'!$D$5:$D$504,Settings!$O$36,'Activity &amp; Event Log'!$V$5:$V$504,"Missed Alert"),COUNTIFS('Activity &amp; Event Log'!$D$5:$D$504,Settings!$O$36,'Activity &amp; Event Log'!$V$5:$V$504,"Triage Delay"))=0,"None",IF(COUNTIFS('Activity &amp; Event Log'!$D$5:$D$504,Settings!$O$36,'Activity &amp; Event Log'!$V$5:$V$504,"Telemetry Blind Spot")&gt;=COUNTIFS('Activity &amp; Event Log'!$D$5:$D$504,Settings!$O$36,'Activity &amp; Event Log'!$V$5:$V$504,"Missed Alert"),IF(COUNTIFS('Activity &amp; Event Log'!$D$5:$D$504,Settings!$O$36,'Activity &amp; Event Log'!$V$5:$V$504,"Telemetry Blind Spot")&gt;=COUNTIFS('Activity &amp; Event Log'!$D$5:$D$504,Settings!$O$36,'Activity &amp; Event Log'!$V$5:$V$504,"Triage Delay"),"Blind Spot",IF(COUNTIFS('Activity &amp; Event Log'!$D$5:$D$504,Settings!$O$36,'Activity &amp; Event Log'!$V$5:$V$504,"Missed Alert")&gt;=COUNTIFS('Activity &amp; Event Log'!$D$5:$D$504,Settings!$O$36,'Activity &amp; Event Log'!$V$5:$V$504,"Triage Delay"),"Missed Alert","Triage Delay")),IF(COUNTIFS('Activity &amp; Event Log'!$D$5:$D$504,Settings!$O$36,'Activity &amp; Event Log'!$V$5:$V$504,"Missed Alert")&gt;=COUNTIFS('Activity &amp; Event Log'!$D$5:$D$504,Settings!$O$36,'Activity &amp; Event Log'!$V$5:$V$504,"Triage Delay"),"Missed Alert","Triage Delay"))))</f>
        <v/>
      </c>
      <c r="L108" s="10" t="str">
        <f aca="false">IF(OR(Settings!$O$36="",E108=0),"",IF((COUNTIFS('Activity &amp; Event Log'!$D$5:$D$504,Settings!$O$36,'Activity &amp; Event Log'!$V$5:$V$504,"Telemetry Blind Spot")+COUNTIFS('Activity &amp; Event Log'!$D$5:$D$504,Settings!$O$36,'Activity &amp; Event Log'!$V$5:$V$504,"Missed Alert")+COUNTIFS('Activity &amp; Event Log'!$D$5:$D$504,Settings!$O$36,'Activity &amp; Event Log'!$V$5:$V$504,"Detected - SLA Breach"))&gt;=Settings!$B$11,"High","Normal"))</f>
        <v/>
      </c>
    </row>
    <row r="109" customFormat="false" ht="15" hidden="false" customHeight="false" outlineLevel="0" collapsed="false">
      <c r="B109" s="10" t="str">
        <f aca="false">IF(Settings!$O$37="","",Settings!$Q$37)</f>
        <v/>
      </c>
      <c r="C109" s="10" t="str">
        <f aca="false">IF(Settings!$O$37="","",Settings!$O$37)</f>
        <v/>
      </c>
      <c r="D109" s="10" t="str">
        <f aca="false">IF(Settings!$O$37="","",Settings!$P$37)</f>
        <v/>
      </c>
      <c r="E109" s="11" t="str">
        <f aca="false">IF(Settings!$O$37="","",COUNTIFS('Activity &amp; Event Log'!$D$5:$D$504,Settings!$O$37,'Activity &amp; Event Log'!$G$5:$G$504,"?*"))</f>
        <v/>
      </c>
      <c r="F109" s="11" t="str">
        <f aca="false">IF(Settings!$O$37="","",SUMIFS('Activity &amp; Event Log'!$W$5:$W$504,'Activity &amp; Event Log'!$D$5:$D$504,Settings!$O$37))</f>
        <v/>
      </c>
      <c r="G109" s="12" t="str">
        <f aca="false">IF(OR(Settings!$O$37="",E109=0),"",F109/E109)</f>
        <v/>
      </c>
      <c r="H109" s="15" t="str">
        <f aca="false">IF(OR(Settings!$O$37="",F109=0),"",AVERAGEIFS('Activity &amp; Event Log'!$S$5:$S$504,'Activity &amp; Event Log'!$D$5:$D$504,Settings!$O$37))</f>
        <v/>
      </c>
      <c r="I109" s="15" t="str">
        <f aca="false">IF(OR(Settings!$O$37="",F109=0),"",_xlfn.MAXIFS('Activity &amp; Event Log'!$S$5:$S$504,'Activity &amp; Event Log'!$D$5:$D$504,Settings!$O$37))</f>
        <v/>
      </c>
      <c r="J109" s="12" t="str">
        <f aca="false">IF(OR(Settings!$O$37="",E109=0),"",COUNTIFS('Activity &amp; Event Log'!$D$5:$D$504,Settings!$O$37,'Activity &amp; Event Log'!$U$5:$U$504,"Yes")/E109)</f>
        <v/>
      </c>
      <c r="K109" s="10" t="str">
        <f aca="false">IF(OR(Settings!$O$37="",E109=0),"",IF(MAX(COUNTIFS('Activity &amp; Event Log'!$D$5:$D$504,Settings!$O$37,'Activity &amp; Event Log'!$V$5:$V$504,"Telemetry Blind Spot"),COUNTIFS('Activity &amp; Event Log'!$D$5:$D$504,Settings!$O$37,'Activity &amp; Event Log'!$V$5:$V$504,"Missed Alert"),COUNTIFS('Activity &amp; Event Log'!$D$5:$D$504,Settings!$O$37,'Activity &amp; Event Log'!$V$5:$V$504,"Triage Delay"))=0,"None",IF(COUNTIFS('Activity &amp; Event Log'!$D$5:$D$504,Settings!$O$37,'Activity &amp; Event Log'!$V$5:$V$504,"Telemetry Blind Spot")&gt;=COUNTIFS('Activity &amp; Event Log'!$D$5:$D$504,Settings!$O$37,'Activity &amp; Event Log'!$V$5:$V$504,"Missed Alert"),IF(COUNTIFS('Activity &amp; Event Log'!$D$5:$D$504,Settings!$O$37,'Activity &amp; Event Log'!$V$5:$V$504,"Telemetry Blind Spot")&gt;=COUNTIFS('Activity &amp; Event Log'!$D$5:$D$504,Settings!$O$37,'Activity &amp; Event Log'!$V$5:$V$504,"Triage Delay"),"Blind Spot",IF(COUNTIFS('Activity &amp; Event Log'!$D$5:$D$504,Settings!$O$37,'Activity &amp; Event Log'!$V$5:$V$504,"Missed Alert")&gt;=COUNTIFS('Activity &amp; Event Log'!$D$5:$D$504,Settings!$O$37,'Activity &amp; Event Log'!$V$5:$V$504,"Triage Delay"),"Missed Alert","Triage Delay")),IF(COUNTIFS('Activity &amp; Event Log'!$D$5:$D$504,Settings!$O$37,'Activity &amp; Event Log'!$V$5:$V$504,"Missed Alert")&gt;=COUNTIFS('Activity &amp; Event Log'!$D$5:$D$504,Settings!$O$37,'Activity &amp; Event Log'!$V$5:$V$504,"Triage Delay"),"Missed Alert","Triage Delay"))))</f>
        <v/>
      </c>
      <c r="L109" s="10" t="str">
        <f aca="false">IF(OR(Settings!$O$37="",E109=0),"",IF((COUNTIFS('Activity &amp; Event Log'!$D$5:$D$504,Settings!$O$37,'Activity &amp; Event Log'!$V$5:$V$504,"Telemetry Blind Spot")+COUNTIFS('Activity &amp; Event Log'!$D$5:$D$504,Settings!$O$37,'Activity &amp; Event Log'!$V$5:$V$504,"Missed Alert")+COUNTIFS('Activity &amp; Event Log'!$D$5:$D$504,Settings!$O$37,'Activity &amp; Event Log'!$V$5:$V$504,"Detected - SLA Breach"))&gt;=Settings!$B$11,"High","Normal"))</f>
        <v/>
      </c>
    </row>
    <row r="110" customFormat="false" ht="15" hidden="false" customHeight="false" outlineLevel="0" collapsed="false">
      <c r="B110" s="10" t="str">
        <f aca="false">IF(Settings!$O$38="","",Settings!$Q$38)</f>
        <v/>
      </c>
      <c r="C110" s="10" t="str">
        <f aca="false">IF(Settings!$O$38="","",Settings!$O$38)</f>
        <v/>
      </c>
      <c r="D110" s="10" t="str">
        <f aca="false">IF(Settings!$O$38="","",Settings!$P$38)</f>
        <v/>
      </c>
      <c r="E110" s="11" t="str">
        <f aca="false">IF(Settings!$O$38="","",COUNTIFS('Activity &amp; Event Log'!$D$5:$D$504,Settings!$O$38,'Activity &amp; Event Log'!$G$5:$G$504,"?*"))</f>
        <v/>
      </c>
      <c r="F110" s="11" t="str">
        <f aca="false">IF(Settings!$O$38="","",SUMIFS('Activity &amp; Event Log'!$W$5:$W$504,'Activity &amp; Event Log'!$D$5:$D$504,Settings!$O$38))</f>
        <v/>
      </c>
      <c r="G110" s="12" t="str">
        <f aca="false">IF(OR(Settings!$O$38="",E110=0),"",F110/E110)</f>
        <v/>
      </c>
      <c r="H110" s="15" t="str">
        <f aca="false">IF(OR(Settings!$O$38="",F110=0),"",AVERAGEIFS('Activity &amp; Event Log'!$S$5:$S$504,'Activity &amp; Event Log'!$D$5:$D$504,Settings!$O$38))</f>
        <v/>
      </c>
      <c r="I110" s="15" t="str">
        <f aca="false">IF(OR(Settings!$O$38="",F110=0),"",_xlfn.MAXIFS('Activity &amp; Event Log'!$S$5:$S$504,'Activity &amp; Event Log'!$D$5:$D$504,Settings!$O$38))</f>
        <v/>
      </c>
      <c r="J110" s="12" t="str">
        <f aca="false">IF(OR(Settings!$O$38="",E110=0),"",COUNTIFS('Activity &amp; Event Log'!$D$5:$D$504,Settings!$O$38,'Activity &amp; Event Log'!$U$5:$U$504,"Yes")/E110)</f>
        <v/>
      </c>
      <c r="K110" s="10" t="str">
        <f aca="false">IF(OR(Settings!$O$38="",E110=0),"",IF(MAX(COUNTIFS('Activity &amp; Event Log'!$D$5:$D$504,Settings!$O$38,'Activity &amp; Event Log'!$V$5:$V$504,"Telemetry Blind Spot"),COUNTIFS('Activity &amp; Event Log'!$D$5:$D$504,Settings!$O$38,'Activity &amp; Event Log'!$V$5:$V$504,"Missed Alert"),COUNTIFS('Activity &amp; Event Log'!$D$5:$D$504,Settings!$O$38,'Activity &amp; Event Log'!$V$5:$V$504,"Triage Delay"))=0,"None",IF(COUNTIFS('Activity &amp; Event Log'!$D$5:$D$504,Settings!$O$38,'Activity &amp; Event Log'!$V$5:$V$504,"Telemetry Blind Spot")&gt;=COUNTIFS('Activity &amp; Event Log'!$D$5:$D$504,Settings!$O$38,'Activity &amp; Event Log'!$V$5:$V$504,"Missed Alert"),IF(COUNTIFS('Activity &amp; Event Log'!$D$5:$D$504,Settings!$O$38,'Activity &amp; Event Log'!$V$5:$V$504,"Telemetry Blind Spot")&gt;=COUNTIFS('Activity &amp; Event Log'!$D$5:$D$504,Settings!$O$38,'Activity &amp; Event Log'!$V$5:$V$504,"Triage Delay"),"Blind Spot",IF(COUNTIFS('Activity &amp; Event Log'!$D$5:$D$504,Settings!$O$38,'Activity &amp; Event Log'!$V$5:$V$504,"Missed Alert")&gt;=COUNTIFS('Activity &amp; Event Log'!$D$5:$D$504,Settings!$O$38,'Activity &amp; Event Log'!$V$5:$V$504,"Triage Delay"),"Missed Alert","Triage Delay")),IF(COUNTIFS('Activity &amp; Event Log'!$D$5:$D$504,Settings!$O$38,'Activity &amp; Event Log'!$V$5:$V$504,"Missed Alert")&gt;=COUNTIFS('Activity &amp; Event Log'!$D$5:$D$504,Settings!$O$38,'Activity &amp; Event Log'!$V$5:$V$504,"Triage Delay"),"Missed Alert","Triage Delay"))))</f>
        <v/>
      </c>
      <c r="L110" s="10" t="str">
        <f aca="false">IF(OR(Settings!$O$38="",E110=0),"",IF((COUNTIFS('Activity &amp; Event Log'!$D$5:$D$504,Settings!$O$38,'Activity &amp; Event Log'!$V$5:$V$504,"Telemetry Blind Spot")+COUNTIFS('Activity &amp; Event Log'!$D$5:$D$504,Settings!$O$38,'Activity &amp; Event Log'!$V$5:$V$504,"Missed Alert")+COUNTIFS('Activity &amp; Event Log'!$D$5:$D$504,Settings!$O$38,'Activity &amp; Event Log'!$V$5:$V$504,"Detected - SLA Breach"))&gt;=Settings!$B$11,"High","Normal"))</f>
        <v/>
      </c>
    </row>
    <row r="111" customFormat="false" ht="15" hidden="false" customHeight="false" outlineLevel="0" collapsed="false">
      <c r="B111" s="10" t="str">
        <f aca="false">IF(Settings!$O$39="","",Settings!$Q$39)</f>
        <v/>
      </c>
      <c r="C111" s="10" t="str">
        <f aca="false">IF(Settings!$O$39="","",Settings!$O$39)</f>
        <v/>
      </c>
      <c r="D111" s="10" t="str">
        <f aca="false">IF(Settings!$O$39="","",Settings!$P$39)</f>
        <v/>
      </c>
      <c r="E111" s="11" t="str">
        <f aca="false">IF(Settings!$O$39="","",COUNTIFS('Activity &amp; Event Log'!$D$5:$D$504,Settings!$O$39,'Activity &amp; Event Log'!$G$5:$G$504,"?*"))</f>
        <v/>
      </c>
      <c r="F111" s="11" t="str">
        <f aca="false">IF(Settings!$O$39="","",SUMIFS('Activity &amp; Event Log'!$W$5:$W$504,'Activity &amp; Event Log'!$D$5:$D$504,Settings!$O$39))</f>
        <v/>
      </c>
      <c r="G111" s="12" t="str">
        <f aca="false">IF(OR(Settings!$O$39="",E111=0),"",F111/E111)</f>
        <v/>
      </c>
      <c r="H111" s="15" t="str">
        <f aca="false">IF(OR(Settings!$O$39="",F111=0),"",AVERAGEIFS('Activity &amp; Event Log'!$S$5:$S$504,'Activity &amp; Event Log'!$D$5:$D$504,Settings!$O$39))</f>
        <v/>
      </c>
      <c r="I111" s="15" t="str">
        <f aca="false">IF(OR(Settings!$O$39="",F111=0),"",_xlfn.MAXIFS('Activity &amp; Event Log'!$S$5:$S$504,'Activity &amp; Event Log'!$D$5:$D$504,Settings!$O$39))</f>
        <v/>
      </c>
      <c r="J111" s="12" t="str">
        <f aca="false">IF(OR(Settings!$O$39="",E111=0),"",COUNTIFS('Activity &amp; Event Log'!$D$5:$D$504,Settings!$O$39,'Activity &amp; Event Log'!$U$5:$U$504,"Yes")/E111)</f>
        <v/>
      </c>
      <c r="K111" s="10" t="str">
        <f aca="false">IF(OR(Settings!$O$39="",E111=0),"",IF(MAX(COUNTIFS('Activity &amp; Event Log'!$D$5:$D$504,Settings!$O$39,'Activity &amp; Event Log'!$V$5:$V$504,"Telemetry Blind Spot"),COUNTIFS('Activity &amp; Event Log'!$D$5:$D$504,Settings!$O$39,'Activity &amp; Event Log'!$V$5:$V$504,"Missed Alert"),COUNTIFS('Activity &amp; Event Log'!$D$5:$D$504,Settings!$O$39,'Activity &amp; Event Log'!$V$5:$V$504,"Triage Delay"))=0,"None",IF(COUNTIFS('Activity &amp; Event Log'!$D$5:$D$504,Settings!$O$39,'Activity &amp; Event Log'!$V$5:$V$504,"Telemetry Blind Spot")&gt;=COUNTIFS('Activity &amp; Event Log'!$D$5:$D$504,Settings!$O$39,'Activity &amp; Event Log'!$V$5:$V$504,"Missed Alert"),IF(COUNTIFS('Activity &amp; Event Log'!$D$5:$D$504,Settings!$O$39,'Activity &amp; Event Log'!$V$5:$V$504,"Telemetry Blind Spot")&gt;=COUNTIFS('Activity &amp; Event Log'!$D$5:$D$504,Settings!$O$39,'Activity &amp; Event Log'!$V$5:$V$504,"Triage Delay"),"Blind Spot",IF(COUNTIFS('Activity &amp; Event Log'!$D$5:$D$504,Settings!$O$39,'Activity &amp; Event Log'!$V$5:$V$504,"Missed Alert")&gt;=COUNTIFS('Activity &amp; Event Log'!$D$5:$D$504,Settings!$O$39,'Activity &amp; Event Log'!$V$5:$V$504,"Triage Delay"),"Missed Alert","Triage Delay")),IF(COUNTIFS('Activity &amp; Event Log'!$D$5:$D$504,Settings!$O$39,'Activity &amp; Event Log'!$V$5:$V$504,"Missed Alert")&gt;=COUNTIFS('Activity &amp; Event Log'!$D$5:$D$504,Settings!$O$39,'Activity &amp; Event Log'!$V$5:$V$504,"Triage Delay"),"Missed Alert","Triage Delay"))))</f>
        <v/>
      </c>
      <c r="L111" s="10" t="str">
        <f aca="false">IF(OR(Settings!$O$39="",E111=0),"",IF((COUNTIFS('Activity &amp; Event Log'!$D$5:$D$504,Settings!$O$39,'Activity &amp; Event Log'!$V$5:$V$504,"Telemetry Blind Spot")+COUNTIFS('Activity &amp; Event Log'!$D$5:$D$504,Settings!$O$39,'Activity &amp; Event Log'!$V$5:$V$504,"Missed Alert")+COUNTIFS('Activity &amp; Event Log'!$D$5:$D$504,Settings!$O$39,'Activity &amp; Event Log'!$V$5:$V$504,"Detected - SLA Breach"))&gt;=Settings!$B$11,"High","Normal"))</f>
        <v/>
      </c>
    </row>
    <row r="112" customFormat="false" ht="15" hidden="false" customHeight="false" outlineLevel="0" collapsed="false">
      <c r="B112" s="10" t="str">
        <f aca="false">IF(Settings!$O$40="","",Settings!$Q$40)</f>
        <v/>
      </c>
      <c r="C112" s="10" t="str">
        <f aca="false">IF(Settings!$O$40="","",Settings!$O$40)</f>
        <v/>
      </c>
      <c r="D112" s="10" t="str">
        <f aca="false">IF(Settings!$O$40="","",Settings!$P$40)</f>
        <v/>
      </c>
      <c r="E112" s="11" t="str">
        <f aca="false">IF(Settings!$O$40="","",COUNTIFS('Activity &amp; Event Log'!$D$5:$D$504,Settings!$O$40,'Activity &amp; Event Log'!$G$5:$G$504,"?*"))</f>
        <v/>
      </c>
      <c r="F112" s="11" t="str">
        <f aca="false">IF(Settings!$O$40="","",SUMIFS('Activity &amp; Event Log'!$W$5:$W$504,'Activity &amp; Event Log'!$D$5:$D$504,Settings!$O$40))</f>
        <v/>
      </c>
      <c r="G112" s="12" t="str">
        <f aca="false">IF(OR(Settings!$O$40="",E112=0),"",F112/E112)</f>
        <v/>
      </c>
      <c r="H112" s="15" t="str">
        <f aca="false">IF(OR(Settings!$O$40="",F112=0),"",AVERAGEIFS('Activity &amp; Event Log'!$S$5:$S$504,'Activity &amp; Event Log'!$D$5:$D$504,Settings!$O$40))</f>
        <v/>
      </c>
      <c r="I112" s="15" t="str">
        <f aca="false">IF(OR(Settings!$O$40="",F112=0),"",_xlfn.MAXIFS('Activity &amp; Event Log'!$S$5:$S$504,'Activity &amp; Event Log'!$D$5:$D$504,Settings!$O$40))</f>
        <v/>
      </c>
      <c r="J112" s="12" t="str">
        <f aca="false">IF(OR(Settings!$O$40="",E112=0),"",COUNTIFS('Activity &amp; Event Log'!$D$5:$D$504,Settings!$O$40,'Activity &amp; Event Log'!$U$5:$U$504,"Yes")/E112)</f>
        <v/>
      </c>
      <c r="K112" s="10" t="str">
        <f aca="false">IF(OR(Settings!$O$40="",E112=0),"",IF(MAX(COUNTIFS('Activity &amp; Event Log'!$D$5:$D$504,Settings!$O$40,'Activity &amp; Event Log'!$V$5:$V$504,"Telemetry Blind Spot"),COUNTIFS('Activity &amp; Event Log'!$D$5:$D$504,Settings!$O$40,'Activity &amp; Event Log'!$V$5:$V$504,"Missed Alert"),COUNTIFS('Activity &amp; Event Log'!$D$5:$D$504,Settings!$O$40,'Activity &amp; Event Log'!$V$5:$V$504,"Triage Delay"))=0,"None",IF(COUNTIFS('Activity &amp; Event Log'!$D$5:$D$504,Settings!$O$40,'Activity &amp; Event Log'!$V$5:$V$504,"Telemetry Blind Spot")&gt;=COUNTIFS('Activity &amp; Event Log'!$D$5:$D$504,Settings!$O$40,'Activity &amp; Event Log'!$V$5:$V$504,"Missed Alert"),IF(COUNTIFS('Activity &amp; Event Log'!$D$5:$D$504,Settings!$O$40,'Activity &amp; Event Log'!$V$5:$V$504,"Telemetry Blind Spot")&gt;=COUNTIFS('Activity &amp; Event Log'!$D$5:$D$504,Settings!$O$40,'Activity &amp; Event Log'!$V$5:$V$504,"Triage Delay"),"Blind Spot",IF(COUNTIFS('Activity &amp; Event Log'!$D$5:$D$504,Settings!$O$40,'Activity &amp; Event Log'!$V$5:$V$504,"Missed Alert")&gt;=COUNTIFS('Activity &amp; Event Log'!$D$5:$D$504,Settings!$O$40,'Activity &amp; Event Log'!$V$5:$V$504,"Triage Delay"),"Missed Alert","Triage Delay")),IF(COUNTIFS('Activity &amp; Event Log'!$D$5:$D$504,Settings!$O$40,'Activity &amp; Event Log'!$V$5:$V$504,"Missed Alert")&gt;=COUNTIFS('Activity &amp; Event Log'!$D$5:$D$504,Settings!$O$40,'Activity &amp; Event Log'!$V$5:$V$504,"Triage Delay"),"Missed Alert","Triage Delay"))))</f>
        <v/>
      </c>
      <c r="L112" s="10" t="str">
        <f aca="false">IF(OR(Settings!$O$40="",E112=0),"",IF((COUNTIFS('Activity &amp; Event Log'!$D$5:$D$504,Settings!$O$40,'Activity &amp; Event Log'!$V$5:$V$504,"Telemetry Blind Spot")+COUNTIFS('Activity &amp; Event Log'!$D$5:$D$504,Settings!$O$40,'Activity &amp; Event Log'!$V$5:$V$504,"Missed Alert")+COUNTIFS('Activity &amp; Event Log'!$D$5:$D$504,Settings!$O$40,'Activity &amp; Event Log'!$V$5:$V$504,"Detected - SLA Breach"))&gt;=Settings!$B$11,"High","Normal"))</f>
        <v/>
      </c>
    </row>
    <row r="113" customFormat="false" ht="15" hidden="false" customHeight="false" outlineLevel="0" collapsed="false">
      <c r="B113" s="10" t="str">
        <f aca="false">IF(Settings!$O$41="","",Settings!$Q$41)</f>
        <v/>
      </c>
      <c r="C113" s="10" t="str">
        <f aca="false">IF(Settings!$O$41="","",Settings!$O$41)</f>
        <v/>
      </c>
      <c r="D113" s="10" t="str">
        <f aca="false">IF(Settings!$O$41="","",Settings!$P$41)</f>
        <v/>
      </c>
      <c r="E113" s="11" t="str">
        <f aca="false">IF(Settings!$O$41="","",COUNTIFS('Activity &amp; Event Log'!$D$5:$D$504,Settings!$O$41,'Activity &amp; Event Log'!$G$5:$G$504,"?*"))</f>
        <v/>
      </c>
      <c r="F113" s="11" t="str">
        <f aca="false">IF(Settings!$O$41="","",SUMIFS('Activity &amp; Event Log'!$W$5:$W$504,'Activity &amp; Event Log'!$D$5:$D$504,Settings!$O$41))</f>
        <v/>
      </c>
      <c r="G113" s="12" t="str">
        <f aca="false">IF(OR(Settings!$O$41="",E113=0),"",F113/E113)</f>
        <v/>
      </c>
      <c r="H113" s="15" t="str">
        <f aca="false">IF(OR(Settings!$O$41="",F113=0),"",AVERAGEIFS('Activity &amp; Event Log'!$S$5:$S$504,'Activity &amp; Event Log'!$D$5:$D$504,Settings!$O$41))</f>
        <v/>
      </c>
      <c r="I113" s="15" t="str">
        <f aca="false">IF(OR(Settings!$O$41="",F113=0),"",_xlfn.MAXIFS('Activity &amp; Event Log'!$S$5:$S$504,'Activity &amp; Event Log'!$D$5:$D$504,Settings!$O$41))</f>
        <v/>
      </c>
      <c r="J113" s="12" t="str">
        <f aca="false">IF(OR(Settings!$O$41="",E113=0),"",COUNTIFS('Activity &amp; Event Log'!$D$5:$D$504,Settings!$O$41,'Activity &amp; Event Log'!$U$5:$U$504,"Yes")/E113)</f>
        <v/>
      </c>
      <c r="K113" s="10" t="str">
        <f aca="false">IF(OR(Settings!$O$41="",E113=0),"",IF(MAX(COUNTIFS('Activity &amp; Event Log'!$D$5:$D$504,Settings!$O$41,'Activity &amp; Event Log'!$V$5:$V$504,"Telemetry Blind Spot"),COUNTIFS('Activity &amp; Event Log'!$D$5:$D$504,Settings!$O$41,'Activity &amp; Event Log'!$V$5:$V$504,"Missed Alert"),COUNTIFS('Activity &amp; Event Log'!$D$5:$D$504,Settings!$O$41,'Activity &amp; Event Log'!$V$5:$V$504,"Triage Delay"))=0,"None",IF(COUNTIFS('Activity &amp; Event Log'!$D$5:$D$504,Settings!$O$41,'Activity &amp; Event Log'!$V$5:$V$504,"Telemetry Blind Spot")&gt;=COUNTIFS('Activity &amp; Event Log'!$D$5:$D$504,Settings!$O$41,'Activity &amp; Event Log'!$V$5:$V$504,"Missed Alert"),IF(COUNTIFS('Activity &amp; Event Log'!$D$5:$D$504,Settings!$O$41,'Activity &amp; Event Log'!$V$5:$V$504,"Telemetry Blind Spot")&gt;=COUNTIFS('Activity &amp; Event Log'!$D$5:$D$504,Settings!$O$41,'Activity &amp; Event Log'!$V$5:$V$504,"Triage Delay"),"Blind Spot",IF(COUNTIFS('Activity &amp; Event Log'!$D$5:$D$504,Settings!$O$41,'Activity &amp; Event Log'!$V$5:$V$504,"Missed Alert")&gt;=COUNTIFS('Activity &amp; Event Log'!$D$5:$D$504,Settings!$O$41,'Activity &amp; Event Log'!$V$5:$V$504,"Triage Delay"),"Missed Alert","Triage Delay")),IF(COUNTIFS('Activity &amp; Event Log'!$D$5:$D$504,Settings!$O$41,'Activity &amp; Event Log'!$V$5:$V$504,"Missed Alert")&gt;=COUNTIFS('Activity &amp; Event Log'!$D$5:$D$504,Settings!$O$41,'Activity &amp; Event Log'!$V$5:$V$504,"Triage Delay"),"Missed Alert","Triage Delay"))))</f>
        <v/>
      </c>
      <c r="L113" s="10" t="str">
        <f aca="false">IF(OR(Settings!$O$41="",E113=0),"",IF((COUNTIFS('Activity &amp; Event Log'!$D$5:$D$504,Settings!$O$41,'Activity &amp; Event Log'!$V$5:$V$504,"Telemetry Blind Spot")+COUNTIFS('Activity &amp; Event Log'!$D$5:$D$504,Settings!$O$41,'Activity &amp; Event Log'!$V$5:$V$504,"Missed Alert")+COUNTIFS('Activity &amp; Event Log'!$D$5:$D$504,Settings!$O$41,'Activity &amp; Event Log'!$V$5:$V$504,"Detected - SLA Breach"))&gt;=Settings!$B$11,"High","Normal"))</f>
        <v/>
      </c>
    </row>
    <row r="114" customFormat="false" ht="15" hidden="false" customHeight="false" outlineLevel="0" collapsed="false">
      <c r="B114" s="10" t="str">
        <f aca="false">IF(Settings!$O$42="","",Settings!$Q$42)</f>
        <v/>
      </c>
      <c r="C114" s="10" t="str">
        <f aca="false">IF(Settings!$O$42="","",Settings!$O$42)</f>
        <v/>
      </c>
      <c r="D114" s="10" t="str">
        <f aca="false">IF(Settings!$O$42="","",Settings!$P$42)</f>
        <v/>
      </c>
      <c r="E114" s="11" t="str">
        <f aca="false">IF(Settings!$O$42="","",COUNTIFS('Activity &amp; Event Log'!$D$5:$D$504,Settings!$O$42,'Activity &amp; Event Log'!$G$5:$G$504,"?*"))</f>
        <v/>
      </c>
      <c r="F114" s="11" t="str">
        <f aca="false">IF(Settings!$O$42="","",SUMIFS('Activity &amp; Event Log'!$W$5:$W$504,'Activity &amp; Event Log'!$D$5:$D$504,Settings!$O$42))</f>
        <v/>
      </c>
      <c r="G114" s="12" t="str">
        <f aca="false">IF(OR(Settings!$O$42="",E114=0),"",F114/E114)</f>
        <v/>
      </c>
      <c r="H114" s="15" t="str">
        <f aca="false">IF(OR(Settings!$O$42="",F114=0),"",AVERAGEIFS('Activity &amp; Event Log'!$S$5:$S$504,'Activity &amp; Event Log'!$D$5:$D$504,Settings!$O$42))</f>
        <v/>
      </c>
      <c r="I114" s="15" t="str">
        <f aca="false">IF(OR(Settings!$O$42="",F114=0),"",_xlfn.MAXIFS('Activity &amp; Event Log'!$S$5:$S$504,'Activity &amp; Event Log'!$D$5:$D$504,Settings!$O$42))</f>
        <v/>
      </c>
      <c r="J114" s="12" t="str">
        <f aca="false">IF(OR(Settings!$O$42="",E114=0),"",COUNTIFS('Activity &amp; Event Log'!$D$5:$D$504,Settings!$O$42,'Activity &amp; Event Log'!$U$5:$U$504,"Yes")/E114)</f>
        <v/>
      </c>
      <c r="K114" s="10" t="str">
        <f aca="false">IF(OR(Settings!$O$42="",E114=0),"",IF(MAX(COUNTIFS('Activity &amp; Event Log'!$D$5:$D$504,Settings!$O$42,'Activity &amp; Event Log'!$V$5:$V$504,"Telemetry Blind Spot"),COUNTIFS('Activity &amp; Event Log'!$D$5:$D$504,Settings!$O$42,'Activity &amp; Event Log'!$V$5:$V$504,"Missed Alert"),COUNTIFS('Activity &amp; Event Log'!$D$5:$D$504,Settings!$O$42,'Activity &amp; Event Log'!$V$5:$V$504,"Triage Delay"))=0,"None",IF(COUNTIFS('Activity &amp; Event Log'!$D$5:$D$504,Settings!$O$42,'Activity &amp; Event Log'!$V$5:$V$504,"Telemetry Blind Spot")&gt;=COUNTIFS('Activity &amp; Event Log'!$D$5:$D$504,Settings!$O$42,'Activity &amp; Event Log'!$V$5:$V$504,"Missed Alert"),IF(COUNTIFS('Activity &amp; Event Log'!$D$5:$D$504,Settings!$O$42,'Activity &amp; Event Log'!$V$5:$V$504,"Telemetry Blind Spot")&gt;=COUNTIFS('Activity &amp; Event Log'!$D$5:$D$504,Settings!$O$42,'Activity &amp; Event Log'!$V$5:$V$504,"Triage Delay"),"Blind Spot",IF(COUNTIFS('Activity &amp; Event Log'!$D$5:$D$504,Settings!$O$42,'Activity &amp; Event Log'!$V$5:$V$504,"Missed Alert")&gt;=COUNTIFS('Activity &amp; Event Log'!$D$5:$D$504,Settings!$O$42,'Activity &amp; Event Log'!$V$5:$V$504,"Triage Delay"),"Missed Alert","Triage Delay")),IF(COUNTIFS('Activity &amp; Event Log'!$D$5:$D$504,Settings!$O$42,'Activity &amp; Event Log'!$V$5:$V$504,"Missed Alert")&gt;=COUNTIFS('Activity &amp; Event Log'!$D$5:$D$504,Settings!$O$42,'Activity &amp; Event Log'!$V$5:$V$504,"Triage Delay"),"Missed Alert","Triage Delay"))))</f>
        <v/>
      </c>
      <c r="L114" s="10" t="str">
        <f aca="false">IF(OR(Settings!$O$42="",E114=0),"",IF((COUNTIFS('Activity &amp; Event Log'!$D$5:$D$504,Settings!$O$42,'Activity &amp; Event Log'!$V$5:$V$504,"Telemetry Blind Spot")+COUNTIFS('Activity &amp; Event Log'!$D$5:$D$504,Settings!$O$42,'Activity &amp; Event Log'!$V$5:$V$504,"Missed Alert")+COUNTIFS('Activity &amp; Event Log'!$D$5:$D$504,Settings!$O$42,'Activity &amp; Event Log'!$V$5:$V$504,"Detected - SLA Breach"))&gt;=Settings!$B$11,"High","Normal"))</f>
        <v/>
      </c>
    </row>
    <row r="115" customFormat="false" ht="15" hidden="false" customHeight="false" outlineLevel="0" collapsed="false">
      <c r="B115" s="10" t="str">
        <f aca="false">IF(Settings!$O$43="","",Settings!$Q$43)</f>
        <v/>
      </c>
      <c r="C115" s="10" t="str">
        <f aca="false">IF(Settings!$O$43="","",Settings!$O$43)</f>
        <v/>
      </c>
      <c r="D115" s="10" t="str">
        <f aca="false">IF(Settings!$O$43="","",Settings!$P$43)</f>
        <v/>
      </c>
      <c r="E115" s="11" t="str">
        <f aca="false">IF(Settings!$O$43="","",COUNTIFS('Activity &amp; Event Log'!$D$5:$D$504,Settings!$O$43,'Activity &amp; Event Log'!$G$5:$G$504,"?*"))</f>
        <v/>
      </c>
      <c r="F115" s="11" t="str">
        <f aca="false">IF(Settings!$O$43="","",SUMIFS('Activity &amp; Event Log'!$W$5:$W$504,'Activity &amp; Event Log'!$D$5:$D$504,Settings!$O$43))</f>
        <v/>
      </c>
      <c r="G115" s="12" t="str">
        <f aca="false">IF(OR(Settings!$O$43="",E115=0),"",F115/E115)</f>
        <v/>
      </c>
      <c r="H115" s="15" t="str">
        <f aca="false">IF(OR(Settings!$O$43="",F115=0),"",AVERAGEIFS('Activity &amp; Event Log'!$S$5:$S$504,'Activity &amp; Event Log'!$D$5:$D$504,Settings!$O$43))</f>
        <v/>
      </c>
      <c r="I115" s="15" t="str">
        <f aca="false">IF(OR(Settings!$O$43="",F115=0),"",_xlfn.MAXIFS('Activity &amp; Event Log'!$S$5:$S$504,'Activity &amp; Event Log'!$D$5:$D$504,Settings!$O$43))</f>
        <v/>
      </c>
      <c r="J115" s="12" t="str">
        <f aca="false">IF(OR(Settings!$O$43="",E115=0),"",COUNTIFS('Activity &amp; Event Log'!$D$5:$D$504,Settings!$O$43,'Activity &amp; Event Log'!$U$5:$U$504,"Yes")/E115)</f>
        <v/>
      </c>
      <c r="K115" s="10" t="str">
        <f aca="false">IF(OR(Settings!$O$43="",E115=0),"",IF(MAX(COUNTIFS('Activity &amp; Event Log'!$D$5:$D$504,Settings!$O$43,'Activity &amp; Event Log'!$V$5:$V$504,"Telemetry Blind Spot"),COUNTIFS('Activity &amp; Event Log'!$D$5:$D$504,Settings!$O$43,'Activity &amp; Event Log'!$V$5:$V$504,"Missed Alert"),COUNTIFS('Activity &amp; Event Log'!$D$5:$D$504,Settings!$O$43,'Activity &amp; Event Log'!$V$5:$V$504,"Triage Delay"))=0,"None",IF(COUNTIFS('Activity &amp; Event Log'!$D$5:$D$504,Settings!$O$43,'Activity &amp; Event Log'!$V$5:$V$504,"Telemetry Blind Spot")&gt;=COUNTIFS('Activity &amp; Event Log'!$D$5:$D$504,Settings!$O$43,'Activity &amp; Event Log'!$V$5:$V$504,"Missed Alert"),IF(COUNTIFS('Activity &amp; Event Log'!$D$5:$D$504,Settings!$O$43,'Activity &amp; Event Log'!$V$5:$V$504,"Telemetry Blind Spot")&gt;=COUNTIFS('Activity &amp; Event Log'!$D$5:$D$504,Settings!$O$43,'Activity &amp; Event Log'!$V$5:$V$504,"Triage Delay"),"Blind Spot",IF(COUNTIFS('Activity &amp; Event Log'!$D$5:$D$504,Settings!$O$43,'Activity &amp; Event Log'!$V$5:$V$504,"Missed Alert")&gt;=COUNTIFS('Activity &amp; Event Log'!$D$5:$D$504,Settings!$O$43,'Activity &amp; Event Log'!$V$5:$V$504,"Triage Delay"),"Missed Alert","Triage Delay")),IF(COUNTIFS('Activity &amp; Event Log'!$D$5:$D$504,Settings!$O$43,'Activity &amp; Event Log'!$V$5:$V$504,"Missed Alert")&gt;=COUNTIFS('Activity &amp; Event Log'!$D$5:$D$504,Settings!$O$43,'Activity &amp; Event Log'!$V$5:$V$504,"Triage Delay"),"Missed Alert","Triage Delay"))))</f>
        <v/>
      </c>
      <c r="L115" s="10" t="str">
        <f aca="false">IF(OR(Settings!$O$43="",E115=0),"",IF((COUNTIFS('Activity &amp; Event Log'!$D$5:$D$504,Settings!$O$43,'Activity &amp; Event Log'!$V$5:$V$504,"Telemetry Blind Spot")+COUNTIFS('Activity &amp; Event Log'!$D$5:$D$504,Settings!$O$43,'Activity &amp; Event Log'!$V$5:$V$504,"Missed Alert")+COUNTIFS('Activity &amp; Event Log'!$D$5:$D$504,Settings!$O$43,'Activity &amp; Event Log'!$V$5:$V$504,"Detected - SLA Breach"))&gt;=Settings!$B$11,"High","Normal"))</f>
        <v/>
      </c>
    </row>
    <row r="116" customFormat="false" ht="15" hidden="false" customHeight="false" outlineLevel="0" collapsed="false">
      <c r="B116" s="10" t="str">
        <f aca="false">IF(Settings!$O$44="","",Settings!$Q$44)</f>
        <v/>
      </c>
      <c r="C116" s="10" t="str">
        <f aca="false">IF(Settings!$O$44="","",Settings!$O$44)</f>
        <v/>
      </c>
      <c r="D116" s="10" t="str">
        <f aca="false">IF(Settings!$O$44="","",Settings!$P$44)</f>
        <v/>
      </c>
      <c r="E116" s="11" t="str">
        <f aca="false">IF(Settings!$O$44="","",COUNTIFS('Activity &amp; Event Log'!$D$5:$D$504,Settings!$O$44,'Activity &amp; Event Log'!$G$5:$G$504,"?*"))</f>
        <v/>
      </c>
      <c r="F116" s="11" t="str">
        <f aca="false">IF(Settings!$O$44="","",SUMIFS('Activity &amp; Event Log'!$W$5:$W$504,'Activity &amp; Event Log'!$D$5:$D$504,Settings!$O$44))</f>
        <v/>
      </c>
      <c r="G116" s="12" t="str">
        <f aca="false">IF(OR(Settings!$O$44="",E116=0),"",F116/E116)</f>
        <v/>
      </c>
      <c r="H116" s="15" t="str">
        <f aca="false">IF(OR(Settings!$O$44="",F116=0),"",AVERAGEIFS('Activity &amp; Event Log'!$S$5:$S$504,'Activity &amp; Event Log'!$D$5:$D$504,Settings!$O$44))</f>
        <v/>
      </c>
      <c r="I116" s="15" t="str">
        <f aca="false">IF(OR(Settings!$O$44="",F116=0),"",_xlfn.MAXIFS('Activity &amp; Event Log'!$S$5:$S$504,'Activity &amp; Event Log'!$D$5:$D$504,Settings!$O$44))</f>
        <v/>
      </c>
      <c r="J116" s="12" t="str">
        <f aca="false">IF(OR(Settings!$O$44="",E116=0),"",COUNTIFS('Activity &amp; Event Log'!$D$5:$D$504,Settings!$O$44,'Activity &amp; Event Log'!$U$5:$U$504,"Yes")/E116)</f>
        <v/>
      </c>
      <c r="K116" s="10" t="str">
        <f aca="false">IF(OR(Settings!$O$44="",E116=0),"",IF(MAX(COUNTIFS('Activity &amp; Event Log'!$D$5:$D$504,Settings!$O$44,'Activity &amp; Event Log'!$V$5:$V$504,"Telemetry Blind Spot"),COUNTIFS('Activity &amp; Event Log'!$D$5:$D$504,Settings!$O$44,'Activity &amp; Event Log'!$V$5:$V$504,"Missed Alert"),COUNTIFS('Activity &amp; Event Log'!$D$5:$D$504,Settings!$O$44,'Activity &amp; Event Log'!$V$5:$V$504,"Triage Delay"))=0,"None",IF(COUNTIFS('Activity &amp; Event Log'!$D$5:$D$504,Settings!$O$44,'Activity &amp; Event Log'!$V$5:$V$504,"Telemetry Blind Spot")&gt;=COUNTIFS('Activity &amp; Event Log'!$D$5:$D$504,Settings!$O$44,'Activity &amp; Event Log'!$V$5:$V$504,"Missed Alert"),IF(COUNTIFS('Activity &amp; Event Log'!$D$5:$D$504,Settings!$O$44,'Activity &amp; Event Log'!$V$5:$V$504,"Telemetry Blind Spot")&gt;=COUNTIFS('Activity &amp; Event Log'!$D$5:$D$504,Settings!$O$44,'Activity &amp; Event Log'!$V$5:$V$504,"Triage Delay"),"Blind Spot",IF(COUNTIFS('Activity &amp; Event Log'!$D$5:$D$504,Settings!$O$44,'Activity &amp; Event Log'!$V$5:$V$504,"Missed Alert")&gt;=COUNTIFS('Activity &amp; Event Log'!$D$5:$D$504,Settings!$O$44,'Activity &amp; Event Log'!$V$5:$V$504,"Triage Delay"),"Missed Alert","Triage Delay")),IF(COUNTIFS('Activity &amp; Event Log'!$D$5:$D$504,Settings!$O$44,'Activity &amp; Event Log'!$V$5:$V$504,"Missed Alert")&gt;=COUNTIFS('Activity &amp; Event Log'!$D$5:$D$504,Settings!$O$44,'Activity &amp; Event Log'!$V$5:$V$504,"Triage Delay"),"Missed Alert","Triage Delay"))))</f>
        <v/>
      </c>
      <c r="L116" s="10" t="str">
        <f aca="false">IF(OR(Settings!$O$44="",E116=0),"",IF((COUNTIFS('Activity &amp; Event Log'!$D$5:$D$504,Settings!$O$44,'Activity &amp; Event Log'!$V$5:$V$504,"Telemetry Blind Spot")+COUNTIFS('Activity &amp; Event Log'!$D$5:$D$504,Settings!$O$44,'Activity &amp; Event Log'!$V$5:$V$504,"Missed Alert")+COUNTIFS('Activity &amp; Event Log'!$D$5:$D$504,Settings!$O$44,'Activity &amp; Event Log'!$V$5:$V$504,"Detected - SLA Breach"))&gt;=Settings!$B$11,"High","Normal"))</f>
        <v/>
      </c>
    </row>
    <row r="117" customFormat="false" ht="15" hidden="false" customHeight="false" outlineLevel="0" collapsed="false">
      <c r="B117" s="10" t="str">
        <f aca="false">IF(Settings!$O$45="","",Settings!$Q$45)</f>
        <v/>
      </c>
      <c r="C117" s="10" t="str">
        <f aca="false">IF(Settings!$O$45="","",Settings!$O$45)</f>
        <v/>
      </c>
      <c r="D117" s="10" t="str">
        <f aca="false">IF(Settings!$O$45="","",Settings!$P$45)</f>
        <v/>
      </c>
      <c r="E117" s="11" t="str">
        <f aca="false">IF(Settings!$O$45="","",COUNTIFS('Activity &amp; Event Log'!$D$5:$D$504,Settings!$O$45,'Activity &amp; Event Log'!$G$5:$G$504,"?*"))</f>
        <v/>
      </c>
      <c r="F117" s="11" t="str">
        <f aca="false">IF(Settings!$O$45="","",SUMIFS('Activity &amp; Event Log'!$W$5:$W$504,'Activity &amp; Event Log'!$D$5:$D$504,Settings!$O$45))</f>
        <v/>
      </c>
      <c r="G117" s="12" t="str">
        <f aca="false">IF(OR(Settings!$O$45="",E117=0),"",F117/E117)</f>
        <v/>
      </c>
      <c r="H117" s="15" t="str">
        <f aca="false">IF(OR(Settings!$O$45="",F117=0),"",AVERAGEIFS('Activity &amp; Event Log'!$S$5:$S$504,'Activity &amp; Event Log'!$D$5:$D$504,Settings!$O$45))</f>
        <v/>
      </c>
      <c r="I117" s="15" t="str">
        <f aca="false">IF(OR(Settings!$O$45="",F117=0),"",_xlfn.MAXIFS('Activity &amp; Event Log'!$S$5:$S$504,'Activity &amp; Event Log'!$D$5:$D$504,Settings!$O$45))</f>
        <v/>
      </c>
      <c r="J117" s="12" t="str">
        <f aca="false">IF(OR(Settings!$O$45="",E117=0),"",COUNTIFS('Activity &amp; Event Log'!$D$5:$D$504,Settings!$O$45,'Activity &amp; Event Log'!$U$5:$U$504,"Yes")/E117)</f>
        <v/>
      </c>
      <c r="K117" s="10" t="str">
        <f aca="false">IF(OR(Settings!$O$45="",E117=0),"",IF(MAX(COUNTIFS('Activity &amp; Event Log'!$D$5:$D$504,Settings!$O$45,'Activity &amp; Event Log'!$V$5:$V$504,"Telemetry Blind Spot"),COUNTIFS('Activity &amp; Event Log'!$D$5:$D$504,Settings!$O$45,'Activity &amp; Event Log'!$V$5:$V$504,"Missed Alert"),COUNTIFS('Activity &amp; Event Log'!$D$5:$D$504,Settings!$O$45,'Activity &amp; Event Log'!$V$5:$V$504,"Triage Delay"))=0,"None",IF(COUNTIFS('Activity &amp; Event Log'!$D$5:$D$504,Settings!$O$45,'Activity &amp; Event Log'!$V$5:$V$504,"Telemetry Blind Spot")&gt;=COUNTIFS('Activity &amp; Event Log'!$D$5:$D$504,Settings!$O$45,'Activity &amp; Event Log'!$V$5:$V$504,"Missed Alert"),IF(COUNTIFS('Activity &amp; Event Log'!$D$5:$D$504,Settings!$O$45,'Activity &amp; Event Log'!$V$5:$V$504,"Telemetry Blind Spot")&gt;=COUNTIFS('Activity &amp; Event Log'!$D$5:$D$504,Settings!$O$45,'Activity &amp; Event Log'!$V$5:$V$504,"Triage Delay"),"Blind Spot",IF(COUNTIFS('Activity &amp; Event Log'!$D$5:$D$504,Settings!$O$45,'Activity &amp; Event Log'!$V$5:$V$504,"Missed Alert")&gt;=COUNTIFS('Activity &amp; Event Log'!$D$5:$D$504,Settings!$O$45,'Activity &amp; Event Log'!$V$5:$V$504,"Triage Delay"),"Missed Alert","Triage Delay")),IF(COUNTIFS('Activity &amp; Event Log'!$D$5:$D$504,Settings!$O$45,'Activity &amp; Event Log'!$V$5:$V$504,"Missed Alert")&gt;=COUNTIFS('Activity &amp; Event Log'!$D$5:$D$504,Settings!$O$45,'Activity &amp; Event Log'!$V$5:$V$504,"Triage Delay"),"Missed Alert","Triage Delay"))))</f>
        <v/>
      </c>
      <c r="L117" s="10" t="str">
        <f aca="false">IF(OR(Settings!$O$45="",E117=0),"",IF((COUNTIFS('Activity &amp; Event Log'!$D$5:$D$504,Settings!$O$45,'Activity &amp; Event Log'!$V$5:$V$504,"Telemetry Blind Spot")+COUNTIFS('Activity &amp; Event Log'!$D$5:$D$504,Settings!$O$45,'Activity &amp; Event Log'!$V$5:$V$504,"Missed Alert")+COUNTIFS('Activity &amp; Event Log'!$D$5:$D$504,Settings!$O$45,'Activity &amp; Event Log'!$V$5:$V$504,"Detected - SLA Breach"))&gt;=Settings!$B$11,"High","Normal"))</f>
        <v/>
      </c>
    </row>
    <row r="118" customFormat="false" ht="15" hidden="false" customHeight="false" outlineLevel="0" collapsed="false">
      <c r="B118" s="10" t="str">
        <f aca="false">IF(Settings!$O$46="","",Settings!$Q$46)</f>
        <v/>
      </c>
      <c r="C118" s="10" t="str">
        <f aca="false">IF(Settings!$O$46="","",Settings!$O$46)</f>
        <v/>
      </c>
      <c r="D118" s="10" t="str">
        <f aca="false">IF(Settings!$O$46="","",Settings!$P$46)</f>
        <v/>
      </c>
      <c r="E118" s="11" t="str">
        <f aca="false">IF(Settings!$O$46="","",COUNTIFS('Activity &amp; Event Log'!$D$5:$D$504,Settings!$O$46,'Activity &amp; Event Log'!$G$5:$G$504,"?*"))</f>
        <v/>
      </c>
      <c r="F118" s="11" t="str">
        <f aca="false">IF(Settings!$O$46="","",SUMIFS('Activity &amp; Event Log'!$W$5:$W$504,'Activity &amp; Event Log'!$D$5:$D$504,Settings!$O$46))</f>
        <v/>
      </c>
      <c r="G118" s="12" t="str">
        <f aca="false">IF(OR(Settings!$O$46="",E118=0),"",F118/E118)</f>
        <v/>
      </c>
      <c r="H118" s="15" t="str">
        <f aca="false">IF(OR(Settings!$O$46="",F118=0),"",AVERAGEIFS('Activity &amp; Event Log'!$S$5:$S$504,'Activity &amp; Event Log'!$D$5:$D$504,Settings!$O$46))</f>
        <v/>
      </c>
      <c r="I118" s="15" t="str">
        <f aca="false">IF(OR(Settings!$O$46="",F118=0),"",_xlfn.MAXIFS('Activity &amp; Event Log'!$S$5:$S$504,'Activity &amp; Event Log'!$D$5:$D$504,Settings!$O$46))</f>
        <v/>
      </c>
      <c r="J118" s="12" t="str">
        <f aca="false">IF(OR(Settings!$O$46="",E118=0),"",COUNTIFS('Activity &amp; Event Log'!$D$5:$D$504,Settings!$O$46,'Activity &amp; Event Log'!$U$5:$U$504,"Yes")/E118)</f>
        <v/>
      </c>
      <c r="K118" s="10" t="str">
        <f aca="false">IF(OR(Settings!$O$46="",E118=0),"",IF(MAX(COUNTIFS('Activity &amp; Event Log'!$D$5:$D$504,Settings!$O$46,'Activity &amp; Event Log'!$V$5:$V$504,"Telemetry Blind Spot"),COUNTIFS('Activity &amp; Event Log'!$D$5:$D$504,Settings!$O$46,'Activity &amp; Event Log'!$V$5:$V$504,"Missed Alert"),COUNTIFS('Activity &amp; Event Log'!$D$5:$D$504,Settings!$O$46,'Activity &amp; Event Log'!$V$5:$V$504,"Triage Delay"))=0,"None",IF(COUNTIFS('Activity &amp; Event Log'!$D$5:$D$504,Settings!$O$46,'Activity &amp; Event Log'!$V$5:$V$504,"Telemetry Blind Spot")&gt;=COUNTIFS('Activity &amp; Event Log'!$D$5:$D$504,Settings!$O$46,'Activity &amp; Event Log'!$V$5:$V$504,"Missed Alert"),IF(COUNTIFS('Activity &amp; Event Log'!$D$5:$D$504,Settings!$O$46,'Activity &amp; Event Log'!$V$5:$V$504,"Telemetry Blind Spot")&gt;=COUNTIFS('Activity &amp; Event Log'!$D$5:$D$504,Settings!$O$46,'Activity &amp; Event Log'!$V$5:$V$504,"Triage Delay"),"Blind Spot",IF(COUNTIFS('Activity &amp; Event Log'!$D$5:$D$504,Settings!$O$46,'Activity &amp; Event Log'!$V$5:$V$504,"Missed Alert")&gt;=COUNTIFS('Activity &amp; Event Log'!$D$5:$D$504,Settings!$O$46,'Activity &amp; Event Log'!$V$5:$V$504,"Triage Delay"),"Missed Alert","Triage Delay")),IF(COUNTIFS('Activity &amp; Event Log'!$D$5:$D$504,Settings!$O$46,'Activity &amp; Event Log'!$V$5:$V$504,"Missed Alert")&gt;=COUNTIFS('Activity &amp; Event Log'!$D$5:$D$504,Settings!$O$46,'Activity &amp; Event Log'!$V$5:$V$504,"Triage Delay"),"Missed Alert","Triage Delay"))))</f>
        <v/>
      </c>
      <c r="L118" s="10" t="str">
        <f aca="false">IF(OR(Settings!$O$46="",E118=0),"",IF((COUNTIFS('Activity &amp; Event Log'!$D$5:$D$504,Settings!$O$46,'Activity &amp; Event Log'!$V$5:$V$504,"Telemetry Blind Spot")+COUNTIFS('Activity &amp; Event Log'!$D$5:$D$504,Settings!$O$46,'Activity &amp; Event Log'!$V$5:$V$504,"Missed Alert")+COUNTIFS('Activity &amp; Event Log'!$D$5:$D$504,Settings!$O$46,'Activity &amp; Event Log'!$V$5:$V$504,"Detected - SLA Breach"))&gt;=Settings!$B$11,"High","Normal"))</f>
        <v/>
      </c>
    </row>
    <row r="119" customFormat="false" ht="15" hidden="false" customHeight="false" outlineLevel="0" collapsed="false">
      <c r="B119" s="10" t="str">
        <f aca="false">IF(Settings!$O$47="","",Settings!$Q$47)</f>
        <v/>
      </c>
      <c r="C119" s="10" t="str">
        <f aca="false">IF(Settings!$O$47="","",Settings!$O$47)</f>
        <v/>
      </c>
      <c r="D119" s="10" t="str">
        <f aca="false">IF(Settings!$O$47="","",Settings!$P$47)</f>
        <v/>
      </c>
      <c r="E119" s="11" t="str">
        <f aca="false">IF(Settings!$O$47="","",COUNTIFS('Activity &amp; Event Log'!$D$5:$D$504,Settings!$O$47,'Activity &amp; Event Log'!$G$5:$G$504,"?*"))</f>
        <v/>
      </c>
      <c r="F119" s="11" t="str">
        <f aca="false">IF(Settings!$O$47="","",SUMIFS('Activity &amp; Event Log'!$W$5:$W$504,'Activity &amp; Event Log'!$D$5:$D$504,Settings!$O$47))</f>
        <v/>
      </c>
      <c r="G119" s="12" t="str">
        <f aca="false">IF(OR(Settings!$O$47="",E119=0),"",F119/E119)</f>
        <v/>
      </c>
      <c r="H119" s="15" t="str">
        <f aca="false">IF(OR(Settings!$O$47="",F119=0),"",AVERAGEIFS('Activity &amp; Event Log'!$S$5:$S$504,'Activity &amp; Event Log'!$D$5:$D$504,Settings!$O$47))</f>
        <v/>
      </c>
      <c r="I119" s="15" t="str">
        <f aca="false">IF(OR(Settings!$O$47="",F119=0),"",_xlfn.MAXIFS('Activity &amp; Event Log'!$S$5:$S$504,'Activity &amp; Event Log'!$D$5:$D$504,Settings!$O$47))</f>
        <v/>
      </c>
      <c r="J119" s="12" t="str">
        <f aca="false">IF(OR(Settings!$O$47="",E119=0),"",COUNTIFS('Activity &amp; Event Log'!$D$5:$D$504,Settings!$O$47,'Activity &amp; Event Log'!$U$5:$U$504,"Yes")/E119)</f>
        <v/>
      </c>
      <c r="K119" s="10" t="str">
        <f aca="false">IF(OR(Settings!$O$47="",E119=0),"",IF(MAX(COUNTIFS('Activity &amp; Event Log'!$D$5:$D$504,Settings!$O$47,'Activity &amp; Event Log'!$V$5:$V$504,"Telemetry Blind Spot"),COUNTIFS('Activity &amp; Event Log'!$D$5:$D$504,Settings!$O$47,'Activity &amp; Event Log'!$V$5:$V$504,"Missed Alert"),COUNTIFS('Activity &amp; Event Log'!$D$5:$D$504,Settings!$O$47,'Activity &amp; Event Log'!$V$5:$V$504,"Triage Delay"))=0,"None",IF(COUNTIFS('Activity &amp; Event Log'!$D$5:$D$504,Settings!$O$47,'Activity &amp; Event Log'!$V$5:$V$504,"Telemetry Blind Spot")&gt;=COUNTIFS('Activity &amp; Event Log'!$D$5:$D$504,Settings!$O$47,'Activity &amp; Event Log'!$V$5:$V$504,"Missed Alert"),IF(COUNTIFS('Activity &amp; Event Log'!$D$5:$D$504,Settings!$O$47,'Activity &amp; Event Log'!$V$5:$V$504,"Telemetry Blind Spot")&gt;=COUNTIFS('Activity &amp; Event Log'!$D$5:$D$504,Settings!$O$47,'Activity &amp; Event Log'!$V$5:$V$504,"Triage Delay"),"Blind Spot",IF(COUNTIFS('Activity &amp; Event Log'!$D$5:$D$504,Settings!$O$47,'Activity &amp; Event Log'!$V$5:$V$504,"Missed Alert")&gt;=COUNTIFS('Activity &amp; Event Log'!$D$5:$D$504,Settings!$O$47,'Activity &amp; Event Log'!$V$5:$V$504,"Triage Delay"),"Missed Alert","Triage Delay")),IF(COUNTIFS('Activity &amp; Event Log'!$D$5:$D$504,Settings!$O$47,'Activity &amp; Event Log'!$V$5:$V$504,"Missed Alert")&gt;=COUNTIFS('Activity &amp; Event Log'!$D$5:$D$504,Settings!$O$47,'Activity &amp; Event Log'!$V$5:$V$504,"Triage Delay"),"Missed Alert","Triage Delay"))))</f>
        <v/>
      </c>
      <c r="L119" s="10" t="str">
        <f aca="false">IF(OR(Settings!$O$47="",E119=0),"",IF((COUNTIFS('Activity &amp; Event Log'!$D$5:$D$504,Settings!$O$47,'Activity &amp; Event Log'!$V$5:$V$504,"Telemetry Blind Spot")+COUNTIFS('Activity &amp; Event Log'!$D$5:$D$504,Settings!$O$47,'Activity &amp; Event Log'!$V$5:$V$504,"Missed Alert")+COUNTIFS('Activity &amp; Event Log'!$D$5:$D$504,Settings!$O$47,'Activity &amp; Event Log'!$V$5:$V$504,"Detected - SLA Breach"))&gt;=Settings!$B$11,"High","Normal"))</f>
        <v/>
      </c>
    </row>
    <row r="120" customFormat="false" ht="15" hidden="false" customHeight="false" outlineLevel="0" collapsed="false">
      <c r="B120" s="10" t="str">
        <f aca="false">IF(Settings!$O$48="","",Settings!$Q$48)</f>
        <v/>
      </c>
      <c r="C120" s="10" t="str">
        <f aca="false">IF(Settings!$O$48="","",Settings!$O$48)</f>
        <v/>
      </c>
      <c r="D120" s="10" t="str">
        <f aca="false">IF(Settings!$O$48="","",Settings!$P$48)</f>
        <v/>
      </c>
      <c r="E120" s="11" t="str">
        <f aca="false">IF(Settings!$O$48="","",COUNTIFS('Activity &amp; Event Log'!$D$5:$D$504,Settings!$O$48,'Activity &amp; Event Log'!$G$5:$G$504,"?*"))</f>
        <v/>
      </c>
      <c r="F120" s="11" t="str">
        <f aca="false">IF(Settings!$O$48="","",SUMIFS('Activity &amp; Event Log'!$W$5:$W$504,'Activity &amp; Event Log'!$D$5:$D$504,Settings!$O$48))</f>
        <v/>
      </c>
      <c r="G120" s="12" t="str">
        <f aca="false">IF(OR(Settings!$O$48="",E120=0),"",F120/E120)</f>
        <v/>
      </c>
      <c r="H120" s="15" t="str">
        <f aca="false">IF(OR(Settings!$O$48="",F120=0),"",AVERAGEIFS('Activity &amp; Event Log'!$S$5:$S$504,'Activity &amp; Event Log'!$D$5:$D$504,Settings!$O$48))</f>
        <v/>
      </c>
      <c r="I120" s="15" t="str">
        <f aca="false">IF(OR(Settings!$O$48="",F120=0),"",_xlfn.MAXIFS('Activity &amp; Event Log'!$S$5:$S$504,'Activity &amp; Event Log'!$D$5:$D$504,Settings!$O$48))</f>
        <v/>
      </c>
      <c r="J120" s="12" t="str">
        <f aca="false">IF(OR(Settings!$O$48="",E120=0),"",COUNTIFS('Activity &amp; Event Log'!$D$5:$D$504,Settings!$O$48,'Activity &amp; Event Log'!$U$5:$U$504,"Yes")/E120)</f>
        <v/>
      </c>
      <c r="K120" s="10" t="str">
        <f aca="false">IF(OR(Settings!$O$48="",E120=0),"",IF(MAX(COUNTIFS('Activity &amp; Event Log'!$D$5:$D$504,Settings!$O$48,'Activity &amp; Event Log'!$V$5:$V$504,"Telemetry Blind Spot"),COUNTIFS('Activity &amp; Event Log'!$D$5:$D$504,Settings!$O$48,'Activity &amp; Event Log'!$V$5:$V$504,"Missed Alert"),COUNTIFS('Activity &amp; Event Log'!$D$5:$D$504,Settings!$O$48,'Activity &amp; Event Log'!$V$5:$V$504,"Triage Delay"))=0,"None",IF(COUNTIFS('Activity &amp; Event Log'!$D$5:$D$504,Settings!$O$48,'Activity &amp; Event Log'!$V$5:$V$504,"Telemetry Blind Spot")&gt;=COUNTIFS('Activity &amp; Event Log'!$D$5:$D$504,Settings!$O$48,'Activity &amp; Event Log'!$V$5:$V$504,"Missed Alert"),IF(COUNTIFS('Activity &amp; Event Log'!$D$5:$D$504,Settings!$O$48,'Activity &amp; Event Log'!$V$5:$V$504,"Telemetry Blind Spot")&gt;=COUNTIFS('Activity &amp; Event Log'!$D$5:$D$504,Settings!$O$48,'Activity &amp; Event Log'!$V$5:$V$504,"Triage Delay"),"Blind Spot",IF(COUNTIFS('Activity &amp; Event Log'!$D$5:$D$504,Settings!$O$48,'Activity &amp; Event Log'!$V$5:$V$504,"Missed Alert")&gt;=COUNTIFS('Activity &amp; Event Log'!$D$5:$D$504,Settings!$O$48,'Activity &amp; Event Log'!$V$5:$V$504,"Triage Delay"),"Missed Alert","Triage Delay")),IF(COUNTIFS('Activity &amp; Event Log'!$D$5:$D$504,Settings!$O$48,'Activity &amp; Event Log'!$V$5:$V$504,"Missed Alert")&gt;=COUNTIFS('Activity &amp; Event Log'!$D$5:$D$504,Settings!$O$48,'Activity &amp; Event Log'!$V$5:$V$504,"Triage Delay"),"Missed Alert","Triage Delay"))))</f>
        <v/>
      </c>
      <c r="L120" s="10" t="str">
        <f aca="false">IF(OR(Settings!$O$48="",E120=0),"",IF((COUNTIFS('Activity &amp; Event Log'!$D$5:$D$504,Settings!$O$48,'Activity &amp; Event Log'!$V$5:$V$504,"Telemetry Blind Spot")+COUNTIFS('Activity &amp; Event Log'!$D$5:$D$504,Settings!$O$48,'Activity &amp; Event Log'!$V$5:$V$504,"Missed Alert")+COUNTIFS('Activity &amp; Event Log'!$D$5:$D$504,Settings!$O$48,'Activity &amp; Event Log'!$V$5:$V$504,"Detected - SLA Breach"))&gt;=Settings!$B$11,"High","Normal"))</f>
        <v/>
      </c>
    </row>
    <row r="121" customFormat="false" ht="15" hidden="false" customHeight="false" outlineLevel="0" collapsed="false">
      <c r="B121" s="10" t="str">
        <f aca="false">IF(Settings!$O$49="","",Settings!$Q$49)</f>
        <v/>
      </c>
      <c r="C121" s="10" t="str">
        <f aca="false">IF(Settings!$O$49="","",Settings!$O$49)</f>
        <v/>
      </c>
      <c r="D121" s="10" t="str">
        <f aca="false">IF(Settings!$O$49="","",Settings!$P$49)</f>
        <v/>
      </c>
      <c r="E121" s="11" t="str">
        <f aca="false">IF(Settings!$O$49="","",COUNTIFS('Activity &amp; Event Log'!$D$5:$D$504,Settings!$O$49,'Activity &amp; Event Log'!$G$5:$G$504,"?*"))</f>
        <v/>
      </c>
      <c r="F121" s="11" t="str">
        <f aca="false">IF(Settings!$O$49="","",SUMIFS('Activity &amp; Event Log'!$W$5:$W$504,'Activity &amp; Event Log'!$D$5:$D$504,Settings!$O$49))</f>
        <v/>
      </c>
      <c r="G121" s="12" t="str">
        <f aca="false">IF(OR(Settings!$O$49="",E121=0),"",F121/E121)</f>
        <v/>
      </c>
      <c r="H121" s="15" t="str">
        <f aca="false">IF(OR(Settings!$O$49="",F121=0),"",AVERAGEIFS('Activity &amp; Event Log'!$S$5:$S$504,'Activity &amp; Event Log'!$D$5:$D$504,Settings!$O$49))</f>
        <v/>
      </c>
      <c r="I121" s="15" t="str">
        <f aca="false">IF(OR(Settings!$O$49="",F121=0),"",_xlfn.MAXIFS('Activity &amp; Event Log'!$S$5:$S$504,'Activity &amp; Event Log'!$D$5:$D$504,Settings!$O$49))</f>
        <v/>
      </c>
      <c r="J121" s="12" t="str">
        <f aca="false">IF(OR(Settings!$O$49="",E121=0),"",COUNTIFS('Activity &amp; Event Log'!$D$5:$D$504,Settings!$O$49,'Activity &amp; Event Log'!$U$5:$U$504,"Yes")/E121)</f>
        <v/>
      </c>
      <c r="K121" s="10" t="str">
        <f aca="false">IF(OR(Settings!$O$49="",E121=0),"",IF(MAX(COUNTIFS('Activity &amp; Event Log'!$D$5:$D$504,Settings!$O$49,'Activity &amp; Event Log'!$V$5:$V$504,"Telemetry Blind Spot"),COUNTIFS('Activity &amp; Event Log'!$D$5:$D$504,Settings!$O$49,'Activity &amp; Event Log'!$V$5:$V$504,"Missed Alert"),COUNTIFS('Activity &amp; Event Log'!$D$5:$D$504,Settings!$O$49,'Activity &amp; Event Log'!$V$5:$V$504,"Triage Delay"))=0,"None",IF(COUNTIFS('Activity &amp; Event Log'!$D$5:$D$504,Settings!$O$49,'Activity &amp; Event Log'!$V$5:$V$504,"Telemetry Blind Spot")&gt;=COUNTIFS('Activity &amp; Event Log'!$D$5:$D$504,Settings!$O$49,'Activity &amp; Event Log'!$V$5:$V$504,"Missed Alert"),IF(COUNTIFS('Activity &amp; Event Log'!$D$5:$D$504,Settings!$O$49,'Activity &amp; Event Log'!$V$5:$V$504,"Telemetry Blind Spot")&gt;=COUNTIFS('Activity &amp; Event Log'!$D$5:$D$504,Settings!$O$49,'Activity &amp; Event Log'!$V$5:$V$504,"Triage Delay"),"Blind Spot",IF(COUNTIFS('Activity &amp; Event Log'!$D$5:$D$504,Settings!$O$49,'Activity &amp; Event Log'!$V$5:$V$504,"Missed Alert")&gt;=COUNTIFS('Activity &amp; Event Log'!$D$5:$D$504,Settings!$O$49,'Activity &amp; Event Log'!$V$5:$V$504,"Triage Delay"),"Missed Alert","Triage Delay")),IF(COUNTIFS('Activity &amp; Event Log'!$D$5:$D$504,Settings!$O$49,'Activity &amp; Event Log'!$V$5:$V$504,"Missed Alert")&gt;=COUNTIFS('Activity &amp; Event Log'!$D$5:$D$504,Settings!$O$49,'Activity &amp; Event Log'!$V$5:$V$504,"Triage Delay"),"Missed Alert","Triage Delay"))))</f>
        <v/>
      </c>
      <c r="L121" s="10" t="str">
        <f aca="false">IF(OR(Settings!$O$49="",E121=0),"",IF((COUNTIFS('Activity &amp; Event Log'!$D$5:$D$504,Settings!$O$49,'Activity &amp; Event Log'!$V$5:$V$504,"Telemetry Blind Spot")+COUNTIFS('Activity &amp; Event Log'!$D$5:$D$504,Settings!$O$49,'Activity &amp; Event Log'!$V$5:$V$504,"Missed Alert")+COUNTIFS('Activity &amp; Event Log'!$D$5:$D$504,Settings!$O$49,'Activity &amp; Event Log'!$V$5:$V$504,"Detected - SLA Breach"))&gt;=Settings!$B$11,"High","Normal"))</f>
        <v/>
      </c>
    </row>
    <row r="122" customFormat="false" ht="15" hidden="false" customHeight="false" outlineLevel="0" collapsed="false">
      <c r="B122" s="10" t="str">
        <f aca="false">IF(Settings!$O$50="","",Settings!$Q$50)</f>
        <v/>
      </c>
      <c r="C122" s="10" t="str">
        <f aca="false">IF(Settings!$O$50="","",Settings!$O$50)</f>
        <v/>
      </c>
      <c r="D122" s="10" t="str">
        <f aca="false">IF(Settings!$O$50="","",Settings!$P$50)</f>
        <v/>
      </c>
      <c r="E122" s="11" t="str">
        <f aca="false">IF(Settings!$O$50="","",COUNTIFS('Activity &amp; Event Log'!$D$5:$D$504,Settings!$O$50,'Activity &amp; Event Log'!$G$5:$G$504,"?*"))</f>
        <v/>
      </c>
      <c r="F122" s="11" t="str">
        <f aca="false">IF(Settings!$O$50="","",SUMIFS('Activity &amp; Event Log'!$W$5:$W$504,'Activity &amp; Event Log'!$D$5:$D$504,Settings!$O$50))</f>
        <v/>
      </c>
      <c r="G122" s="12" t="str">
        <f aca="false">IF(OR(Settings!$O$50="",E122=0),"",F122/E122)</f>
        <v/>
      </c>
      <c r="H122" s="15" t="str">
        <f aca="false">IF(OR(Settings!$O$50="",F122=0),"",AVERAGEIFS('Activity &amp; Event Log'!$S$5:$S$504,'Activity &amp; Event Log'!$D$5:$D$504,Settings!$O$50))</f>
        <v/>
      </c>
      <c r="I122" s="15" t="str">
        <f aca="false">IF(OR(Settings!$O$50="",F122=0),"",_xlfn.MAXIFS('Activity &amp; Event Log'!$S$5:$S$504,'Activity &amp; Event Log'!$D$5:$D$504,Settings!$O$50))</f>
        <v/>
      </c>
      <c r="J122" s="12" t="str">
        <f aca="false">IF(OR(Settings!$O$50="",E122=0),"",COUNTIFS('Activity &amp; Event Log'!$D$5:$D$504,Settings!$O$50,'Activity &amp; Event Log'!$U$5:$U$504,"Yes")/E122)</f>
        <v/>
      </c>
      <c r="K122" s="10" t="str">
        <f aca="false">IF(OR(Settings!$O$50="",E122=0),"",IF(MAX(COUNTIFS('Activity &amp; Event Log'!$D$5:$D$504,Settings!$O$50,'Activity &amp; Event Log'!$V$5:$V$504,"Telemetry Blind Spot"),COUNTIFS('Activity &amp; Event Log'!$D$5:$D$504,Settings!$O$50,'Activity &amp; Event Log'!$V$5:$V$504,"Missed Alert"),COUNTIFS('Activity &amp; Event Log'!$D$5:$D$504,Settings!$O$50,'Activity &amp; Event Log'!$V$5:$V$504,"Triage Delay"))=0,"None",IF(COUNTIFS('Activity &amp; Event Log'!$D$5:$D$504,Settings!$O$50,'Activity &amp; Event Log'!$V$5:$V$504,"Telemetry Blind Spot")&gt;=COUNTIFS('Activity &amp; Event Log'!$D$5:$D$504,Settings!$O$50,'Activity &amp; Event Log'!$V$5:$V$504,"Missed Alert"),IF(COUNTIFS('Activity &amp; Event Log'!$D$5:$D$504,Settings!$O$50,'Activity &amp; Event Log'!$V$5:$V$504,"Telemetry Blind Spot")&gt;=COUNTIFS('Activity &amp; Event Log'!$D$5:$D$504,Settings!$O$50,'Activity &amp; Event Log'!$V$5:$V$504,"Triage Delay"),"Blind Spot",IF(COUNTIFS('Activity &amp; Event Log'!$D$5:$D$504,Settings!$O$50,'Activity &amp; Event Log'!$V$5:$V$504,"Missed Alert")&gt;=COUNTIFS('Activity &amp; Event Log'!$D$5:$D$504,Settings!$O$50,'Activity &amp; Event Log'!$V$5:$V$504,"Triage Delay"),"Missed Alert","Triage Delay")),IF(COUNTIFS('Activity &amp; Event Log'!$D$5:$D$504,Settings!$O$50,'Activity &amp; Event Log'!$V$5:$V$504,"Missed Alert")&gt;=COUNTIFS('Activity &amp; Event Log'!$D$5:$D$504,Settings!$O$50,'Activity &amp; Event Log'!$V$5:$V$504,"Triage Delay"),"Missed Alert","Triage Delay"))))</f>
        <v/>
      </c>
      <c r="L122" s="10" t="str">
        <f aca="false">IF(OR(Settings!$O$50="",E122=0),"",IF((COUNTIFS('Activity &amp; Event Log'!$D$5:$D$504,Settings!$O$50,'Activity &amp; Event Log'!$V$5:$V$504,"Telemetry Blind Spot")+COUNTIFS('Activity &amp; Event Log'!$D$5:$D$504,Settings!$O$50,'Activity &amp; Event Log'!$V$5:$V$504,"Missed Alert")+COUNTIFS('Activity &amp; Event Log'!$D$5:$D$504,Settings!$O$50,'Activity &amp; Event Log'!$V$5:$V$504,"Detected - SLA Breach"))&gt;=Settings!$B$11,"High","Normal"))</f>
        <v/>
      </c>
    </row>
    <row r="123" customFormat="false" ht="15" hidden="false" customHeight="false" outlineLevel="0" collapsed="false">
      <c r="B123" s="10" t="str">
        <f aca="false">IF(Settings!$O$51="","",Settings!$Q$51)</f>
        <v/>
      </c>
      <c r="C123" s="10" t="str">
        <f aca="false">IF(Settings!$O$51="","",Settings!$O$51)</f>
        <v/>
      </c>
      <c r="D123" s="10" t="str">
        <f aca="false">IF(Settings!$O$51="","",Settings!$P$51)</f>
        <v/>
      </c>
      <c r="E123" s="11" t="str">
        <f aca="false">IF(Settings!$O$51="","",COUNTIFS('Activity &amp; Event Log'!$D$5:$D$504,Settings!$O$51,'Activity &amp; Event Log'!$G$5:$G$504,"?*"))</f>
        <v/>
      </c>
      <c r="F123" s="11" t="str">
        <f aca="false">IF(Settings!$O$51="","",SUMIFS('Activity &amp; Event Log'!$W$5:$W$504,'Activity &amp; Event Log'!$D$5:$D$504,Settings!$O$51))</f>
        <v/>
      </c>
      <c r="G123" s="12" t="str">
        <f aca="false">IF(OR(Settings!$O$51="",E123=0),"",F123/E123)</f>
        <v/>
      </c>
      <c r="H123" s="15" t="str">
        <f aca="false">IF(OR(Settings!$O$51="",F123=0),"",AVERAGEIFS('Activity &amp; Event Log'!$S$5:$S$504,'Activity &amp; Event Log'!$D$5:$D$504,Settings!$O$51))</f>
        <v/>
      </c>
      <c r="I123" s="15" t="str">
        <f aca="false">IF(OR(Settings!$O$51="",F123=0),"",_xlfn.MAXIFS('Activity &amp; Event Log'!$S$5:$S$504,'Activity &amp; Event Log'!$D$5:$D$504,Settings!$O$51))</f>
        <v/>
      </c>
      <c r="J123" s="12" t="str">
        <f aca="false">IF(OR(Settings!$O$51="",E123=0),"",COUNTIFS('Activity &amp; Event Log'!$D$5:$D$504,Settings!$O$51,'Activity &amp; Event Log'!$U$5:$U$504,"Yes")/E123)</f>
        <v/>
      </c>
      <c r="K123" s="10" t="str">
        <f aca="false">IF(OR(Settings!$O$51="",E123=0),"",IF(MAX(COUNTIFS('Activity &amp; Event Log'!$D$5:$D$504,Settings!$O$51,'Activity &amp; Event Log'!$V$5:$V$504,"Telemetry Blind Spot"),COUNTIFS('Activity &amp; Event Log'!$D$5:$D$504,Settings!$O$51,'Activity &amp; Event Log'!$V$5:$V$504,"Missed Alert"),COUNTIFS('Activity &amp; Event Log'!$D$5:$D$504,Settings!$O$51,'Activity &amp; Event Log'!$V$5:$V$504,"Triage Delay"))=0,"None",IF(COUNTIFS('Activity &amp; Event Log'!$D$5:$D$504,Settings!$O$51,'Activity &amp; Event Log'!$V$5:$V$504,"Telemetry Blind Spot")&gt;=COUNTIFS('Activity &amp; Event Log'!$D$5:$D$504,Settings!$O$51,'Activity &amp; Event Log'!$V$5:$V$504,"Missed Alert"),IF(COUNTIFS('Activity &amp; Event Log'!$D$5:$D$504,Settings!$O$51,'Activity &amp; Event Log'!$V$5:$V$504,"Telemetry Blind Spot")&gt;=COUNTIFS('Activity &amp; Event Log'!$D$5:$D$504,Settings!$O$51,'Activity &amp; Event Log'!$V$5:$V$504,"Triage Delay"),"Blind Spot",IF(COUNTIFS('Activity &amp; Event Log'!$D$5:$D$504,Settings!$O$51,'Activity &amp; Event Log'!$V$5:$V$504,"Missed Alert")&gt;=COUNTIFS('Activity &amp; Event Log'!$D$5:$D$504,Settings!$O$51,'Activity &amp; Event Log'!$V$5:$V$504,"Triage Delay"),"Missed Alert","Triage Delay")),IF(COUNTIFS('Activity &amp; Event Log'!$D$5:$D$504,Settings!$O$51,'Activity &amp; Event Log'!$V$5:$V$504,"Missed Alert")&gt;=COUNTIFS('Activity &amp; Event Log'!$D$5:$D$504,Settings!$O$51,'Activity &amp; Event Log'!$V$5:$V$504,"Triage Delay"),"Missed Alert","Triage Delay"))))</f>
        <v/>
      </c>
      <c r="L123" s="10" t="str">
        <f aca="false">IF(OR(Settings!$O$51="",E123=0),"",IF((COUNTIFS('Activity &amp; Event Log'!$D$5:$D$504,Settings!$O$51,'Activity &amp; Event Log'!$V$5:$V$504,"Telemetry Blind Spot")+COUNTIFS('Activity &amp; Event Log'!$D$5:$D$504,Settings!$O$51,'Activity &amp; Event Log'!$V$5:$V$504,"Missed Alert")+COUNTIFS('Activity &amp; Event Log'!$D$5:$D$504,Settings!$O$51,'Activity &amp; Event Log'!$V$5:$V$504,"Detected - SLA Breach"))&gt;=Settings!$B$11,"High","Normal"))</f>
        <v/>
      </c>
    </row>
    <row r="124" customFormat="false" ht="15" hidden="false" customHeight="false" outlineLevel="0" collapsed="false">
      <c r="B124" s="10" t="str">
        <f aca="false">IF(Settings!$O$52="","",Settings!$Q$52)</f>
        <v/>
      </c>
      <c r="C124" s="10" t="str">
        <f aca="false">IF(Settings!$O$52="","",Settings!$O$52)</f>
        <v/>
      </c>
      <c r="D124" s="10" t="str">
        <f aca="false">IF(Settings!$O$52="","",Settings!$P$52)</f>
        <v/>
      </c>
      <c r="E124" s="11" t="str">
        <f aca="false">IF(Settings!$O$52="","",COUNTIFS('Activity &amp; Event Log'!$D$5:$D$504,Settings!$O$52,'Activity &amp; Event Log'!$G$5:$G$504,"?*"))</f>
        <v/>
      </c>
      <c r="F124" s="11" t="str">
        <f aca="false">IF(Settings!$O$52="","",SUMIFS('Activity &amp; Event Log'!$W$5:$W$504,'Activity &amp; Event Log'!$D$5:$D$504,Settings!$O$52))</f>
        <v/>
      </c>
      <c r="G124" s="12" t="str">
        <f aca="false">IF(OR(Settings!$O$52="",E124=0),"",F124/E124)</f>
        <v/>
      </c>
      <c r="H124" s="15" t="str">
        <f aca="false">IF(OR(Settings!$O$52="",F124=0),"",AVERAGEIFS('Activity &amp; Event Log'!$S$5:$S$504,'Activity &amp; Event Log'!$D$5:$D$504,Settings!$O$52))</f>
        <v/>
      </c>
      <c r="I124" s="15" t="str">
        <f aca="false">IF(OR(Settings!$O$52="",F124=0),"",_xlfn.MAXIFS('Activity &amp; Event Log'!$S$5:$S$504,'Activity &amp; Event Log'!$D$5:$D$504,Settings!$O$52))</f>
        <v/>
      </c>
      <c r="J124" s="12" t="str">
        <f aca="false">IF(OR(Settings!$O$52="",E124=0),"",COUNTIFS('Activity &amp; Event Log'!$D$5:$D$504,Settings!$O$52,'Activity &amp; Event Log'!$U$5:$U$504,"Yes")/E124)</f>
        <v/>
      </c>
      <c r="K124" s="10" t="str">
        <f aca="false">IF(OR(Settings!$O$52="",E124=0),"",IF(MAX(COUNTIFS('Activity &amp; Event Log'!$D$5:$D$504,Settings!$O$52,'Activity &amp; Event Log'!$V$5:$V$504,"Telemetry Blind Spot"),COUNTIFS('Activity &amp; Event Log'!$D$5:$D$504,Settings!$O$52,'Activity &amp; Event Log'!$V$5:$V$504,"Missed Alert"),COUNTIFS('Activity &amp; Event Log'!$D$5:$D$504,Settings!$O$52,'Activity &amp; Event Log'!$V$5:$V$504,"Triage Delay"))=0,"None",IF(COUNTIFS('Activity &amp; Event Log'!$D$5:$D$504,Settings!$O$52,'Activity &amp; Event Log'!$V$5:$V$504,"Telemetry Blind Spot")&gt;=COUNTIFS('Activity &amp; Event Log'!$D$5:$D$504,Settings!$O$52,'Activity &amp; Event Log'!$V$5:$V$504,"Missed Alert"),IF(COUNTIFS('Activity &amp; Event Log'!$D$5:$D$504,Settings!$O$52,'Activity &amp; Event Log'!$V$5:$V$504,"Telemetry Blind Spot")&gt;=COUNTIFS('Activity &amp; Event Log'!$D$5:$D$504,Settings!$O$52,'Activity &amp; Event Log'!$V$5:$V$504,"Triage Delay"),"Blind Spot",IF(COUNTIFS('Activity &amp; Event Log'!$D$5:$D$504,Settings!$O$52,'Activity &amp; Event Log'!$V$5:$V$504,"Missed Alert")&gt;=COUNTIFS('Activity &amp; Event Log'!$D$5:$D$504,Settings!$O$52,'Activity &amp; Event Log'!$V$5:$V$504,"Triage Delay"),"Missed Alert","Triage Delay")),IF(COUNTIFS('Activity &amp; Event Log'!$D$5:$D$504,Settings!$O$52,'Activity &amp; Event Log'!$V$5:$V$504,"Missed Alert")&gt;=COUNTIFS('Activity &amp; Event Log'!$D$5:$D$504,Settings!$O$52,'Activity &amp; Event Log'!$V$5:$V$504,"Triage Delay"),"Missed Alert","Triage Delay"))))</f>
        <v/>
      </c>
      <c r="L124" s="10" t="str">
        <f aca="false">IF(OR(Settings!$O$52="",E124=0),"",IF((COUNTIFS('Activity &amp; Event Log'!$D$5:$D$504,Settings!$O$52,'Activity &amp; Event Log'!$V$5:$V$504,"Telemetry Blind Spot")+COUNTIFS('Activity &amp; Event Log'!$D$5:$D$504,Settings!$O$52,'Activity &amp; Event Log'!$V$5:$V$504,"Missed Alert")+COUNTIFS('Activity &amp; Event Log'!$D$5:$D$504,Settings!$O$52,'Activity &amp; Event Log'!$V$5:$V$504,"Detected - SLA Breach"))&gt;=Settings!$B$11,"High","Normal"))</f>
        <v/>
      </c>
    </row>
    <row r="125" customFormat="false" ht="15" hidden="false" customHeight="false" outlineLevel="0" collapsed="false">
      <c r="B125" s="10" t="str">
        <f aca="false">IF(Settings!$O$53="","",Settings!$Q$53)</f>
        <v/>
      </c>
      <c r="C125" s="10" t="str">
        <f aca="false">IF(Settings!$O$53="","",Settings!$O$53)</f>
        <v/>
      </c>
      <c r="D125" s="10" t="str">
        <f aca="false">IF(Settings!$O$53="","",Settings!$P$53)</f>
        <v/>
      </c>
      <c r="E125" s="11" t="str">
        <f aca="false">IF(Settings!$O$53="","",COUNTIFS('Activity &amp; Event Log'!$D$5:$D$504,Settings!$O$53,'Activity &amp; Event Log'!$G$5:$G$504,"?*"))</f>
        <v/>
      </c>
      <c r="F125" s="11" t="str">
        <f aca="false">IF(Settings!$O$53="","",SUMIFS('Activity &amp; Event Log'!$W$5:$W$504,'Activity &amp; Event Log'!$D$5:$D$504,Settings!$O$53))</f>
        <v/>
      </c>
      <c r="G125" s="12" t="str">
        <f aca="false">IF(OR(Settings!$O$53="",E125=0),"",F125/E125)</f>
        <v/>
      </c>
      <c r="H125" s="15" t="str">
        <f aca="false">IF(OR(Settings!$O$53="",F125=0),"",AVERAGEIFS('Activity &amp; Event Log'!$S$5:$S$504,'Activity &amp; Event Log'!$D$5:$D$504,Settings!$O$53))</f>
        <v/>
      </c>
      <c r="I125" s="15" t="str">
        <f aca="false">IF(OR(Settings!$O$53="",F125=0),"",_xlfn.MAXIFS('Activity &amp; Event Log'!$S$5:$S$504,'Activity &amp; Event Log'!$D$5:$D$504,Settings!$O$53))</f>
        <v/>
      </c>
      <c r="J125" s="12" t="str">
        <f aca="false">IF(OR(Settings!$O$53="",E125=0),"",COUNTIFS('Activity &amp; Event Log'!$D$5:$D$504,Settings!$O$53,'Activity &amp; Event Log'!$U$5:$U$504,"Yes")/E125)</f>
        <v/>
      </c>
      <c r="K125" s="10" t="str">
        <f aca="false">IF(OR(Settings!$O$53="",E125=0),"",IF(MAX(COUNTIFS('Activity &amp; Event Log'!$D$5:$D$504,Settings!$O$53,'Activity &amp; Event Log'!$V$5:$V$504,"Telemetry Blind Spot"),COUNTIFS('Activity &amp; Event Log'!$D$5:$D$504,Settings!$O$53,'Activity &amp; Event Log'!$V$5:$V$504,"Missed Alert"),COUNTIFS('Activity &amp; Event Log'!$D$5:$D$504,Settings!$O$53,'Activity &amp; Event Log'!$V$5:$V$504,"Triage Delay"))=0,"None",IF(COUNTIFS('Activity &amp; Event Log'!$D$5:$D$504,Settings!$O$53,'Activity &amp; Event Log'!$V$5:$V$504,"Telemetry Blind Spot")&gt;=COUNTIFS('Activity &amp; Event Log'!$D$5:$D$504,Settings!$O$53,'Activity &amp; Event Log'!$V$5:$V$504,"Missed Alert"),IF(COUNTIFS('Activity &amp; Event Log'!$D$5:$D$504,Settings!$O$53,'Activity &amp; Event Log'!$V$5:$V$504,"Telemetry Blind Spot")&gt;=COUNTIFS('Activity &amp; Event Log'!$D$5:$D$504,Settings!$O$53,'Activity &amp; Event Log'!$V$5:$V$504,"Triage Delay"),"Blind Spot",IF(COUNTIFS('Activity &amp; Event Log'!$D$5:$D$504,Settings!$O$53,'Activity &amp; Event Log'!$V$5:$V$504,"Missed Alert")&gt;=COUNTIFS('Activity &amp; Event Log'!$D$5:$D$504,Settings!$O$53,'Activity &amp; Event Log'!$V$5:$V$504,"Triage Delay"),"Missed Alert","Triage Delay")),IF(COUNTIFS('Activity &amp; Event Log'!$D$5:$D$504,Settings!$O$53,'Activity &amp; Event Log'!$V$5:$V$504,"Missed Alert")&gt;=COUNTIFS('Activity &amp; Event Log'!$D$5:$D$504,Settings!$O$53,'Activity &amp; Event Log'!$V$5:$V$504,"Triage Delay"),"Missed Alert","Triage Delay"))))</f>
        <v/>
      </c>
      <c r="L125" s="10" t="str">
        <f aca="false">IF(OR(Settings!$O$53="",E125=0),"",IF((COUNTIFS('Activity &amp; Event Log'!$D$5:$D$504,Settings!$O$53,'Activity &amp; Event Log'!$V$5:$V$504,"Telemetry Blind Spot")+COUNTIFS('Activity &amp; Event Log'!$D$5:$D$504,Settings!$O$53,'Activity &amp; Event Log'!$V$5:$V$504,"Missed Alert")+COUNTIFS('Activity &amp; Event Log'!$D$5:$D$504,Settings!$O$53,'Activity &amp; Event Log'!$V$5:$V$504,"Detected - SLA Breach"))&gt;=Settings!$B$11,"High","Normal"))</f>
        <v/>
      </c>
    </row>
    <row r="126" customFormat="false" ht="15" hidden="false" customHeight="false" outlineLevel="0" collapsed="false">
      <c r="B126" s="10" t="str">
        <f aca="false">IF(Settings!$O$54="","",Settings!$Q$54)</f>
        <v/>
      </c>
      <c r="C126" s="10" t="str">
        <f aca="false">IF(Settings!$O$54="","",Settings!$O$54)</f>
        <v/>
      </c>
      <c r="D126" s="10" t="str">
        <f aca="false">IF(Settings!$O$54="","",Settings!$P$54)</f>
        <v/>
      </c>
      <c r="E126" s="11" t="str">
        <f aca="false">IF(Settings!$O$54="","",COUNTIFS('Activity &amp; Event Log'!$D$5:$D$504,Settings!$O$54,'Activity &amp; Event Log'!$G$5:$G$504,"?*"))</f>
        <v/>
      </c>
      <c r="F126" s="11" t="str">
        <f aca="false">IF(Settings!$O$54="","",SUMIFS('Activity &amp; Event Log'!$W$5:$W$504,'Activity &amp; Event Log'!$D$5:$D$504,Settings!$O$54))</f>
        <v/>
      </c>
      <c r="G126" s="12" t="str">
        <f aca="false">IF(OR(Settings!$O$54="",E126=0),"",F126/E126)</f>
        <v/>
      </c>
      <c r="H126" s="15" t="str">
        <f aca="false">IF(OR(Settings!$O$54="",F126=0),"",AVERAGEIFS('Activity &amp; Event Log'!$S$5:$S$504,'Activity &amp; Event Log'!$D$5:$D$504,Settings!$O$54))</f>
        <v/>
      </c>
      <c r="I126" s="15" t="str">
        <f aca="false">IF(OR(Settings!$O$54="",F126=0),"",_xlfn.MAXIFS('Activity &amp; Event Log'!$S$5:$S$504,'Activity &amp; Event Log'!$D$5:$D$504,Settings!$O$54))</f>
        <v/>
      </c>
      <c r="J126" s="12" t="str">
        <f aca="false">IF(OR(Settings!$O$54="",E126=0),"",COUNTIFS('Activity &amp; Event Log'!$D$5:$D$504,Settings!$O$54,'Activity &amp; Event Log'!$U$5:$U$504,"Yes")/E126)</f>
        <v/>
      </c>
      <c r="K126" s="10" t="str">
        <f aca="false">IF(OR(Settings!$O$54="",E126=0),"",IF(MAX(COUNTIFS('Activity &amp; Event Log'!$D$5:$D$504,Settings!$O$54,'Activity &amp; Event Log'!$V$5:$V$504,"Telemetry Blind Spot"),COUNTIFS('Activity &amp; Event Log'!$D$5:$D$504,Settings!$O$54,'Activity &amp; Event Log'!$V$5:$V$504,"Missed Alert"),COUNTIFS('Activity &amp; Event Log'!$D$5:$D$504,Settings!$O$54,'Activity &amp; Event Log'!$V$5:$V$504,"Triage Delay"))=0,"None",IF(COUNTIFS('Activity &amp; Event Log'!$D$5:$D$504,Settings!$O$54,'Activity &amp; Event Log'!$V$5:$V$504,"Telemetry Blind Spot")&gt;=COUNTIFS('Activity &amp; Event Log'!$D$5:$D$504,Settings!$O$54,'Activity &amp; Event Log'!$V$5:$V$504,"Missed Alert"),IF(COUNTIFS('Activity &amp; Event Log'!$D$5:$D$504,Settings!$O$54,'Activity &amp; Event Log'!$V$5:$V$504,"Telemetry Blind Spot")&gt;=COUNTIFS('Activity &amp; Event Log'!$D$5:$D$504,Settings!$O$54,'Activity &amp; Event Log'!$V$5:$V$504,"Triage Delay"),"Blind Spot",IF(COUNTIFS('Activity &amp; Event Log'!$D$5:$D$504,Settings!$O$54,'Activity &amp; Event Log'!$V$5:$V$504,"Missed Alert")&gt;=COUNTIFS('Activity &amp; Event Log'!$D$5:$D$504,Settings!$O$54,'Activity &amp; Event Log'!$V$5:$V$504,"Triage Delay"),"Missed Alert","Triage Delay")),IF(COUNTIFS('Activity &amp; Event Log'!$D$5:$D$504,Settings!$O$54,'Activity &amp; Event Log'!$V$5:$V$504,"Missed Alert")&gt;=COUNTIFS('Activity &amp; Event Log'!$D$5:$D$504,Settings!$O$54,'Activity &amp; Event Log'!$V$5:$V$504,"Triage Delay"),"Missed Alert","Triage Delay"))))</f>
        <v/>
      </c>
      <c r="L126" s="10" t="str">
        <f aca="false">IF(OR(Settings!$O$54="",E126=0),"",IF((COUNTIFS('Activity &amp; Event Log'!$D$5:$D$504,Settings!$O$54,'Activity &amp; Event Log'!$V$5:$V$504,"Telemetry Blind Spot")+COUNTIFS('Activity &amp; Event Log'!$D$5:$D$504,Settings!$O$54,'Activity &amp; Event Log'!$V$5:$V$504,"Missed Alert")+COUNTIFS('Activity &amp; Event Log'!$D$5:$D$504,Settings!$O$54,'Activity &amp; Event Log'!$V$5:$V$504,"Detected - SLA Breach"))&gt;=Settings!$B$11,"High","Normal"))</f>
        <v/>
      </c>
    </row>
    <row r="127" customFormat="false" ht="15" hidden="false" customHeight="false" outlineLevel="0" collapsed="false">
      <c r="B127" s="10" t="str">
        <f aca="false">IF(Settings!$O$55="","",Settings!$Q$55)</f>
        <v/>
      </c>
      <c r="C127" s="10" t="str">
        <f aca="false">IF(Settings!$O$55="","",Settings!$O$55)</f>
        <v/>
      </c>
      <c r="D127" s="10" t="str">
        <f aca="false">IF(Settings!$O$55="","",Settings!$P$55)</f>
        <v/>
      </c>
      <c r="E127" s="11" t="str">
        <f aca="false">IF(Settings!$O$55="","",COUNTIFS('Activity &amp; Event Log'!$D$5:$D$504,Settings!$O$55,'Activity &amp; Event Log'!$G$5:$G$504,"?*"))</f>
        <v/>
      </c>
      <c r="F127" s="11" t="str">
        <f aca="false">IF(Settings!$O$55="","",SUMIFS('Activity &amp; Event Log'!$W$5:$W$504,'Activity &amp; Event Log'!$D$5:$D$504,Settings!$O$55))</f>
        <v/>
      </c>
      <c r="G127" s="12" t="str">
        <f aca="false">IF(OR(Settings!$O$55="",E127=0),"",F127/E127)</f>
        <v/>
      </c>
      <c r="H127" s="15" t="str">
        <f aca="false">IF(OR(Settings!$O$55="",F127=0),"",AVERAGEIFS('Activity &amp; Event Log'!$S$5:$S$504,'Activity &amp; Event Log'!$D$5:$D$504,Settings!$O$55))</f>
        <v/>
      </c>
      <c r="I127" s="15" t="str">
        <f aca="false">IF(OR(Settings!$O$55="",F127=0),"",_xlfn.MAXIFS('Activity &amp; Event Log'!$S$5:$S$504,'Activity &amp; Event Log'!$D$5:$D$504,Settings!$O$55))</f>
        <v/>
      </c>
      <c r="J127" s="12" t="str">
        <f aca="false">IF(OR(Settings!$O$55="",E127=0),"",COUNTIFS('Activity &amp; Event Log'!$D$5:$D$504,Settings!$O$55,'Activity &amp; Event Log'!$U$5:$U$504,"Yes")/E127)</f>
        <v/>
      </c>
      <c r="K127" s="10" t="str">
        <f aca="false">IF(OR(Settings!$O$55="",E127=0),"",IF(MAX(COUNTIFS('Activity &amp; Event Log'!$D$5:$D$504,Settings!$O$55,'Activity &amp; Event Log'!$V$5:$V$504,"Telemetry Blind Spot"),COUNTIFS('Activity &amp; Event Log'!$D$5:$D$504,Settings!$O$55,'Activity &amp; Event Log'!$V$5:$V$504,"Missed Alert"),COUNTIFS('Activity &amp; Event Log'!$D$5:$D$504,Settings!$O$55,'Activity &amp; Event Log'!$V$5:$V$504,"Triage Delay"))=0,"None",IF(COUNTIFS('Activity &amp; Event Log'!$D$5:$D$504,Settings!$O$55,'Activity &amp; Event Log'!$V$5:$V$504,"Telemetry Blind Spot")&gt;=COUNTIFS('Activity &amp; Event Log'!$D$5:$D$504,Settings!$O$55,'Activity &amp; Event Log'!$V$5:$V$504,"Missed Alert"),IF(COUNTIFS('Activity &amp; Event Log'!$D$5:$D$504,Settings!$O$55,'Activity &amp; Event Log'!$V$5:$V$504,"Telemetry Blind Spot")&gt;=COUNTIFS('Activity &amp; Event Log'!$D$5:$D$504,Settings!$O$55,'Activity &amp; Event Log'!$V$5:$V$504,"Triage Delay"),"Blind Spot",IF(COUNTIFS('Activity &amp; Event Log'!$D$5:$D$504,Settings!$O$55,'Activity &amp; Event Log'!$V$5:$V$504,"Missed Alert")&gt;=COUNTIFS('Activity &amp; Event Log'!$D$5:$D$504,Settings!$O$55,'Activity &amp; Event Log'!$V$5:$V$504,"Triage Delay"),"Missed Alert","Triage Delay")),IF(COUNTIFS('Activity &amp; Event Log'!$D$5:$D$504,Settings!$O$55,'Activity &amp; Event Log'!$V$5:$V$504,"Missed Alert")&gt;=COUNTIFS('Activity &amp; Event Log'!$D$5:$D$504,Settings!$O$55,'Activity &amp; Event Log'!$V$5:$V$504,"Triage Delay"),"Missed Alert","Triage Delay"))))</f>
        <v/>
      </c>
      <c r="L127" s="10" t="str">
        <f aca="false">IF(OR(Settings!$O$55="",E127=0),"",IF((COUNTIFS('Activity &amp; Event Log'!$D$5:$D$504,Settings!$O$55,'Activity &amp; Event Log'!$V$5:$V$504,"Telemetry Blind Spot")+COUNTIFS('Activity &amp; Event Log'!$D$5:$D$504,Settings!$O$55,'Activity &amp; Event Log'!$V$5:$V$504,"Missed Alert")+COUNTIFS('Activity &amp; Event Log'!$D$5:$D$504,Settings!$O$55,'Activity &amp; Event Log'!$V$5:$V$504,"Detected - SLA Breach"))&gt;=Settings!$B$11,"High","Normal"))</f>
        <v/>
      </c>
    </row>
    <row r="128" customFormat="false" ht="15" hidden="false" customHeight="false" outlineLevel="0" collapsed="false">
      <c r="B128" s="10" t="str">
        <f aca="false">IF(Settings!$O$56="","",Settings!$Q$56)</f>
        <v/>
      </c>
      <c r="C128" s="10" t="str">
        <f aca="false">IF(Settings!$O$56="","",Settings!$O$56)</f>
        <v/>
      </c>
      <c r="D128" s="10" t="str">
        <f aca="false">IF(Settings!$O$56="","",Settings!$P$56)</f>
        <v/>
      </c>
      <c r="E128" s="11" t="str">
        <f aca="false">IF(Settings!$O$56="","",COUNTIFS('Activity &amp; Event Log'!$D$5:$D$504,Settings!$O$56,'Activity &amp; Event Log'!$G$5:$G$504,"?*"))</f>
        <v/>
      </c>
      <c r="F128" s="11" t="str">
        <f aca="false">IF(Settings!$O$56="","",SUMIFS('Activity &amp; Event Log'!$W$5:$W$504,'Activity &amp; Event Log'!$D$5:$D$504,Settings!$O$56))</f>
        <v/>
      </c>
      <c r="G128" s="12" t="str">
        <f aca="false">IF(OR(Settings!$O$56="",E128=0),"",F128/E128)</f>
        <v/>
      </c>
      <c r="H128" s="15" t="str">
        <f aca="false">IF(OR(Settings!$O$56="",F128=0),"",AVERAGEIFS('Activity &amp; Event Log'!$S$5:$S$504,'Activity &amp; Event Log'!$D$5:$D$504,Settings!$O$56))</f>
        <v/>
      </c>
      <c r="I128" s="15" t="str">
        <f aca="false">IF(OR(Settings!$O$56="",F128=0),"",_xlfn.MAXIFS('Activity &amp; Event Log'!$S$5:$S$504,'Activity &amp; Event Log'!$D$5:$D$504,Settings!$O$56))</f>
        <v/>
      </c>
      <c r="J128" s="12" t="str">
        <f aca="false">IF(OR(Settings!$O$56="",E128=0),"",COUNTIFS('Activity &amp; Event Log'!$D$5:$D$504,Settings!$O$56,'Activity &amp; Event Log'!$U$5:$U$504,"Yes")/E128)</f>
        <v/>
      </c>
      <c r="K128" s="10" t="str">
        <f aca="false">IF(OR(Settings!$O$56="",E128=0),"",IF(MAX(COUNTIFS('Activity &amp; Event Log'!$D$5:$D$504,Settings!$O$56,'Activity &amp; Event Log'!$V$5:$V$504,"Telemetry Blind Spot"),COUNTIFS('Activity &amp; Event Log'!$D$5:$D$504,Settings!$O$56,'Activity &amp; Event Log'!$V$5:$V$504,"Missed Alert"),COUNTIFS('Activity &amp; Event Log'!$D$5:$D$504,Settings!$O$56,'Activity &amp; Event Log'!$V$5:$V$504,"Triage Delay"))=0,"None",IF(COUNTIFS('Activity &amp; Event Log'!$D$5:$D$504,Settings!$O$56,'Activity &amp; Event Log'!$V$5:$V$504,"Telemetry Blind Spot")&gt;=COUNTIFS('Activity &amp; Event Log'!$D$5:$D$504,Settings!$O$56,'Activity &amp; Event Log'!$V$5:$V$504,"Missed Alert"),IF(COUNTIFS('Activity &amp; Event Log'!$D$5:$D$504,Settings!$O$56,'Activity &amp; Event Log'!$V$5:$V$504,"Telemetry Blind Spot")&gt;=COUNTIFS('Activity &amp; Event Log'!$D$5:$D$504,Settings!$O$56,'Activity &amp; Event Log'!$V$5:$V$504,"Triage Delay"),"Blind Spot",IF(COUNTIFS('Activity &amp; Event Log'!$D$5:$D$504,Settings!$O$56,'Activity &amp; Event Log'!$V$5:$V$504,"Missed Alert")&gt;=COUNTIFS('Activity &amp; Event Log'!$D$5:$D$504,Settings!$O$56,'Activity &amp; Event Log'!$V$5:$V$504,"Triage Delay"),"Missed Alert","Triage Delay")),IF(COUNTIFS('Activity &amp; Event Log'!$D$5:$D$504,Settings!$O$56,'Activity &amp; Event Log'!$V$5:$V$504,"Missed Alert")&gt;=COUNTIFS('Activity &amp; Event Log'!$D$5:$D$504,Settings!$O$56,'Activity &amp; Event Log'!$V$5:$V$504,"Triage Delay"),"Missed Alert","Triage Delay"))))</f>
        <v/>
      </c>
      <c r="L128" s="10" t="str">
        <f aca="false">IF(OR(Settings!$O$56="",E128=0),"",IF((COUNTIFS('Activity &amp; Event Log'!$D$5:$D$504,Settings!$O$56,'Activity &amp; Event Log'!$V$5:$V$504,"Telemetry Blind Spot")+COUNTIFS('Activity &amp; Event Log'!$D$5:$D$504,Settings!$O$56,'Activity &amp; Event Log'!$V$5:$V$504,"Missed Alert")+COUNTIFS('Activity &amp; Event Log'!$D$5:$D$504,Settings!$O$56,'Activity &amp; Event Log'!$V$5:$V$504,"Detected - SLA Breach"))&gt;=Settings!$B$11,"High","Normal"))</f>
        <v/>
      </c>
    </row>
    <row r="129" customFormat="false" ht="15" hidden="false" customHeight="false" outlineLevel="0" collapsed="false">
      <c r="B129" s="10" t="str">
        <f aca="false">IF(Settings!$O$57="","",Settings!$Q$57)</f>
        <v/>
      </c>
      <c r="C129" s="10" t="str">
        <f aca="false">IF(Settings!$O$57="","",Settings!$O$57)</f>
        <v/>
      </c>
      <c r="D129" s="10" t="str">
        <f aca="false">IF(Settings!$O$57="","",Settings!$P$57)</f>
        <v/>
      </c>
      <c r="E129" s="11" t="str">
        <f aca="false">IF(Settings!$O$57="","",COUNTIFS('Activity &amp; Event Log'!$D$5:$D$504,Settings!$O$57,'Activity &amp; Event Log'!$G$5:$G$504,"?*"))</f>
        <v/>
      </c>
      <c r="F129" s="11" t="str">
        <f aca="false">IF(Settings!$O$57="","",SUMIFS('Activity &amp; Event Log'!$W$5:$W$504,'Activity &amp; Event Log'!$D$5:$D$504,Settings!$O$57))</f>
        <v/>
      </c>
      <c r="G129" s="12" t="str">
        <f aca="false">IF(OR(Settings!$O$57="",E129=0),"",F129/E129)</f>
        <v/>
      </c>
      <c r="H129" s="15" t="str">
        <f aca="false">IF(OR(Settings!$O$57="",F129=0),"",AVERAGEIFS('Activity &amp; Event Log'!$S$5:$S$504,'Activity &amp; Event Log'!$D$5:$D$504,Settings!$O$57))</f>
        <v/>
      </c>
      <c r="I129" s="15" t="str">
        <f aca="false">IF(OR(Settings!$O$57="",F129=0),"",_xlfn.MAXIFS('Activity &amp; Event Log'!$S$5:$S$504,'Activity &amp; Event Log'!$D$5:$D$504,Settings!$O$57))</f>
        <v/>
      </c>
      <c r="J129" s="12" t="str">
        <f aca="false">IF(OR(Settings!$O$57="",E129=0),"",COUNTIFS('Activity &amp; Event Log'!$D$5:$D$504,Settings!$O$57,'Activity &amp; Event Log'!$U$5:$U$504,"Yes")/E129)</f>
        <v/>
      </c>
      <c r="K129" s="10" t="str">
        <f aca="false">IF(OR(Settings!$O$57="",E129=0),"",IF(MAX(COUNTIFS('Activity &amp; Event Log'!$D$5:$D$504,Settings!$O$57,'Activity &amp; Event Log'!$V$5:$V$504,"Telemetry Blind Spot"),COUNTIFS('Activity &amp; Event Log'!$D$5:$D$504,Settings!$O$57,'Activity &amp; Event Log'!$V$5:$V$504,"Missed Alert"),COUNTIFS('Activity &amp; Event Log'!$D$5:$D$504,Settings!$O$57,'Activity &amp; Event Log'!$V$5:$V$504,"Triage Delay"))=0,"None",IF(COUNTIFS('Activity &amp; Event Log'!$D$5:$D$504,Settings!$O$57,'Activity &amp; Event Log'!$V$5:$V$504,"Telemetry Blind Spot")&gt;=COUNTIFS('Activity &amp; Event Log'!$D$5:$D$504,Settings!$O$57,'Activity &amp; Event Log'!$V$5:$V$504,"Missed Alert"),IF(COUNTIFS('Activity &amp; Event Log'!$D$5:$D$504,Settings!$O$57,'Activity &amp; Event Log'!$V$5:$V$504,"Telemetry Blind Spot")&gt;=COUNTIFS('Activity &amp; Event Log'!$D$5:$D$504,Settings!$O$57,'Activity &amp; Event Log'!$V$5:$V$504,"Triage Delay"),"Blind Spot",IF(COUNTIFS('Activity &amp; Event Log'!$D$5:$D$504,Settings!$O$57,'Activity &amp; Event Log'!$V$5:$V$504,"Missed Alert")&gt;=COUNTIFS('Activity &amp; Event Log'!$D$5:$D$504,Settings!$O$57,'Activity &amp; Event Log'!$V$5:$V$504,"Triage Delay"),"Missed Alert","Triage Delay")),IF(COUNTIFS('Activity &amp; Event Log'!$D$5:$D$504,Settings!$O$57,'Activity &amp; Event Log'!$V$5:$V$504,"Missed Alert")&gt;=COUNTIFS('Activity &amp; Event Log'!$D$5:$D$504,Settings!$O$57,'Activity &amp; Event Log'!$V$5:$V$504,"Triage Delay"),"Missed Alert","Triage Delay"))))</f>
        <v/>
      </c>
      <c r="L129" s="10" t="str">
        <f aca="false">IF(OR(Settings!$O$57="",E129=0),"",IF((COUNTIFS('Activity &amp; Event Log'!$D$5:$D$504,Settings!$O$57,'Activity &amp; Event Log'!$V$5:$V$504,"Telemetry Blind Spot")+COUNTIFS('Activity &amp; Event Log'!$D$5:$D$504,Settings!$O$57,'Activity &amp; Event Log'!$V$5:$V$504,"Missed Alert")+COUNTIFS('Activity &amp; Event Log'!$D$5:$D$504,Settings!$O$57,'Activity &amp; Event Log'!$V$5:$V$504,"Detected - SLA Breach"))&gt;=Settings!$B$11,"High","Normal"))</f>
        <v/>
      </c>
    </row>
    <row r="130" customFormat="false" ht="15" hidden="false" customHeight="false" outlineLevel="0" collapsed="false">
      <c r="B130" s="10" t="str">
        <f aca="false">IF(Settings!$O$58="","",Settings!$Q$58)</f>
        <v/>
      </c>
      <c r="C130" s="10" t="str">
        <f aca="false">IF(Settings!$O$58="","",Settings!$O$58)</f>
        <v/>
      </c>
      <c r="D130" s="10" t="str">
        <f aca="false">IF(Settings!$O$58="","",Settings!$P$58)</f>
        <v/>
      </c>
      <c r="E130" s="11" t="str">
        <f aca="false">IF(Settings!$O$58="","",COUNTIFS('Activity &amp; Event Log'!$D$5:$D$504,Settings!$O$58,'Activity &amp; Event Log'!$G$5:$G$504,"?*"))</f>
        <v/>
      </c>
      <c r="F130" s="11" t="str">
        <f aca="false">IF(Settings!$O$58="","",SUMIFS('Activity &amp; Event Log'!$W$5:$W$504,'Activity &amp; Event Log'!$D$5:$D$504,Settings!$O$58))</f>
        <v/>
      </c>
      <c r="G130" s="12" t="str">
        <f aca="false">IF(OR(Settings!$O$58="",E130=0),"",F130/E130)</f>
        <v/>
      </c>
      <c r="H130" s="15" t="str">
        <f aca="false">IF(OR(Settings!$O$58="",F130=0),"",AVERAGEIFS('Activity &amp; Event Log'!$S$5:$S$504,'Activity &amp; Event Log'!$D$5:$D$504,Settings!$O$58))</f>
        <v/>
      </c>
      <c r="I130" s="15" t="str">
        <f aca="false">IF(OR(Settings!$O$58="",F130=0),"",_xlfn.MAXIFS('Activity &amp; Event Log'!$S$5:$S$504,'Activity &amp; Event Log'!$D$5:$D$504,Settings!$O$58))</f>
        <v/>
      </c>
      <c r="J130" s="12" t="str">
        <f aca="false">IF(OR(Settings!$O$58="",E130=0),"",COUNTIFS('Activity &amp; Event Log'!$D$5:$D$504,Settings!$O$58,'Activity &amp; Event Log'!$U$5:$U$504,"Yes")/E130)</f>
        <v/>
      </c>
      <c r="K130" s="10" t="str">
        <f aca="false">IF(OR(Settings!$O$58="",E130=0),"",IF(MAX(COUNTIFS('Activity &amp; Event Log'!$D$5:$D$504,Settings!$O$58,'Activity &amp; Event Log'!$V$5:$V$504,"Telemetry Blind Spot"),COUNTIFS('Activity &amp; Event Log'!$D$5:$D$504,Settings!$O$58,'Activity &amp; Event Log'!$V$5:$V$504,"Missed Alert"),COUNTIFS('Activity &amp; Event Log'!$D$5:$D$504,Settings!$O$58,'Activity &amp; Event Log'!$V$5:$V$504,"Triage Delay"))=0,"None",IF(COUNTIFS('Activity &amp; Event Log'!$D$5:$D$504,Settings!$O$58,'Activity &amp; Event Log'!$V$5:$V$504,"Telemetry Blind Spot")&gt;=COUNTIFS('Activity &amp; Event Log'!$D$5:$D$504,Settings!$O$58,'Activity &amp; Event Log'!$V$5:$V$504,"Missed Alert"),IF(COUNTIFS('Activity &amp; Event Log'!$D$5:$D$504,Settings!$O$58,'Activity &amp; Event Log'!$V$5:$V$504,"Telemetry Blind Spot")&gt;=COUNTIFS('Activity &amp; Event Log'!$D$5:$D$504,Settings!$O$58,'Activity &amp; Event Log'!$V$5:$V$504,"Triage Delay"),"Blind Spot",IF(COUNTIFS('Activity &amp; Event Log'!$D$5:$D$504,Settings!$O$58,'Activity &amp; Event Log'!$V$5:$V$504,"Missed Alert")&gt;=COUNTIFS('Activity &amp; Event Log'!$D$5:$D$504,Settings!$O$58,'Activity &amp; Event Log'!$V$5:$V$504,"Triage Delay"),"Missed Alert","Triage Delay")),IF(COUNTIFS('Activity &amp; Event Log'!$D$5:$D$504,Settings!$O$58,'Activity &amp; Event Log'!$V$5:$V$504,"Missed Alert")&gt;=COUNTIFS('Activity &amp; Event Log'!$D$5:$D$504,Settings!$O$58,'Activity &amp; Event Log'!$V$5:$V$504,"Triage Delay"),"Missed Alert","Triage Delay"))))</f>
        <v/>
      </c>
      <c r="L130" s="10" t="str">
        <f aca="false">IF(OR(Settings!$O$58="",E130=0),"",IF((COUNTIFS('Activity &amp; Event Log'!$D$5:$D$504,Settings!$O$58,'Activity &amp; Event Log'!$V$5:$V$504,"Telemetry Blind Spot")+COUNTIFS('Activity &amp; Event Log'!$D$5:$D$504,Settings!$O$58,'Activity &amp; Event Log'!$V$5:$V$504,"Missed Alert")+COUNTIFS('Activity &amp; Event Log'!$D$5:$D$504,Settings!$O$58,'Activity &amp; Event Log'!$V$5:$V$504,"Detected - SLA Breach"))&gt;=Settings!$B$11,"High","Normal"))</f>
        <v/>
      </c>
    </row>
    <row r="131" customFormat="false" ht="15" hidden="false" customHeight="false" outlineLevel="0" collapsed="false">
      <c r="B131" s="10" t="str">
        <f aca="false">IF(Settings!$O$59="","",Settings!$Q$59)</f>
        <v/>
      </c>
      <c r="C131" s="10" t="str">
        <f aca="false">IF(Settings!$O$59="","",Settings!$O$59)</f>
        <v/>
      </c>
      <c r="D131" s="10" t="str">
        <f aca="false">IF(Settings!$O$59="","",Settings!$P$59)</f>
        <v/>
      </c>
      <c r="E131" s="11" t="str">
        <f aca="false">IF(Settings!$O$59="","",COUNTIFS('Activity &amp; Event Log'!$D$5:$D$504,Settings!$O$59,'Activity &amp; Event Log'!$G$5:$G$504,"?*"))</f>
        <v/>
      </c>
      <c r="F131" s="11" t="str">
        <f aca="false">IF(Settings!$O$59="","",SUMIFS('Activity &amp; Event Log'!$W$5:$W$504,'Activity &amp; Event Log'!$D$5:$D$504,Settings!$O$59))</f>
        <v/>
      </c>
      <c r="G131" s="12" t="str">
        <f aca="false">IF(OR(Settings!$O$59="",E131=0),"",F131/E131)</f>
        <v/>
      </c>
      <c r="H131" s="15" t="str">
        <f aca="false">IF(OR(Settings!$O$59="",F131=0),"",AVERAGEIFS('Activity &amp; Event Log'!$S$5:$S$504,'Activity &amp; Event Log'!$D$5:$D$504,Settings!$O$59))</f>
        <v/>
      </c>
      <c r="I131" s="15" t="str">
        <f aca="false">IF(OR(Settings!$O$59="",F131=0),"",_xlfn.MAXIFS('Activity &amp; Event Log'!$S$5:$S$504,'Activity &amp; Event Log'!$D$5:$D$504,Settings!$O$59))</f>
        <v/>
      </c>
      <c r="J131" s="12" t="str">
        <f aca="false">IF(OR(Settings!$O$59="",E131=0),"",COUNTIFS('Activity &amp; Event Log'!$D$5:$D$504,Settings!$O$59,'Activity &amp; Event Log'!$U$5:$U$504,"Yes")/E131)</f>
        <v/>
      </c>
      <c r="K131" s="10" t="str">
        <f aca="false">IF(OR(Settings!$O$59="",E131=0),"",IF(MAX(COUNTIFS('Activity &amp; Event Log'!$D$5:$D$504,Settings!$O$59,'Activity &amp; Event Log'!$V$5:$V$504,"Telemetry Blind Spot"),COUNTIFS('Activity &amp; Event Log'!$D$5:$D$504,Settings!$O$59,'Activity &amp; Event Log'!$V$5:$V$504,"Missed Alert"),COUNTIFS('Activity &amp; Event Log'!$D$5:$D$504,Settings!$O$59,'Activity &amp; Event Log'!$V$5:$V$504,"Triage Delay"))=0,"None",IF(COUNTIFS('Activity &amp; Event Log'!$D$5:$D$504,Settings!$O$59,'Activity &amp; Event Log'!$V$5:$V$504,"Telemetry Blind Spot")&gt;=COUNTIFS('Activity &amp; Event Log'!$D$5:$D$504,Settings!$O$59,'Activity &amp; Event Log'!$V$5:$V$504,"Missed Alert"),IF(COUNTIFS('Activity &amp; Event Log'!$D$5:$D$504,Settings!$O$59,'Activity &amp; Event Log'!$V$5:$V$504,"Telemetry Blind Spot")&gt;=COUNTIFS('Activity &amp; Event Log'!$D$5:$D$504,Settings!$O$59,'Activity &amp; Event Log'!$V$5:$V$504,"Triage Delay"),"Blind Spot",IF(COUNTIFS('Activity &amp; Event Log'!$D$5:$D$504,Settings!$O$59,'Activity &amp; Event Log'!$V$5:$V$504,"Missed Alert")&gt;=COUNTIFS('Activity &amp; Event Log'!$D$5:$D$504,Settings!$O$59,'Activity &amp; Event Log'!$V$5:$V$504,"Triage Delay"),"Missed Alert","Triage Delay")),IF(COUNTIFS('Activity &amp; Event Log'!$D$5:$D$504,Settings!$O$59,'Activity &amp; Event Log'!$V$5:$V$504,"Missed Alert")&gt;=COUNTIFS('Activity &amp; Event Log'!$D$5:$D$504,Settings!$O$59,'Activity &amp; Event Log'!$V$5:$V$504,"Triage Delay"),"Missed Alert","Triage Delay"))))</f>
        <v/>
      </c>
      <c r="L131" s="10" t="str">
        <f aca="false">IF(OR(Settings!$O$59="",E131=0),"",IF((COUNTIFS('Activity &amp; Event Log'!$D$5:$D$504,Settings!$O$59,'Activity &amp; Event Log'!$V$5:$V$504,"Telemetry Blind Spot")+COUNTIFS('Activity &amp; Event Log'!$D$5:$D$504,Settings!$O$59,'Activity &amp; Event Log'!$V$5:$V$504,"Missed Alert")+COUNTIFS('Activity &amp; Event Log'!$D$5:$D$504,Settings!$O$59,'Activity &amp; Event Log'!$V$5:$V$504,"Detected - SLA Breach"))&gt;=Settings!$B$11,"High","Normal"))</f>
        <v/>
      </c>
    </row>
    <row r="132" customFormat="false" ht="15" hidden="false" customHeight="false" outlineLevel="0" collapsed="false">
      <c r="B132" s="10" t="str">
        <f aca="false">IF(Settings!$O$60="","",Settings!$Q$60)</f>
        <v/>
      </c>
      <c r="C132" s="10" t="str">
        <f aca="false">IF(Settings!$O$60="","",Settings!$O$60)</f>
        <v/>
      </c>
      <c r="D132" s="10" t="str">
        <f aca="false">IF(Settings!$O$60="","",Settings!$P$60)</f>
        <v/>
      </c>
      <c r="E132" s="11" t="str">
        <f aca="false">IF(Settings!$O$60="","",COUNTIFS('Activity &amp; Event Log'!$D$5:$D$504,Settings!$O$60,'Activity &amp; Event Log'!$G$5:$G$504,"?*"))</f>
        <v/>
      </c>
      <c r="F132" s="11" t="str">
        <f aca="false">IF(Settings!$O$60="","",SUMIFS('Activity &amp; Event Log'!$W$5:$W$504,'Activity &amp; Event Log'!$D$5:$D$504,Settings!$O$60))</f>
        <v/>
      </c>
      <c r="G132" s="12" t="str">
        <f aca="false">IF(OR(Settings!$O$60="",E132=0),"",F132/E132)</f>
        <v/>
      </c>
      <c r="H132" s="15" t="str">
        <f aca="false">IF(OR(Settings!$O$60="",F132=0),"",AVERAGEIFS('Activity &amp; Event Log'!$S$5:$S$504,'Activity &amp; Event Log'!$D$5:$D$504,Settings!$O$60))</f>
        <v/>
      </c>
      <c r="I132" s="15" t="str">
        <f aca="false">IF(OR(Settings!$O$60="",F132=0),"",_xlfn.MAXIFS('Activity &amp; Event Log'!$S$5:$S$504,'Activity &amp; Event Log'!$D$5:$D$504,Settings!$O$60))</f>
        <v/>
      </c>
      <c r="J132" s="12" t="str">
        <f aca="false">IF(OR(Settings!$O$60="",E132=0),"",COUNTIFS('Activity &amp; Event Log'!$D$5:$D$504,Settings!$O$60,'Activity &amp; Event Log'!$U$5:$U$504,"Yes")/E132)</f>
        <v/>
      </c>
      <c r="K132" s="10" t="str">
        <f aca="false">IF(OR(Settings!$O$60="",E132=0),"",IF(MAX(COUNTIFS('Activity &amp; Event Log'!$D$5:$D$504,Settings!$O$60,'Activity &amp; Event Log'!$V$5:$V$504,"Telemetry Blind Spot"),COUNTIFS('Activity &amp; Event Log'!$D$5:$D$504,Settings!$O$60,'Activity &amp; Event Log'!$V$5:$V$504,"Missed Alert"),COUNTIFS('Activity &amp; Event Log'!$D$5:$D$504,Settings!$O$60,'Activity &amp; Event Log'!$V$5:$V$504,"Triage Delay"))=0,"None",IF(COUNTIFS('Activity &amp; Event Log'!$D$5:$D$504,Settings!$O$60,'Activity &amp; Event Log'!$V$5:$V$504,"Telemetry Blind Spot")&gt;=COUNTIFS('Activity &amp; Event Log'!$D$5:$D$504,Settings!$O$60,'Activity &amp; Event Log'!$V$5:$V$504,"Missed Alert"),IF(COUNTIFS('Activity &amp; Event Log'!$D$5:$D$504,Settings!$O$60,'Activity &amp; Event Log'!$V$5:$V$504,"Telemetry Blind Spot")&gt;=COUNTIFS('Activity &amp; Event Log'!$D$5:$D$504,Settings!$O$60,'Activity &amp; Event Log'!$V$5:$V$504,"Triage Delay"),"Blind Spot",IF(COUNTIFS('Activity &amp; Event Log'!$D$5:$D$504,Settings!$O$60,'Activity &amp; Event Log'!$V$5:$V$504,"Missed Alert")&gt;=COUNTIFS('Activity &amp; Event Log'!$D$5:$D$504,Settings!$O$60,'Activity &amp; Event Log'!$V$5:$V$504,"Triage Delay"),"Missed Alert","Triage Delay")),IF(COUNTIFS('Activity &amp; Event Log'!$D$5:$D$504,Settings!$O$60,'Activity &amp; Event Log'!$V$5:$V$504,"Missed Alert")&gt;=COUNTIFS('Activity &amp; Event Log'!$D$5:$D$504,Settings!$O$60,'Activity &amp; Event Log'!$V$5:$V$504,"Triage Delay"),"Missed Alert","Triage Delay"))))</f>
        <v/>
      </c>
      <c r="L132" s="10" t="str">
        <f aca="false">IF(OR(Settings!$O$60="",E132=0),"",IF((COUNTIFS('Activity &amp; Event Log'!$D$5:$D$504,Settings!$O$60,'Activity &amp; Event Log'!$V$5:$V$504,"Telemetry Blind Spot")+COUNTIFS('Activity &amp; Event Log'!$D$5:$D$504,Settings!$O$60,'Activity &amp; Event Log'!$V$5:$V$504,"Missed Alert")+COUNTIFS('Activity &amp; Event Log'!$D$5:$D$504,Settings!$O$60,'Activity &amp; Event Log'!$V$5:$V$504,"Detected - SLA Breach"))&gt;=Settings!$B$11,"High","Normal"))</f>
        <v/>
      </c>
    </row>
    <row r="133" customFormat="false" ht="15" hidden="false" customHeight="false" outlineLevel="0" collapsed="false">
      <c r="B133" s="10" t="str">
        <f aca="false">IF(Settings!$O$61="","",Settings!$Q$61)</f>
        <v/>
      </c>
      <c r="C133" s="10" t="str">
        <f aca="false">IF(Settings!$O$61="","",Settings!$O$61)</f>
        <v/>
      </c>
      <c r="D133" s="10" t="str">
        <f aca="false">IF(Settings!$O$61="","",Settings!$P$61)</f>
        <v/>
      </c>
      <c r="E133" s="11" t="str">
        <f aca="false">IF(Settings!$O$61="","",COUNTIFS('Activity &amp; Event Log'!$D$5:$D$504,Settings!$O$61,'Activity &amp; Event Log'!$G$5:$G$504,"?*"))</f>
        <v/>
      </c>
      <c r="F133" s="11" t="str">
        <f aca="false">IF(Settings!$O$61="","",SUMIFS('Activity &amp; Event Log'!$W$5:$W$504,'Activity &amp; Event Log'!$D$5:$D$504,Settings!$O$61))</f>
        <v/>
      </c>
      <c r="G133" s="12" t="str">
        <f aca="false">IF(OR(Settings!$O$61="",E133=0),"",F133/E133)</f>
        <v/>
      </c>
      <c r="H133" s="15" t="str">
        <f aca="false">IF(OR(Settings!$O$61="",F133=0),"",AVERAGEIFS('Activity &amp; Event Log'!$S$5:$S$504,'Activity &amp; Event Log'!$D$5:$D$504,Settings!$O$61))</f>
        <v/>
      </c>
      <c r="I133" s="15" t="str">
        <f aca="false">IF(OR(Settings!$O$61="",F133=0),"",_xlfn.MAXIFS('Activity &amp; Event Log'!$S$5:$S$504,'Activity &amp; Event Log'!$D$5:$D$504,Settings!$O$61))</f>
        <v/>
      </c>
      <c r="J133" s="12" t="str">
        <f aca="false">IF(OR(Settings!$O$61="",E133=0),"",COUNTIFS('Activity &amp; Event Log'!$D$5:$D$504,Settings!$O$61,'Activity &amp; Event Log'!$U$5:$U$504,"Yes")/E133)</f>
        <v/>
      </c>
      <c r="K133" s="10" t="str">
        <f aca="false">IF(OR(Settings!$O$61="",E133=0),"",IF(MAX(COUNTIFS('Activity &amp; Event Log'!$D$5:$D$504,Settings!$O$61,'Activity &amp; Event Log'!$V$5:$V$504,"Telemetry Blind Spot"),COUNTIFS('Activity &amp; Event Log'!$D$5:$D$504,Settings!$O$61,'Activity &amp; Event Log'!$V$5:$V$504,"Missed Alert"),COUNTIFS('Activity &amp; Event Log'!$D$5:$D$504,Settings!$O$61,'Activity &amp; Event Log'!$V$5:$V$504,"Triage Delay"))=0,"None",IF(COUNTIFS('Activity &amp; Event Log'!$D$5:$D$504,Settings!$O$61,'Activity &amp; Event Log'!$V$5:$V$504,"Telemetry Blind Spot")&gt;=COUNTIFS('Activity &amp; Event Log'!$D$5:$D$504,Settings!$O$61,'Activity &amp; Event Log'!$V$5:$V$504,"Missed Alert"),IF(COUNTIFS('Activity &amp; Event Log'!$D$5:$D$504,Settings!$O$61,'Activity &amp; Event Log'!$V$5:$V$504,"Telemetry Blind Spot")&gt;=COUNTIFS('Activity &amp; Event Log'!$D$5:$D$504,Settings!$O$61,'Activity &amp; Event Log'!$V$5:$V$504,"Triage Delay"),"Blind Spot",IF(COUNTIFS('Activity &amp; Event Log'!$D$5:$D$504,Settings!$O$61,'Activity &amp; Event Log'!$V$5:$V$504,"Missed Alert")&gt;=COUNTIFS('Activity &amp; Event Log'!$D$5:$D$504,Settings!$O$61,'Activity &amp; Event Log'!$V$5:$V$504,"Triage Delay"),"Missed Alert","Triage Delay")),IF(COUNTIFS('Activity &amp; Event Log'!$D$5:$D$504,Settings!$O$61,'Activity &amp; Event Log'!$V$5:$V$504,"Missed Alert")&gt;=COUNTIFS('Activity &amp; Event Log'!$D$5:$D$504,Settings!$O$61,'Activity &amp; Event Log'!$V$5:$V$504,"Triage Delay"),"Missed Alert","Triage Delay"))))</f>
        <v/>
      </c>
      <c r="L133" s="10" t="str">
        <f aca="false">IF(OR(Settings!$O$61="",E133=0),"",IF((COUNTIFS('Activity &amp; Event Log'!$D$5:$D$504,Settings!$O$61,'Activity &amp; Event Log'!$V$5:$V$504,"Telemetry Blind Spot")+COUNTIFS('Activity &amp; Event Log'!$D$5:$D$504,Settings!$O$61,'Activity &amp; Event Log'!$V$5:$V$504,"Missed Alert")+COUNTIFS('Activity &amp; Event Log'!$D$5:$D$504,Settings!$O$61,'Activity &amp; Event Log'!$V$5:$V$504,"Detected - SLA Breach"))&gt;=Settings!$B$11,"High","Normal"))</f>
        <v/>
      </c>
    </row>
    <row r="134" customFormat="false" ht="15" hidden="false" customHeight="false" outlineLevel="0" collapsed="false">
      <c r="B134" s="10" t="str">
        <f aca="false">IF(Settings!$O$62="","",Settings!$Q$62)</f>
        <v/>
      </c>
      <c r="C134" s="10" t="str">
        <f aca="false">IF(Settings!$O$62="","",Settings!$O$62)</f>
        <v/>
      </c>
      <c r="D134" s="10" t="str">
        <f aca="false">IF(Settings!$O$62="","",Settings!$P$62)</f>
        <v/>
      </c>
      <c r="E134" s="11" t="str">
        <f aca="false">IF(Settings!$O$62="","",COUNTIFS('Activity &amp; Event Log'!$D$5:$D$504,Settings!$O$62,'Activity &amp; Event Log'!$G$5:$G$504,"?*"))</f>
        <v/>
      </c>
      <c r="F134" s="11" t="str">
        <f aca="false">IF(Settings!$O$62="","",SUMIFS('Activity &amp; Event Log'!$W$5:$W$504,'Activity &amp; Event Log'!$D$5:$D$504,Settings!$O$62))</f>
        <v/>
      </c>
      <c r="G134" s="12" t="str">
        <f aca="false">IF(OR(Settings!$O$62="",E134=0),"",F134/E134)</f>
        <v/>
      </c>
      <c r="H134" s="15" t="str">
        <f aca="false">IF(OR(Settings!$O$62="",F134=0),"",AVERAGEIFS('Activity &amp; Event Log'!$S$5:$S$504,'Activity &amp; Event Log'!$D$5:$D$504,Settings!$O$62))</f>
        <v/>
      </c>
      <c r="I134" s="15" t="str">
        <f aca="false">IF(OR(Settings!$O$62="",F134=0),"",_xlfn.MAXIFS('Activity &amp; Event Log'!$S$5:$S$504,'Activity &amp; Event Log'!$D$5:$D$504,Settings!$O$62))</f>
        <v/>
      </c>
      <c r="J134" s="12" t="str">
        <f aca="false">IF(OR(Settings!$O$62="",E134=0),"",COUNTIFS('Activity &amp; Event Log'!$D$5:$D$504,Settings!$O$62,'Activity &amp; Event Log'!$U$5:$U$504,"Yes")/E134)</f>
        <v/>
      </c>
      <c r="K134" s="10" t="str">
        <f aca="false">IF(OR(Settings!$O$62="",E134=0),"",IF(MAX(COUNTIFS('Activity &amp; Event Log'!$D$5:$D$504,Settings!$O$62,'Activity &amp; Event Log'!$V$5:$V$504,"Telemetry Blind Spot"),COUNTIFS('Activity &amp; Event Log'!$D$5:$D$504,Settings!$O$62,'Activity &amp; Event Log'!$V$5:$V$504,"Missed Alert"),COUNTIFS('Activity &amp; Event Log'!$D$5:$D$504,Settings!$O$62,'Activity &amp; Event Log'!$V$5:$V$504,"Triage Delay"))=0,"None",IF(COUNTIFS('Activity &amp; Event Log'!$D$5:$D$504,Settings!$O$62,'Activity &amp; Event Log'!$V$5:$V$504,"Telemetry Blind Spot")&gt;=COUNTIFS('Activity &amp; Event Log'!$D$5:$D$504,Settings!$O$62,'Activity &amp; Event Log'!$V$5:$V$504,"Missed Alert"),IF(COUNTIFS('Activity &amp; Event Log'!$D$5:$D$504,Settings!$O$62,'Activity &amp; Event Log'!$V$5:$V$504,"Telemetry Blind Spot")&gt;=COUNTIFS('Activity &amp; Event Log'!$D$5:$D$504,Settings!$O$62,'Activity &amp; Event Log'!$V$5:$V$504,"Triage Delay"),"Blind Spot",IF(COUNTIFS('Activity &amp; Event Log'!$D$5:$D$504,Settings!$O$62,'Activity &amp; Event Log'!$V$5:$V$504,"Missed Alert")&gt;=COUNTIFS('Activity &amp; Event Log'!$D$5:$D$504,Settings!$O$62,'Activity &amp; Event Log'!$V$5:$V$504,"Triage Delay"),"Missed Alert","Triage Delay")),IF(COUNTIFS('Activity &amp; Event Log'!$D$5:$D$504,Settings!$O$62,'Activity &amp; Event Log'!$V$5:$V$504,"Missed Alert")&gt;=COUNTIFS('Activity &amp; Event Log'!$D$5:$D$504,Settings!$O$62,'Activity &amp; Event Log'!$V$5:$V$504,"Triage Delay"),"Missed Alert","Triage Delay"))))</f>
        <v/>
      </c>
      <c r="L134" s="10" t="str">
        <f aca="false">IF(OR(Settings!$O$62="",E134=0),"",IF((COUNTIFS('Activity &amp; Event Log'!$D$5:$D$504,Settings!$O$62,'Activity &amp; Event Log'!$V$5:$V$504,"Telemetry Blind Spot")+COUNTIFS('Activity &amp; Event Log'!$D$5:$D$504,Settings!$O$62,'Activity &amp; Event Log'!$V$5:$V$504,"Missed Alert")+COUNTIFS('Activity &amp; Event Log'!$D$5:$D$504,Settings!$O$62,'Activity &amp; Event Log'!$V$5:$V$504,"Detected - SLA Breach"))&gt;=Settings!$B$11,"High","Normal"))</f>
        <v/>
      </c>
    </row>
    <row r="135" customFormat="false" ht="15" hidden="false" customHeight="false" outlineLevel="0" collapsed="false">
      <c r="B135" s="10" t="str">
        <f aca="false">IF(Settings!$O$63="","",Settings!$Q$63)</f>
        <v/>
      </c>
      <c r="C135" s="10" t="str">
        <f aca="false">IF(Settings!$O$63="","",Settings!$O$63)</f>
        <v/>
      </c>
      <c r="D135" s="10" t="str">
        <f aca="false">IF(Settings!$O$63="","",Settings!$P$63)</f>
        <v/>
      </c>
      <c r="E135" s="11" t="str">
        <f aca="false">IF(Settings!$O$63="","",COUNTIFS('Activity &amp; Event Log'!$D$5:$D$504,Settings!$O$63,'Activity &amp; Event Log'!$G$5:$G$504,"?*"))</f>
        <v/>
      </c>
      <c r="F135" s="11" t="str">
        <f aca="false">IF(Settings!$O$63="","",SUMIFS('Activity &amp; Event Log'!$W$5:$W$504,'Activity &amp; Event Log'!$D$5:$D$504,Settings!$O$63))</f>
        <v/>
      </c>
      <c r="G135" s="12" t="str">
        <f aca="false">IF(OR(Settings!$O$63="",E135=0),"",F135/E135)</f>
        <v/>
      </c>
      <c r="H135" s="15" t="str">
        <f aca="false">IF(OR(Settings!$O$63="",F135=0),"",AVERAGEIFS('Activity &amp; Event Log'!$S$5:$S$504,'Activity &amp; Event Log'!$D$5:$D$504,Settings!$O$63))</f>
        <v/>
      </c>
      <c r="I135" s="15" t="str">
        <f aca="false">IF(OR(Settings!$O$63="",F135=0),"",_xlfn.MAXIFS('Activity &amp; Event Log'!$S$5:$S$504,'Activity &amp; Event Log'!$D$5:$D$504,Settings!$O$63))</f>
        <v/>
      </c>
      <c r="J135" s="12" t="str">
        <f aca="false">IF(OR(Settings!$O$63="",E135=0),"",COUNTIFS('Activity &amp; Event Log'!$D$5:$D$504,Settings!$O$63,'Activity &amp; Event Log'!$U$5:$U$504,"Yes")/E135)</f>
        <v/>
      </c>
      <c r="K135" s="10" t="str">
        <f aca="false">IF(OR(Settings!$O$63="",E135=0),"",IF(MAX(COUNTIFS('Activity &amp; Event Log'!$D$5:$D$504,Settings!$O$63,'Activity &amp; Event Log'!$V$5:$V$504,"Telemetry Blind Spot"),COUNTIFS('Activity &amp; Event Log'!$D$5:$D$504,Settings!$O$63,'Activity &amp; Event Log'!$V$5:$V$504,"Missed Alert"),COUNTIFS('Activity &amp; Event Log'!$D$5:$D$504,Settings!$O$63,'Activity &amp; Event Log'!$V$5:$V$504,"Triage Delay"))=0,"None",IF(COUNTIFS('Activity &amp; Event Log'!$D$5:$D$504,Settings!$O$63,'Activity &amp; Event Log'!$V$5:$V$504,"Telemetry Blind Spot")&gt;=COUNTIFS('Activity &amp; Event Log'!$D$5:$D$504,Settings!$O$63,'Activity &amp; Event Log'!$V$5:$V$504,"Missed Alert"),IF(COUNTIFS('Activity &amp; Event Log'!$D$5:$D$504,Settings!$O$63,'Activity &amp; Event Log'!$V$5:$V$504,"Telemetry Blind Spot")&gt;=COUNTIFS('Activity &amp; Event Log'!$D$5:$D$504,Settings!$O$63,'Activity &amp; Event Log'!$V$5:$V$504,"Triage Delay"),"Blind Spot",IF(COUNTIFS('Activity &amp; Event Log'!$D$5:$D$504,Settings!$O$63,'Activity &amp; Event Log'!$V$5:$V$504,"Missed Alert")&gt;=COUNTIFS('Activity &amp; Event Log'!$D$5:$D$504,Settings!$O$63,'Activity &amp; Event Log'!$V$5:$V$504,"Triage Delay"),"Missed Alert","Triage Delay")),IF(COUNTIFS('Activity &amp; Event Log'!$D$5:$D$504,Settings!$O$63,'Activity &amp; Event Log'!$V$5:$V$504,"Missed Alert")&gt;=COUNTIFS('Activity &amp; Event Log'!$D$5:$D$504,Settings!$O$63,'Activity &amp; Event Log'!$V$5:$V$504,"Triage Delay"),"Missed Alert","Triage Delay"))))</f>
        <v/>
      </c>
      <c r="L135" s="10" t="str">
        <f aca="false">IF(OR(Settings!$O$63="",E135=0),"",IF((COUNTIFS('Activity &amp; Event Log'!$D$5:$D$504,Settings!$O$63,'Activity &amp; Event Log'!$V$5:$V$504,"Telemetry Blind Spot")+COUNTIFS('Activity &amp; Event Log'!$D$5:$D$504,Settings!$O$63,'Activity &amp; Event Log'!$V$5:$V$504,"Missed Alert")+COUNTIFS('Activity &amp; Event Log'!$D$5:$D$504,Settings!$O$63,'Activity &amp; Event Log'!$V$5:$V$504,"Detected - SLA Breach"))&gt;=Settings!$B$11,"High","Normal"))</f>
        <v/>
      </c>
    </row>
    <row r="136" customFormat="false" ht="15" hidden="false" customHeight="false" outlineLevel="0" collapsed="false">
      <c r="B136" s="10" t="str">
        <f aca="false">IF(Settings!$O$64="","",Settings!$Q$64)</f>
        <v/>
      </c>
      <c r="C136" s="10" t="str">
        <f aca="false">IF(Settings!$O$64="","",Settings!$O$64)</f>
        <v/>
      </c>
      <c r="D136" s="10" t="str">
        <f aca="false">IF(Settings!$O$64="","",Settings!$P$64)</f>
        <v/>
      </c>
      <c r="E136" s="11" t="str">
        <f aca="false">IF(Settings!$O$64="","",COUNTIFS('Activity &amp; Event Log'!$D$5:$D$504,Settings!$O$64,'Activity &amp; Event Log'!$G$5:$G$504,"?*"))</f>
        <v/>
      </c>
      <c r="F136" s="11" t="str">
        <f aca="false">IF(Settings!$O$64="","",SUMIFS('Activity &amp; Event Log'!$W$5:$W$504,'Activity &amp; Event Log'!$D$5:$D$504,Settings!$O$64))</f>
        <v/>
      </c>
      <c r="G136" s="12" t="str">
        <f aca="false">IF(OR(Settings!$O$64="",E136=0),"",F136/E136)</f>
        <v/>
      </c>
      <c r="H136" s="15" t="str">
        <f aca="false">IF(OR(Settings!$O$64="",F136=0),"",AVERAGEIFS('Activity &amp; Event Log'!$S$5:$S$504,'Activity &amp; Event Log'!$D$5:$D$504,Settings!$O$64))</f>
        <v/>
      </c>
      <c r="I136" s="15" t="str">
        <f aca="false">IF(OR(Settings!$O$64="",F136=0),"",_xlfn.MAXIFS('Activity &amp; Event Log'!$S$5:$S$504,'Activity &amp; Event Log'!$D$5:$D$504,Settings!$O$64))</f>
        <v/>
      </c>
      <c r="J136" s="12" t="str">
        <f aca="false">IF(OR(Settings!$O$64="",E136=0),"",COUNTIFS('Activity &amp; Event Log'!$D$5:$D$504,Settings!$O$64,'Activity &amp; Event Log'!$U$5:$U$504,"Yes")/E136)</f>
        <v/>
      </c>
      <c r="K136" s="10" t="str">
        <f aca="false">IF(OR(Settings!$O$64="",E136=0),"",IF(MAX(COUNTIFS('Activity &amp; Event Log'!$D$5:$D$504,Settings!$O$64,'Activity &amp; Event Log'!$V$5:$V$504,"Telemetry Blind Spot"),COUNTIFS('Activity &amp; Event Log'!$D$5:$D$504,Settings!$O$64,'Activity &amp; Event Log'!$V$5:$V$504,"Missed Alert"),COUNTIFS('Activity &amp; Event Log'!$D$5:$D$504,Settings!$O$64,'Activity &amp; Event Log'!$V$5:$V$504,"Triage Delay"))=0,"None",IF(COUNTIFS('Activity &amp; Event Log'!$D$5:$D$504,Settings!$O$64,'Activity &amp; Event Log'!$V$5:$V$504,"Telemetry Blind Spot")&gt;=COUNTIFS('Activity &amp; Event Log'!$D$5:$D$504,Settings!$O$64,'Activity &amp; Event Log'!$V$5:$V$504,"Missed Alert"),IF(COUNTIFS('Activity &amp; Event Log'!$D$5:$D$504,Settings!$O$64,'Activity &amp; Event Log'!$V$5:$V$504,"Telemetry Blind Spot")&gt;=COUNTIFS('Activity &amp; Event Log'!$D$5:$D$504,Settings!$O$64,'Activity &amp; Event Log'!$V$5:$V$504,"Triage Delay"),"Blind Spot",IF(COUNTIFS('Activity &amp; Event Log'!$D$5:$D$504,Settings!$O$64,'Activity &amp; Event Log'!$V$5:$V$504,"Missed Alert")&gt;=COUNTIFS('Activity &amp; Event Log'!$D$5:$D$504,Settings!$O$64,'Activity &amp; Event Log'!$V$5:$V$504,"Triage Delay"),"Missed Alert","Triage Delay")),IF(COUNTIFS('Activity &amp; Event Log'!$D$5:$D$504,Settings!$O$64,'Activity &amp; Event Log'!$V$5:$V$504,"Missed Alert")&gt;=COUNTIFS('Activity &amp; Event Log'!$D$5:$D$504,Settings!$O$64,'Activity &amp; Event Log'!$V$5:$V$504,"Triage Delay"),"Missed Alert","Triage Delay"))))</f>
        <v/>
      </c>
      <c r="L136" s="10" t="str">
        <f aca="false">IF(OR(Settings!$O$64="",E136=0),"",IF((COUNTIFS('Activity &amp; Event Log'!$D$5:$D$504,Settings!$O$64,'Activity &amp; Event Log'!$V$5:$V$504,"Telemetry Blind Spot")+COUNTIFS('Activity &amp; Event Log'!$D$5:$D$504,Settings!$O$64,'Activity &amp; Event Log'!$V$5:$V$504,"Missed Alert")+COUNTIFS('Activity &amp; Event Log'!$D$5:$D$504,Settings!$O$64,'Activity &amp; Event Log'!$V$5:$V$504,"Detected - SLA Breach"))&gt;=Settings!$B$11,"High","Normal"))</f>
        <v/>
      </c>
    </row>
    <row r="137" customFormat="false" ht="15" hidden="false" customHeight="false" outlineLevel="0" collapsed="false">
      <c r="B137" s="10" t="str">
        <f aca="false">IF(Settings!$O$65="","",Settings!$Q$65)</f>
        <v/>
      </c>
      <c r="C137" s="10" t="str">
        <f aca="false">IF(Settings!$O$65="","",Settings!$O$65)</f>
        <v/>
      </c>
      <c r="D137" s="10" t="str">
        <f aca="false">IF(Settings!$O$65="","",Settings!$P$65)</f>
        <v/>
      </c>
      <c r="E137" s="11" t="str">
        <f aca="false">IF(Settings!$O$65="","",COUNTIFS('Activity &amp; Event Log'!$D$5:$D$504,Settings!$O$65,'Activity &amp; Event Log'!$G$5:$G$504,"?*"))</f>
        <v/>
      </c>
      <c r="F137" s="11" t="str">
        <f aca="false">IF(Settings!$O$65="","",SUMIFS('Activity &amp; Event Log'!$W$5:$W$504,'Activity &amp; Event Log'!$D$5:$D$504,Settings!$O$65))</f>
        <v/>
      </c>
      <c r="G137" s="12" t="str">
        <f aca="false">IF(OR(Settings!$O$65="",E137=0),"",F137/E137)</f>
        <v/>
      </c>
      <c r="H137" s="15" t="str">
        <f aca="false">IF(OR(Settings!$O$65="",F137=0),"",AVERAGEIFS('Activity &amp; Event Log'!$S$5:$S$504,'Activity &amp; Event Log'!$D$5:$D$504,Settings!$O$65))</f>
        <v/>
      </c>
      <c r="I137" s="15" t="str">
        <f aca="false">IF(OR(Settings!$O$65="",F137=0),"",_xlfn.MAXIFS('Activity &amp; Event Log'!$S$5:$S$504,'Activity &amp; Event Log'!$D$5:$D$504,Settings!$O$65))</f>
        <v/>
      </c>
      <c r="J137" s="12" t="str">
        <f aca="false">IF(OR(Settings!$O$65="",E137=0),"",COUNTIFS('Activity &amp; Event Log'!$D$5:$D$504,Settings!$O$65,'Activity &amp; Event Log'!$U$5:$U$504,"Yes")/E137)</f>
        <v/>
      </c>
      <c r="K137" s="10" t="str">
        <f aca="false">IF(OR(Settings!$O$65="",E137=0),"",IF(MAX(COUNTIFS('Activity &amp; Event Log'!$D$5:$D$504,Settings!$O$65,'Activity &amp; Event Log'!$V$5:$V$504,"Telemetry Blind Spot"),COUNTIFS('Activity &amp; Event Log'!$D$5:$D$504,Settings!$O$65,'Activity &amp; Event Log'!$V$5:$V$504,"Missed Alert"),COUNTIFS('Activity &amp; Event Log'!$D$5:$D$504,Settings!$O$65,'Activity &amp; Event Log'!$V$5:$V$504,"Triage Delay"))=0,"None",IF(COUNTIFS('Activity &amp; Event Log'!$D$5:$D$504,Settings!$O$65,'Activity &amp; Event Log'!$V$5:$V$504,"Telemetry Blind Spot")&gt;=COUNTIFS('Activity &amp; Event Log'!$D$5:$D$504,Settings!$O$65,'Activity &amp; Event Log'!$V$5:$V$504,"Missed Alert"),IF(COUNTIFS('Activity &amp; Event Log'!$D$5:$D$504,Settings!$O$65,'Activity &amp; Event Log'!$V$5:$V$504,"Telemetry Blind Spot")&gt;=COUNTIFS('Activity &amp; Event Log'!$D$5:$D$504,Settings!$O$65,'Activity &amp; Event Log'!$V$5:$V$504,"Triage Delay"),"Blind Spot",IF(COUNTIFS('Activity &amp; Event Log'!$D$5:$D$504,Settings!$O$65,'Activity &amp; Event Log'!$V$5:$V$504,"Missed Alert")&gt;=COUNTIFS('Activity &amp; Event Log'!$D$5:$D$504,Settings!$O$65,'Activity &amp; Event Log'!$V$5:$V$504,"Triage Delay"),"Missed Alert","Triage Delay")),IF(COUNTIFS('Activity &amp; Event Log'!$D$5:$D$504,Settings!$O$65,'Activity &amp; Event Log'!$V$5:$V$504,"Missed Alert")&gt;=COUNTIFS('Activity &amp; Event Log'!$D$5:$D$504,Settings!$O$65,'Activity &amp; Event Log'!$V$5:$V$504,"Triage Delay"),"Missed Alert","Triage Delay"))))</f>
        <v/>
      </c>
      <c r="L137" s="10" t="str">
        <f aca="false">IF(OR(Settings!$O$65="",E137=0),"",IF((COUNTIFS('Activity &amp; Event Log'!$D$5:$D$504,Settings!$O$65,'Activity &amp; Event Log'!$V$5:$V$504,"Telemetry Blind Spot")+COUNTIFS('Activity &amp; Event Log'!$D$5:$D$504,Settings!$O$65,'Activity &amp; Event Log'!$V$5:$V$504,"Missed Alert")+COUNTIFS('Activity &amp; Event Log'!$D$5:$D$504,Settings!$O$65,'Activity &amp; Event Log'!$V$5:$V$504,"Detected - SLA Breach"))&gt;=Settings!$B$11,"High","Normal"))</f>
        <v/>
      </c>
    </row>
    <row r="138" customFormat="false" ht="15" hidden="false" customHeight="false" outlineLevel="0" collapsed="false">
      <c r="B138" s="10" t="str">
        <f aca="false">IF(Settings!$O$66="","",Settings!$Q$66)</f>
        <v/>
      </c>
      <c r="C138" s="10" t="str">
        <f aca="false">IF(Settings!$O$66="","",Settings!$O$66)</f>
        <v/>
      </c>
      <c r="D138" s="10" t="str">
        <f aca="false">IF(Settings!$O$66="","",Settings!$P$66)</f>
        <v/>
      </c>
      <c r="E138" s="11" t="str">
        <f aca="false">IF(Settings!$O$66="","",COUNTIFS('Activity &amp; Event Log'!$D$5:$D$504,Settings!$O$66,'Activity &amp; Event Log'!$G$5:$G$504,"?*"))</f>
        <v/>
      </c>
      <c r="F138" s="11" t="str">
        <f aca="false">IF(Settings!$O$66="","",SUMIFS('Activity &amp; Event Log'!$W$5:$W$504,'Activity &amp; Event Log'!$D$5:$D$504,Settings!$O$66))</f>
        <v/>
      </c>
      <c r="G138" s="12" t="str">
        <f aca="false">IF(OR(Settings!$O$66="",E138=0),"",F138/E138)</f>
        <v/>
      </c>
      <c r="H138" s="15" t="str">
        <f aca="false">IF(OR(Settings!$O$66="",F138=0),"",AVERAGEIFS('Activity &amp; Event Log'!$S$5:$S$504,'Activity &amp; Event Log'!$D$5:$D$504,Settings!$O$66))</f>
        <v/>
      </c>
      <c r="I138" s="15" t="str">
        <f aca="false">IF(OR(Settings!$O$66="",F138=0),"",_xlfn.MAXIFS('Activity &amp; Event Log'!$S$5:$S$504,'Activity &amp; Event Log'!$D$5:$D$504,Settings!$O$66))</f>
        <v/>
      </c>
      <c r="J138" s="12" t="str">
        <f aca="false">IF(OR(Settings!$O$66="",E138=0),"",COUNTIFS('Activity &amp; Event Log'!$D$5:$D$504,Settings!$O$66,'Activity &amp; Event Log'!$U$5:$U$504,"Yes")/E138)</f>
        <v/>
      </c>
      <c r="K138" s="10" t="str">
        <f aca="false">IF(OR(Settings!$O$66="",E138=0),"",IF(MAX(COUNTIFS('Activity &amp; Event Log'!$D$5:$D$504,Settings!$O$66,'Activity &amp; Event Log'!$V$5:$V$504,"Telemetry Blind Spot"),COUNTIFS('Activity &amp; Event Log'!$D$5:$D$504,Settings!$O$66,'Activity &amp; Event Log'!$V$5:$V$504,"Missed Alert"),COUNTIFS('Activity &amp; Event Log'!$D$5:$D$504,Settings!$O$66,'Activity &amp; Event Log'!$V$5:$V$504,"Triage Delay"))=0,"None",IF(COUNTIFS('Activity &amp; Event Log'!$D$5:$D$504,Settings!$O$66,'Activity &amp; Event Log'!$V$5:$V$504,"Telemetry Blind Spot")&gt;=COUNTIFS('Activity &amp; Event Log'!$D$5:$D$504,Settings!$O$66,'Activity &amp; Event Log'!$V$5:$V$504,"Missed Alert"),IF(COUNTIFS('Activity &amp; Event Log'!$D$5:$D$504,Settings!$O$66,'Activity &amp; Event Log'!$V$5:$V$504,"Telemetry Blind Spot")&gt;=COUNTIFS('Activity &amp; Event Log'!$D$5:$D$504,Settings!$O$66,'Activity &amp; Event Log'!$V$5:$V$504,"Triage Delay"),"Blind Spot",IF(COUNTIFS('Activity &amp; Event Log'!$D$5:$D$504,Settings!$O$66,'Activity &amp; Event Log'!$V$5:$V$504,"Missed Alert")&gt;=COUNTIFS('Activity &amp; Event Log'!$D$5:$D$504,Settings!$O$66,'Activity &amp; Event Log'!$V$5:$V$504,"Triage Delay"),"Missed Alert","Triage Delay")),IF(COUNTIFS('Activity &amp; Event Log'!$D$5:$D$504,Settings!$O$66,'Activity &amp; Event Log'!$V$5:$V$504,"Missed Alert")&gt;=COUNTIFS('Activity &amp; Event Log'!$D$5:$D$504,Settings!$O$66,'Activity &amp; Event Log'!$V$5:$V$504,"Triage Delay"),"Missed Alert","Triage Delay"))))</f>
        <v/>
      </c>
      <c r="L138" s="10" t="str">
        <f aca="false">IF(OR(Settings!$O$66="",E138=0),"",IF((COUNTIFS('Activity &amp; Event Log'!$D$5:$D$504,Settings!$O$66,'Activity &amp; Event Log'!$V$5:$V$504,"Telemetry Blind Spot")+COUNTIFS('Activity &amp; Event Log'!$D$5:$D$504,Settings!$O$66,'Activity &amp; Event Log'!$V$5:$V$504,"Missed Alert")+COUNTIFS('Activity &amp; Event Log'!$D$5:$D$504,Settings!$O$66,'Activity &amp; Event Log'!$V$5:$V$504,"Detected - SLA Breach"))&gt;=Settings!$B$11,"High","Normal"))</f>
        <v/>
      </c>
    </row>
    <row r="139" customFormat="false" ht="15" hidden="false" customHeight="false" outlineLevel="0" collapsed="false">
      <c r="B139" s="10" t="str">
        <f aca="false">IF(Settings!$O$67="","",Settings!$Q$67)</f>
        <v/>
      </c>
      <c r="C139" s="10" t="str">
        <f aca="false">IF(Settings!$O$67="","",Settings!$O$67)</f>
        <v/>
      </c>
      <c r="D139" s="10" t="str">
        <f aca="false">IF(Settings!$O$67="","",Settings!$P$67)</f>
        <v/>
      </c>
      <c r="E139" s="11" t="str">
        <f aca="false">IF(Settings!$O$67="","",COUNTIFS('Activity &amp; Event Log'!$D$5:$D$504,Settings!$O$67,'Activity &amp; Event Log'!$G$5:$G$504,"?*"))</f>
        <v/>
      </c>
      <c r="F139" s="11" t="str">
        <f aca="false">IF(Settings!$O$67="","",SUMIFS('Activity &amp; Event Log'!$W$5:$W$504,'Activity &amp; Event Log'!$D$5:$D$504,Settings!$O$67))</f>
        <v/>
      </c>
      <c r="G139" s="12" t="str">
        <f aca="false">IF(OR(Settings!$O$67="",E139=0),"",F139/E139)</f>
        <v/>
      </c>
      <c r="H139" s="15" t="str">
        <f aca="false">IF(OR(Settings!$O$67="",F139=0),"",AVERAGEIFS('Activity &amp; Event Log'!$S$5:$S$504,'Activity &amp; Event Log'!$D$5:$D$504,Settings!$O$67))</f>
        <v/>
      </c>
      <c r="I139" s="15" t="str">
        <f aca="false">IF(OR(Settings!$O$67="",F139=0),"",_xlfn.MAXIFS('Activity &amp; Event Log'!$S$5:$S$504,'Activity &amp; Event Log'!$D$5:$D$504,Settings!$O$67))</f>
        <v/>
      </c>
      <c r="J139" s="12" t="str">
        <f aca="false">IF(OR(Settings!$O$67="",E139=0),"",COUNTIFS('Activity &amp; Event Log'!$D$5:$D$504,Settings!$O$67,'Activity &amp; Event Log'!$U$5:$U$504,"Yes")/E139)</f>
        <v/>
      </c>
      <c r="K139" s="10" t="str">
        <f aca="false">IF(OR(Settings!$O$67="",E139=0),"",IF(MAX(COUNTIFS('Activity &amp; Event Log'!$D$5:$D$504,Settings!$O$67,'Activity &amp; Event Log'!$V$5:$V$504,"Telemetry Blind Spot"),COUNTIFS('Activity &amp; Event Log'!$D$5:$D$504,Settings!$O$67,'Activity &amp; Event Log'!$V$5:$V$504,"Missed Alert"),COUNTIFS('Activity &amp; Event Log'!$D$5:$D$504,Settings!$O$67,'Activity &amp; Event Log'!$V$5:$V$504,"Triage Delay"))=0,"None",IF(COUNTIFS('Activity &amp; Event Log'!$D$5:$D$504,Settings!$O$67,'Activity &amp; Event Log'!$V$5:$V$504,"Telemetry Blind Spot")&gt;=COUNTIFS('Activity &amp; Event Log'!$D$5:$D$504,Settings!$O$67,'Activity &amp; Event Log'!$V$5:$V$504,"Missed Alert"),IF(COUNTIFS('Activity &amp; Event Log'!$D$5:$D$504,Settings!$O$67,'Activity &amp; Event Log'!$V$5:$V$504,"Telemetry Blind Spot")&gt;=COUNTIFS('Activity &amp; Event Log'!$D$5:$D$504,Settings!$O$67,'Activity &amp; Event Log'!$V$5:$V$504,"Triage Delay"),"Blind Spot",IF(COUNTIFS('Activity &amp; Event Log'!$D$5:$D$504,Settings!$O$67,'Activity &amp; Event Log'!$V$5:$V$504,"Missed Alert")&gt;=COUNTIFS('Activity &amp; Event Log'!$D$5:$D$504,Settings!$O$67,'Activity &amp; Event Log'!$V$5:$V$504,"Triage Delay"),"Missed Alert","Triage Delay")),IF(COUNTIFS('Activity &amp; Event Log'!$D$5:$D$504,Settings!$O$67,'Activity &amp; Event Log'!$V$5:$V$504,"Missed Alert")&gt;=COUNTIFS('Activity &amp; Event Log'!$D$5:$D$504,Settings!$O$67,'Activity &amp; Event Log'!$V$5:$V$504,"Triage Delay"),"Missed Alert","Triage Delay"))))</f>
        <v/>
      </c>
      <c r="L139" s="10" t="str">
        <f aca="false">IF(OR(Settings!$O$67="",E139=0),"",IF((COUNTIFS('Activity &amp; Event Log'!$D$5:$D$504,Settings!$O$67,'Activity &amp; Event Log'!$V$5:$V$504,"Telemetry Blind Spot")+COUNTIFS('Activity &amp; Event Log'!$D$5:$D$504,Settings!$O$67,'Activity &amp; Event Log'!$V$5:$V$504,"Missed Alert")+COUNTIFS('Activity &amp; Event Log'!$D$5:$D$504,Settings!$O$67,'Activity &amp; Event Log'!$V$5:$V$504,"Detected - SLA Breach"))&gt;=Settings!$B$11,"High","Normal"))</f>
        <v/>
      </c>
    </row>
    <row r="140" customFormat="false" ht="15" hidden="false" customHeight="false" outlineLevel="0" collapsed="false">
      <c r="B140" s="10" t="str">
        <f aca="false">IF(Settings!$O$68="","",Settings!$Q$68)</f>
        <v/>
      </c>
      <c r="C140" s="10" t="str">
        <f aca="false">IF(Settings!$O$68="","",Settings!$O$68)</f>
        <v/>
      </c>
      <c r="D140" s="10" t="str">
        <f aca="false">IF(Settings!$O$68="","",Settings!$P$68)</f>
        <v/>
      </c>
      <c r="E140" s="11" t="str">
        <f aca="false">IF(Settings!$O$68="","",COUNTIFS('Activity &amp; Event Log'!$D$5:$D$504,Settings!$O$68,'Activity &amp; Event Log'!$G$5:$G$504,"?*"))</f>
        <v/>
      </c>
      <c r="F140" s="11" t="str">
        <f aca="false">IF(Settings!$O$68="","",SUMIFS('Activity &amp; Event Log'!$W$5:$W$504,'Activity &amp; Event Log'!$D$5:$D$504,Settings!$O$68))</f>
        <v/>
      </c>
      <c r="G140" s="12" t="str">
        <f aca="false">IF(OR(Settings!$O$68="",E140=0),"",F140/E140)</f>
        <v/>
      </c>
      <c r="H140" s="15" t="str">
        <f aca="false">IF(OR(Settings!$O$68="",F140=0),"",AVERAGEIFS('Activity &amp; Event Log'!$S$5:$S$504,'Activity &amp; Event Log'!$D$5:$D$504,Settings!$O$68))</f>
        <v/>
      </c>
      <c r="I140" s="15" t="str">
        <f aca="false">IF(OR(Settings!$O$68="",F140=0),"",_xlfn.MAXIFS('Activity &amp; Event Log'!$S$5:$S$504,'Activity &amp; Event Log'!$D$5:$D$504,Settings!$O$68))</f>
        <v/>
      </c>
      <c r="J140" s="12" t="str">
        <f aca="false">IF(OR(Settings!$O$68="",E140=0),"",COUNTIFS('Activity &amp; Event Log'!$D$5:$D$504,Settings!$O$68,'Activity &amp; Event Log'!$U$5:$U$504,"Yes")/E140)</f>
        <v/>
      </c>
      <c r="K140" s="10" t="str">
        <f aca="false">IF(OR(Settings!$O$68="",E140=0),"",IF(MAX(COUNTIFS('Activity &amp; Event Log'!$D$5:$D$504,Settings!$O$68,'Activity &amp; Event Log'!$V$5:$V$504,"Telemetry Blind Spot"),COUNTIFS('Activity &amp; Event Log'!$D$5:$D$504,Settings!$O$68,'Activity &amp; Event Log'!$V$5:$V$504,"Missed Alert"),COUNTIFS('Activity &amp; Event Log'!$D$5:$D$504,Settings!$O$68,'Activity &amp; Event Log'!$V$5:$V$504,"Triage Delay"))=0,"None",IF(COUNTIFS('Activity &amp; Event Log'!$D$5:$D$504,Settings!$O$68,'Activity &amp; Event Log'!$V$5:$V$504,"Telemetry Blind Spot")&gt;=COUNTIFS('Activity &amp; Event Log'!$D$5:$D$504,Settings!$O$68,'Activity &amp; Event Log'!$V$5:$V$504,"Missed Alert"),IF(COUNTIFS('Activity &amp; Event Log'!$D$5:$D$504,Settings!$O$68,'Activity &amp; Event Log'!$V$5:$V$504,"Telemetry Blind Spot")&gt;=COUNTIFS('Activity &amp; Event Log'!$D$5:$D$504,Settings!$O$68,'Activity &amp; Event Log'!$V$5:$V$504,"Triage Delay"),"Blind Spot",IF(COUNTIFS('Activity &amp; Event Log'!$D$5:$D$504,Settings!$O$68,'Activity &amp; Event Log'!$V$5:$V$504,"Missed Alert")&gt;=COUNTIFS('Activity &amp; Event Log'!$D$5:$D$504,Settings!$O$68,'Activity &amp; Event Log'!$V$5:$V$504,"Triage Delay"),"Missed Alert","Triage Delay")),IF(COUNTIFS('Activity &amp; Event Log'!$D$5:$D$504,Settings!$O$68,'Activity &amp; Event Log'!$V$5:$V$504,"Missed Alert")&gt;=COUNTIFS('Activity &amp; Event Log'!$D$5:$D$504,Settings!$O$68,'Activity &amp; Event Log'!$V$5:$V$504,"Triage Delay"),"Missed Alert","Triage Delay"))))</f>
        <v/>
      </c>
      <c r="L140" s="10" t="str">
        <f aca="false">IF(OR(Settings!$O$68="",E140=0),"",IF((COUNTIFS('Activity &amp; Event Log'!$D$5:$D$504,Settings!$O$68,'Activity &amp; Event Log'!$V$5:$V$504,"Telemetry Blind Spot")+COUNTIFS('Activity &amp; Event Log'!$D$5:$D$504,Settings!$O$68,'Activity &amp; Event Log'!$V$5:$V$504,"Missed Alert")+COUNTIFS('Activity &amp; Event Log'!$D$5:$D$504,Settings!$O$68,'Activity &amp; Event Log'!$V$5:$V$504,"Detected - SLA Breach"))&gt;=Settings!$B$11,"High","Normal"))</f>
        <v/>
      </c>
    </row>
    <row r="141" customFormat="false" ht="15" hidden="false" customHeight="false" outlineLevel="0" collapsed="false">
      <c r="B141" s="10" t="str">
        <f aca="false">IF(Settings!$O$69="","",Settings!$Q$69)</f>
        <v/>
      </c>
      <c r="C141" s="10" t="str">
        <f aca="false">IF(Settings!$O$69="","",Settings!$O$69)</f>
        <v/>
      </c>
      <c r="D141" s="10" t="str">
        <f aca="false">IF(Settings!$O$69="","",Settings!$P$69)</f>
        <v/>
      </c>
      <c r="E141" s="11" t="str">
        <f aca="false">IF(Settings!$O$69="","",COUNTIFS('Activity &amp; Event Log'!$D$5:$D$504,Settings!$O$69,'Activity &amp; Event Log'!$G$5:$G$504,"?*"))</f>
        <v/>
      </c>
      <c r="F141" s="11" t="str">
        <f aca="false">IF(Settings!$O$69="","",SUMIFS('Activity &amp; Event Log'!$W$5:$W$504,'Activity &amp; Event Log'!$D$5:$D$504,Settings!$O$69))</f>
        <v/>
      </c>
      <c r="G141" s="12" t="str">
        <f aca="false">IF(OR(Settings!$O$69="",E141=0),"",F141/E141)</f>
        <v/>
      </c>
      <c r="H141" s="15" t="str">
        <f aca="false">IF(OR(Settings!$O$69="",F141=0),"",AVERAGEIFS('Activity &amp; Event Log'!$S$5:$S$504,'Activity &amp; Event Log'!$D$5:$D$504,Settings!$O$69))</f>
        <v/>
      </c>
      <c r="I141" s="15" t="str">
        <f aca="false">IF(OR(Settings!$O$69="",F141=0),"",_xlfn.MAXIFS('Activity &amp; Event Log'!$S$5:$S$504,'Activity &amp; Event Log'!$D$5:$D$504,Settings!$O$69))</f>
        <v/>
      </c>
      <c r="J141" s="12" t="str">
        <f aca="false">IF(OR(Settings!$O$69="",E141=0),"",COUNTIFS('Activity &amp; Event Log'!$D$5:$D$504,Settings!$O$69,'Activity &amp; Event Log'!$U$5:$U$504,"Yes")/E141)</f>
        <v/>
      </c>
      <c r="K141" s="10" t="str">
        <f aca="false">IF(OR(Settings!$O$69="",E141=0),"",IF(MAX(COUNTIFS('Activity &amp; Event Log'!$D$5:$D$504,Settings!$O$69,'Activity &amp; Event Log'!$V$5:$V$504,"Telemetry Blind Spot"),COUNTIFS('Activity &amp; Event Log'!$D$5:$D$504,Settings!$O$69,'Activity &amp; Event Log'!$V$5:$V$504,"Missed Alert"),COUNTIFS('Activity &amp; Event Log'!$D$5:$D$504,Settings!$O$69,'Activity &amp; Event Log'!$V$5:$V$504,"Triage Delay"))=0,"None",IF(COUNTIFS('Activity &amp; Event Log'!$D$5:$D$504,Settings!$O$69,'Activity &amp; Event Log'!$V$5:$V$504,"Telemetry Blind Spot")&gt;=COUNTIFS('Activity &amp; Event Log'!$D$5:$D$504,Settings!$O$69,'Activity &amp; Event Log'!$V$5:$V$504,"Missed Alert"),IF(COUNTIFS('Activity &amp; Event Log'!$D$5:$D$504,Settings!$O$69,'Activity &amp; Event Log'!$V$5:$V$504,"Telemetry Blind Spot")&gt;=COUNTIFS('Activity &amp; Event Log'!$D$5:$D$504,Settings!$O$69,'Activity &amp; Event Log'!$V$5:$V$504,"Triage Delay"),"Blind Spot",IF(COUNTIFS('Activity &amp; Event Log'!$D$5:$D$504,Settings!$O$69,'Activity &amp; Event Log'!$V$5:$V$504,"Missed Alert")&gt;=COUNTIFS('Activity &amp; Event Log'!$D$5:$D$504,Settings!$O$69,'Activity &amp; Event Log'!$V$5:$V$504,"Triage Delay"),"Missed Alert","Triage Delay")),IF(COUNTIFS('Activity &amp; Event Log'!$D$5:$D$504,Settings!$O$69,'Activity &amp; Event Log'!$V$5:$V$504,"Missed Alert")&gt;=COUNTIFS('Activity &amp; Event Log'!$D$5:$D$504,Settings!$O$69,'Activity &amp; Event Log'!$V$5:$V$504,"Triage Delay"),"Missed Alert","Triage Delay"))))</f>
        <v/>
      </c>
      <c r="L141" s="10" t="str">
        <f aca="false">IF(OR(Settings!$O$69="",E141=0),"",IF((COUNTIFS('Activity &amp; Event Log'!$D$5:$D$504,Settings!$O$69,'Activity &amp; Event Log'!$V$5:$V$504,"Telemetry Blind Spot")+COUNTIFS('Activity &amp; Event Log'!$D$5:$D$504,Settings!$O$69,'Activity &amp; Event Log'!$V$5:$V$504,"Missed Alert")+COUNTIFS('Activity &amp; Event Log'!$D$5:$D$504,Settings!$O$69,'Activity &amp; Event Log'!$V$5:$V$504,"Detected - SLA Breach"))&gt;=Settings!$B$11,"High","Normal"))</f>
        <v/>
      </c>
    </row>
    <row r="142" customFormat="false" ht="15" hidden="false" customHeight="false" outlineLevel="0" collapsed="false">
      <c r="B142" s="10" t="str">
        <f aca="false">IF(Settings!$O$70="","",Settings!$Q$70)</f>
        <v/>
      </c>
      <c r="C142" s="10" t="str">
        <f aca="false">IF(Settings!$O$70="","",Settings!$O$70)</f>
        <v/>
      </c>
      <c r="D142" s="10" t="str">
        <f aca="false">IF(Settings!$O$70="","",Settings!$P$70)</f>
        <v/>
      </c>
      <c r="E142" s="11" t="str">
        <f aca="false">IF(Settings!$O$70="","",COUNTIFS('Activity &amp; Event Log'!$D$5:$D$504,Settings!$O$70,'Activity &amp; Event Log'!$G$5:$G$504,"?*"))</f>
        <v/>
      </c>
      <c r="F142" s="11" t="str">
        <f aca="false">IF(Settings!$O$70="","",SUMIFS('Activity &amp; Event Log'!$W$5:$W$504,'Activity &amp; Event Log'!$D$5:$D$504,Settings!$O$70))</f>
        <v/>
      </c>
      <c r="G142" s="12" t="str">
        <f aca="false">IF(OR(Settings!$O$70="",E142=0),"",F142/E142)</f>
        <v/>
      </c>
      <c r="H142" s="15" t="str">
        <f aca="false">IF(OR(Settings!$O$70="",F142=0),"",AVERAGEIFS('Activity &amp; Event Log'!$S$5:$S$504,'Activity &amp; Event Log'!$D$5:$D$504,Settings!$O$70))</f>
        <v/>
      </c>
      <c r="I142" s="15" t="str">
        <f aca="false">IF(OR(Settings!$O$70="",F142=0),"",_xlfn.MAXIFS('Activity &amp; Event Log'!$S$5:$S$504,'Activity &amp; Event Log'!$D$5:$D$504,Settings!$O$70))</f>
        <v/>
      </c>
      <c r="J142" s="12" t="str">
        <f aca="false">IF(OR(Settings!$O$70="",E142=0),"",COUNTIFS('Activity &amp; Event Log'!$D$5:$D$504,Settings!$O$70,'Activity &amp; Event Log'!$U$5:$U$504,"Yes")/E142)</f>
        <v/>
      </c>
      <c r="K142" s="10" t="str">
        <f aca="false">IF(OR(Settings!$O$70="",E142=0),"",IF(MAX(COUNTIFS('Activity &amp; Event Log'!$D$5:$D$504,Settings!$O$70,'Activity &amp; Event Log'!$V$5:$V$504,"Telemetry Blind Spot"),COUNTIFS('Activity &amp; Event Log'!$D$5:$D$504,Settings!$O$70,'Activity &amp; Event Log'!$V$5:$V$504,"Missed Alert"),COUNTIFS('Activity &amp; Event Log'!$D$5:$D$504,Settings!$O$70,'Activity &amp; Event Log'!$V$5:$V$504,"Triage Delay"))=0,"None",IF(COUNTIFS('Activity &amp; Event Log'!$D$5:$D$504,Settings!$O$70,'Activity &amp; Event Log'!$V$5:$V$504,"Telemetry Blind Spot")&gt;=COUNTIFS('Activity &amp; Event Log'!$D$5:$D$504,Settings!$O$70,'Activity &amp; Event Log'!$V$5:$V$504,"Missed Alert"),IF(COUNTIFS('Activity &amp; Event Log'!$D$5:$D$504,Settings!$O$70,'Activity &amp; Event Log'!$V$5:$V$504,"Telemetry Blind Spot")&gt;=COUNTIFS('Activity &amp; Event Log'!$D$5:$D$504,Settings!$O$70,'Activity &amp; Event Log'!$V$5:$V$504,"Triage Delay"),"Blind Spot",IF(COUNTIFS('Activity &amp; Event Log'!$D$5:$D$504,Settings!$O$70,'Activity &amp; Event Log'!$V$5:$V$504,"Missed Alert")&gt;=COUNTIFS('Activity &amp; Event Log'!$D$5:$D$504,Settings!$O$70,'Activity &amp; Event Log'!$V$5:$V$504,"Triage Delay"),"Missed Alert","Triage Delay")),IF(COUNTIFS('Activity &amp; Event Log'!$D$5:$D$504,Settings!$O$70,'Activity &amp; Event Log'!$V$5:$V$504,"Missed Alert")&gt;=COUNTIFS('Activity &amp; Event Log'!$D$5:$D$504,Settings!$O$70,'Activity &amp; Event Log'!$V$5:$V$504,"Triage Delay"),"Missed Alert","Triage Delay"))))</f>
        <v/>
      </c>
      <c r="L142" s="10" t="str">
        <f aca="false">IF(OR(Settings!$O$70="",E142=0),"",IF((COUNTIFS('Activity &amp; Event Log'!$D$5:$D$504,Settings!$O$70,'Activity &amp; Event Log'!$V$5:$V$504,"Telemetry Blind Spot")+COUNTIFS('Activity &amp; Event Log'!$D$5:$D$504,Settings!$O$70,'Activity &amp; Event Log'!$V$5:$V$504,"Missed Alert")+COUNTIFS('Activity &amp; Event Log'!$D$5:$D$504,Settings!$O$70,'Activity &amp; Event Log'!$V$5:$V$504,"Detected - SLA Breach"))&gt;=Settings!$B$11,"High","Normal"))</f>
        <v/>
      </c>
    </row>
    <row r="143" customFormat="false" ht="15" hidden="false" customHeight="false" outlineLevel="0" collapsed="false">
      <c r="B143" s="10" t="str">
        <f aca="false">IF(Settings!$O$71="","",Settings!$Q$71)</f>
        <v/>
      </c>
      <c r="C143" s="10" t="str">
        <f aca="false">IF(Settings!$O$71="","",Settings!$O$71)</f>
        <v/>
      </c>
      <c r="D143" s="10" t="str">
        <f aca="false">IF(Settings!$O$71="","",Settings!$P$71)</f>
        <v/>
      </c>
      <c r="E143" s="11" t="str">
        <f aca="false">IF(Settings!$O$71="","",COUNTIFS('Activity &amp; Event Log'!$D$5:$D$504,Settings!$O$71,'Activity &amp; Event Log'!$G$5:$G$504,"?*"))</f>
        <v/>
      </c>
      <c r="F143" s="11" t="str">
        <f aca="false">IF(Settings!$O$71="","",SUMIFS('Activity &amp; Event Log'!$W$5:$W$504,'Activity &amp; Event Log'!$D$5:$D$504,Settings!$O$71))</f>
        <v/>
      </c>
      <c r="G143" s="12" t="str">
        <f aca="false">IF(OR(Settings!$O$71="",E143=0),"",F143/E143)</f>
        <v/>
      </c>
      <c r="H143" s="15" t="str">
        <f aca="false">IF(OR(Settings!$O$71="",F143=0),"",AVERAGEIFS('Activity &amp; Event Log'!$S$5:$S$504,'Activity &amp; Event Log'!$D$5:$D$504,Settings!$O$71))</f>
        <v/>
      </c>
      <c r="I143" s="15" t="str">
        <f aca="false">IF(OR(Settings!$O$71="",F143=0),"",_xlfn.MAXIFS('Activity &amp; Event Log'!$S$5:$S$504,'Activity &amp; Event Log'!$D$5:$D$504,Settings!$O$71))</f>
        <v/>
      </c>
      <c r="J143" s="12" t="str">
        <f aca="false">IF(OR(Settings!$O$71="",E143=0),"",COUNTIFS('Activity &amp; Event Log'!$D$5:$D$504,Settings!$O$71,'Activity &amp; Event Log'!$U$5:$U$504,"Yes")/E143)</f>
        <v/>
      </c>
      <c r="K143" s="10" t="str">
        <f aca="false">IF(OR(Settings!$O$71="",E143=0),"",IF(MAX(COUNTIFS('Activity &amp; Event Log'!$D$5:$D$504,Settings!$O$71,'Activity &amp; Event Log'!$V$5:$V$504,"Telemetry Blind Spot"),COUNTIFS('Activity &amp; Event Log'!$D$5:$D$504,Settings!$O$71,'Activity &amp; Event Log'!$V$5:$V$504,"Missed Alert"),COUNTIFS('Activity &amp; Event Log'!$D$5:$D$504,Settings!$O$71,'Activity &amp; Event Log'!$V$5:$V$504,"Triage Delay"))=0,"None",IF(COUNTIFS('Activity &amp; Event Log'!$D$5:$D$504,Settings!$O$71,'Activity &amp; Event Log'!$V$5:$V$504,"Telemetry Blind Spot")&gt;=COUNTIFS('Activity &amp; Event Log'!$D$5:$D$504,Settings!$O$71,'Activity &amp; Event Log'!$V$5:$V$504,"Missed Alert"),IF(COUNTIFS('Activity &amp; Event Log'!$D$5:$D$504,Settings!$O$71,'Activity &amp; Event Log'!$V$5:$V$504,"Telemetry Blind Spot")&gt;=COUNTIFS('Activity &amp; Event Log'!$D$5:$D$504,Settings!$O$71,'Activity &amp; Event Log'!$V$5:$V$504,"Triage Delay"),"Blind Spot",IF(COUNTIFS('Activity &amp; Event Log'!$D$5:$D$504,Settings!$O$71,'Activity &amp; Event Log'!$V$5:$V$504,"Missed Alert")&gt;=COUNTIFS('Activity &amp; Event Log'!$D$5:$D$504,Settings!$O$71,'Activity &amp; Event Log'!$V$5:$V$504,"Triage Delay"),"Missed Alert","Triage Delay")),IF(COUNTIFS('Activity &amp; Event Log'!$D$5:$D$504,Settings!$O$71,'Activity &amp; Event Log'!$V$5:$V$504,"Missed Alert")&gt;=COUNTIFS('Activity &amp; Event Log'!$D$5:$D$504,Settings!$O$71,'Activity &amp; Event Log'!$V$5:$V$504,"Triage Delay"),"Missed Alert","Triage Delay"))))</f>
        <v/>
      </c>
      <c r="L143" s="10" t="str">
        <f aca="false">IF(OR(Settings!$O$71="",E143=0),"",IF((COUNTIFS('Activity &amp; Event Log'!$D$5:$D$504,Settings!$O$71,'Activity &amp; Event Log'!$V$5:$V$504,"Telemetry Blind Spot")+COUNTIFS('Activity &amp; Event Log'!$D$5:$D$504,Settings!$O$71,'Activity &amp; Event Log'!$V$5:$V$504,"Missed Alert")+COUNTIFS('Activity &amp; Event Log'!$D$5:$D$504,Settings!$O$71,'Activity &amp; Event Log'!$V$5:$V$504,"Detected - SLA Breach"))&gt;=Settings!$B$11,"High","Normal"))</f>
        <v/>
      </c>
    </row>
    <row r="144" customFormat="false" ht="15" hidden="false" customHeight="false" outlineLevel="0" collapsed="false">
      <c r="B144" s="10" t="str">
        <f aca="false">IF(Settings!$O$72="","",Settings!$Q$72)</f>
        <v/>
      </c>
      <c r="C144" s="10" t="str">
        <f aca="false">IF(Settings!$O$72="","",Settings!$O$72)</f>
        <v/>
      </c>
      <c r="D144" s="10" t="str">
        <f aca="false">IF(Settings!$O$72="","",Settings!$P$72)</f>
        <v/>
      </c>
      <c r="E144" s="11" t="str">
        <f aca="false">IF(Settings!$O$72="","",COUNTIFS('Activity &amp; Event Log'!$D$5:$D$504,Settings!$O$72,'Activity &amp; Event Log'!$G$5:$G$504,"?*"))</f>
        <v/>
      </c>
      <c r="F144" s="11" t="str">
        <f aca="false">IF(Settings!$O$72="","",SUMIFS('Activity &amp; Event Log'!$W$5:$W$504,'Activity &amp; Event Log'!$D$5:$D$504,Settings!$O$72))</f>
        <v/>
      </c>
      <c r="G144" s="12" t="str">
        <f aca="false">IF(OR(Settings!$O$72="",E144=0),"",F144/E144)</f>
        <v/>
      </c>
      <c r="H144" s="15" t="str">
        <f aca="false">IF(OR(Settings!$O$72="",F144=0),"",AVERAGEIFS('Activity &amp; Event Log'!$S$5:$S$504,'Activity &amp; Event Log'!$D$5:$D$504,Settings!$O$72))</f>
        <v/>
      </c>
      <c r="I144" s="15" t="str">
        <f aca="false">IF(OR(Settings!$O$72="",F144=0),"",_xlfn.MAXIFS('Activity &amp; Event Log'!$S$5:$S$504,'Activity &amp; Event Log'!$D$5:$D$504,Settings!$O$72))</f>
        <v/>
      </c>
      <c r="J144" s="12" t="str">
        <f aca="false">IF(OR(Settings!$O$72="",E144=0),"",COUNTIFS('Activity &amp; Event Log'!$D$5:$D$504,Settings!$O$72,'Activity &amp; Event Log'!$U$5:$U$504,"Yes")/E144)</f>
        <v/>
      </c>
      <c r="K144" s="10" t="str">
        <f aca="false">IF(OR(Settings!$O$72="",E144=0),"",IF(MAX(COUNTIFS('Activity &amp; Event Log'!$D$5:$D$504,Settings!$O$72,'Activity &amp; Event Log'!$V$5:$V$504,"Telemetry Blind Spot"),COUNTIFS('Activity &amp; Event Log'!$D$5:$D$504,Settings!$O$72,'Activity &amp; Event Log'!$V$5:$V$504,"Missed Alert"),COUNTIFS('Activity &amp; Event Log'!$D$5:$D$504,Settings!$O$72,'Activity &amp; Event Log'!$V$5:$V$504,"Triage Delay"))=0,"None",IF(COUNTIFS('Activity &amp; Event Log'!$D$5:$D$504,Settings!$O$72,'Activity &amp; Event Log'!$V$5:$V$504,"Telemetry Blind Spot")&gt;=COUNTIFS('Activity &amp; Event Log'!$D$5:$D$504,Settings!$O$72,'Activity &amp; Event Log'!$V$5:$V$504,"Missed Alert"),IF(COUNTIFS('Activity &amp; Event Log'!$D$5:$D$504,Settings!$O$72,'Activity &amp; Event Log'!$V$5:$V$504,"Telemetry Blind Spot")&gt;=COUNTIFS('Activity &amp; Event Log'!$D$5:$D$504,Settings!$O$72,'Activity &amp; Event Log'!$V$5:$V$504,"Triage Delay"),"Blind Spot",IF(COUNTIFS('Activity &amp; Event Log'!$D$5:$D$504,Settings!$O$72,'Activity &amp; Event Log'!$V$5:$V$504,"Missed Alert")&gt;=COUNTIFS('Activity &amp; Event Log'!$D$5:$D$504,Settings!$O$72,'Activity &amp; Event Log'!$V$5:$V$504,"Triage Delay"),"Missed Alert","Triage Delay")),IF(COUNTIFS('Activity &amp; Event Log'!$D$5:$D$504,Settings!$O$72,'Activity &amp; Event Log'!$V$5:$V$504,"Missed Alert")&gt;=COUNTIFS('Activity &amp; Event Log'!$D$5:$D$504,Settings!$O$72,'Activity &amp; Event Log'!$V$5:$V$504,"Triage Delay"),"Missed Alert","Triage Delay"))))</f>
        <v/>
      </c>
      <c r="L144" s="10" t="str">
        <f aca="false">IF(OR(Settings!$O$72="",E144=0),"",IF((COUNTIFS('Activity &amp; Event Log'!$D$5:$D$504,Settings!$O$72,'Activity &amp; Event Log'!$V$5:$V$504,"Telemetry Blind Spot")+COUNTIFS('Activity &amp; Event Log'!$D$5:$D$504,Settings!$O$72,'Activity &amp; Event Log'!$V$5:$V$504,"Missed Alert")+COUNTIFS('Activity &amp; Event Log'!$D$5:$D$504,Settings!$O$72,'Activity &amp; Event Log'!$V$5:$V$504,"Detected - SLA Breach"))&gt;=Settings!$B$11,"High","Normal"))</f>
        <v/>
      </c>
    </row>
    <row r="145" customFormat="false" ht="15" hidden="false" customHeight="false" outlineLevel="0" collapsed="false">
      <c r="B145" s="10" t="str">
        <f aca="false">IF(Settings!$O$73="","",Settings!$Q$73)</f>
        <v/>
      </c>
      <c r="C145" s="10" t="str">
        <f aca="false">IF(Settings!$O$73="","",Settings!$O$73)</f>
        <v/>
      </c>
      <c r="D145" s="10" t="str">
        <f aca="false">IF(Settings!$O$73="","",Settings!$P$73)</f>
        <v/>
      </c>
      <c r="E145" s="11" t="str">
        <f aca="false">IF(Settings!$O$73="","",COUNTIFS('Activity &amp; Event Log'!$D$5:$D$504,Settings!$O$73,'Activity &amp; Event Log'!$G$5:$G$504,"?*"))</f>
        <v/>
      </c>
      <c r="F145" s="11" t="str">
        <f aca="false">IF(Settings!$O$73="","",SUMIFS('Activity &amp; Event Log'!$W$5:$W$504,'Activity &amp; Event Log'!$D$5:$D$504,Settings!$O$73))</f>
        <v/>
      </c>
      <c r="G145" s="12" t="str">
        <f aca="false">IF(OR(Settings!$O$73="",E145=0),"",F145/E145)</f>
        <v/>
      </c>
      <c r="H145" s="15" t="str">
        <f aca="false">IF(OR(Settings!$O$73="",F145=0),"",AVERAGEIFS('Activity &amp; Event Log'!$S$5:$S$504,'Activity &amp; Event Log'!$D$5:$D$504,Settings!$O$73))</f>
        <v/>
      </c>
      <c r="I145" s="15" t="str">
        <f aca="false">IF(OR(Settings!$O$73="",F145=0),"",_xlfn.MAXIFS('Activity &amp; Event Log'!$S$5:$S$504,'Activity &amp; Event Log'!$D$5:$D$504,Settings!$O$73))</f>
        <v/>
      </c>
      <c r="J145" s="12" t="str">
        <f aca="false">IF(OR(Settings!$O$73="",E145=0),"",COUNTIFS('Activity &amp; Event Log'!$D$5:$D$504,Settings!$O$73,'Activity &amp; Event Log'!$U$5:$U$504,"Yes")/E145)</f>
        <v/>
      </c>
      <c r="K145" s="10" t="str">
        <f aca="false">IF(OR(Settings!$O$73="",E145=0),"",IF(MAX(COUNTIFS('Activity &amp; Event Log'!$D$5:$D$504,Settings!$O$73,'Activity &amp; Event Log'!$V$5:$V$504,"Telemetry Blind Spot"),COUNTIFS('Activity &amp; Event Log'!$D$5:$D$504,Settings!$O$73,'Activity &amp; Event Log'!$V$5:$V$504,"Missed Alert"),COUNTIFS('Activity &amp; Event Log'!$D$5:$D$504,Settings!$O$73,'Activity &amp; Event Log'!$V$5:$V$504,"Triage Delay"))=0,"None",IF(COUNTIFS('Activity &amp; Event Log'!$D$5:$D$504,Settings!$O$73,'Activity &amp; Event Log'!$V$5:$V$504,"Telemetry Blind Spot")&gt;=COUNTIFS('Activity &amp; Event Log'!$D$5:$D$504,Settings!$O$73,'Activity &amp; Event Log'!$V$5:$V$504,"Missed Alert"),IF(COUNTIFS('Activity &amp; Event Log'!$D$5:$D$504,Settings!$O$73,'Activity &amp; Event Log'!$V$5:$V$504,"Telemetry Blind Spot")&gt;=COUNTIFS('Activity &amp; Event Log'!$D$5:$D$504,Settings!$O$73,'Activity &amp; Event Log'!$V$5:$V$504,"Triage Delay"),"Blind Spot",IF(COUNTIFS('Activity &amp; Event Log'!$D$5:$D$504,Settings!$O$73,'Activity &amp; Event Log'!$V$5:$V$504,"Missed Alert")&gt;=COUNTIFS('Activity &amp; Event Log'!$D$5:$D$504,Settings!$O$73,'Activity &amp; Event Log'!$V$5:$V$504,"Triage Delay"),"Missed Alert","Triage Delay")),IF(COUNTIFS('Activity &amp; Event Log'!$D$5:$D$504,Settings!$O$73,'Activity &amp; Event Log'!$V$5:$V$504,"Missed Alert")&gt;=COUNTIFS('Activity &amp; Event Log'!$D$5:$D$504,Settings!$O$73,'Activity &amp; Event Log'!$V$5:$V$504,"Triage Delay"),"Missed Alert","Triage Delay"))))</f>
        <v/>
      </c>
      <c r="L145" s="10" t="str">
        <f aca="false">IF(OR(Settings!$O$73="",E145=0),"",IF((COUNTIFS('Activity &amp; Event Log'!$D$5:$D$504,Settings!$O$73,'Activity &amp; Event Log'!$V$5:$V$504,"Telemetry Blind Spot")+COUNTIFS('Activity &amp; Event Log'!$D$5:$D$504,Settings!$O$73,'Activity &amp; Event Log'!$V$5:$V$504,"Missed Alert")+COUNTIFS('Activity &amp; Event Log'!$D$5:$D$504,Settings!$O$73,'Activity &amp; Event Log'!$V$5:$V$504,"Detected - SLA Breach"))&gt;=Settings!$B$11,"High","Normal"))</f>
        <v/>
      </c>
    </row>
    <row r="146" customFormat="false" ht="15" hidden="false" customHeight="false" outlineLevel="0" collapsed="false">
      <c r="B146" s="10" t="str">
        <f aca="false">IF(Settings!$O$74="","",Settings!$Q$74)</f>
        <v/>
      </c>
      <c r="C146" s="10" t="str">
        <f aca="false">IF(Settings!$O$74="","",Settings!$O$74)</f>
        <v/>
      </c>
      <c r="D146" s="10" t="str">
        <f aca="false">IF(Settings!$O$74="","",Settings!$P$74)</f>
        <v/>
      </c>
      <c r="E146" s="11" t="str">
        <f aca="false">IF(Settings!$O$74="","",COUNTIFS('Activity &amp; Event Log'!$D$5:$D$504,Settings!$O$74,'Activity &amp; Event Log'!$G$5:$G$504,"?*"))</f>
        <v/>
      </c>
      <c r="F146" s="11" t="str">
        <f aca="false">IF(Settings!$O$74="","",SUMIFS('Activity &amp; Event Log'!$W$5:$W$504,'Activity &amp; Event Log'!$D$5:$D$504,Settings!$O$74))</f>
        <v/>
      </c>
      <c r="G146" s="12" t="str">
        <f aca="false">IF(OR(Settings!$O$74="",E146=0),"",F146/E146)</f>
        <v/>
      </c>
      <c r="H146" s="15" t="str">
        <f aca="false">IF(OR(Settings!$O$74="",F146=0),"",AVERAGEIFS('Activity &amp; Event Log'!$S$5:$S$504,'Activity &amp; Event Log'!$D$5:$D$504,Settings!$O$74))</f>
        <v/>
      </c>
      <c r="I146" s="15" t="str">
        <f aca="false">IF(OR(Settings!$O$74="",F146=0),"",_xlfn.MAXIFS('Activity &amp; Event Log'!$S$5:$S$504,'Activity &amp; Event Log'!$D$5:$D$504,Settings!$O$74))</f>
        <v/>
      </c>
      <c r="J146" s="12" t="str">
        <f aca="false">IF(OR(Settings!$O$74="",E146=0),"",COUNTIFS('Activity &amp; Event Log'!$D$5:$D$504,Settings!$O$74,'Activity &amp; Event Log'!$U$5:$U$504,"Yes")/E146)</f>
        <v/>
      </c>
      <c r="K146" s="10" t="str">
        <f aca="false">IF(OR(Settings!$O$74="",E146=0),"",IF(MAX(COUNTIFS('Activity &amp; Event Log'!$D$5:$D$504,Settings!$O$74,'Activity &amp; Event Log'!$V$5:$V$504,"Telemetry Blind Spot"),COUNTIFS('Activity &amp; Event Log'!$D$5:$D$504,Settings!$O$74,'Activity &amp; Event Log'!$V$5:$V$504,"Missed Alert"),COUNTIFS('Activity &amp; Event Log'!$D$5:$D$504,Settings!$O$74,'Activity &amp; Event Log'!$V$5:$V$504,"Triage Delay"))=0,"None",IF(COUNTIFS('Activity &amp; Event Log'!$D$5:$D$504,Settings!$O$74,'Activity &amp; Event Log'!$V$5:$V$504,"Telemetry Blind Spot")&gt;=COUNTIFS('Activity &amp; Event Log'!$D$5:$D$504,Settings!$O$74,'Activity &amp; Event Log'!$V$5:$V$504,"Missed Alert"),IF(COUNTIFS('Activity &amp; Event Log'!$D$5:$D$504,Settings!$O$74,'Activity &amp; Event Log'!$V$5:$V$504,"Telemetry Blind Spot")&gt;=COUNTIFS('Activity &amp; Event Log'!$D$5:$D$504,Settings!$O$74,'Activity &amp; Event Log'!$V$5:$V$504,"Triage Delay"),"Blind Spot",IF(COUNTIFS('Activity &amp; Event Log'!$D$5:$D$504,Settings!$O$74,'Activity &amp; Event Log'!$V$5:$V$504,"Missed Alert")&gt;=COUNTIFS('Activity &amp; Event Log'!$D$5:$D$504,Settings!$O$74,'Activity &amp; Event Log'!$V$5:$V$504,"Triage Delay"),"Missed Alert","Triage Delay")),IF(COUNTIFS('Activity &amp; Event Log'!$D$5:$D$504,Settings!$O$74,'Activity &amp; Event Log'!$V$5:$V$504,"Missed Alert")&gt;=COUNTIFS('Activity &amp; Event Log'!$D$5:$D$504,Settings!$O$74,'Activity &amp; Event Log'!$V$5:$V$504,"Triage Delay"),"Missed Alert","Triage Delay"))))</f>
        <v/>
      </c>
      <c r="L146" s="10" t="str">
        <f aca="false">IF(OR(Settings!$O$74="",E146=0),"",IF((COUNTIFS('Activity &amp; Event Log'!$D$5:$D$504,Settings!$O$74,'Activity &amp; Event Log'!$V$5:$V$504,"Telemetry Blind Spot")+COUNTIFS('Activity &amp; Event Log'!$D$5:$D$504,Settings!$O$74,'Activity &amp; Event Log'!$V$5:$V$504,"Missed Alert")+COUNTIFS('Activity &amp; Event Log'!$D$5:$D$504,Settings!$O$74,'Activity &amp; Event Log'!$V$5:$V$504,"Detected - SLA Breach"))&gt;=Settings!$B$11,"High","Normal"))</f>
        <v/>
      </c>
    </row>
    <row r="147" customFormat="false" ht="15" hidden="false" customHeight="false" outlineLevel="0" collapsed="false">
      <c r="B147" s="10" t="str">
        <f aca="false">IF(Settings!$O$75="","",Settings!$Q$75)</f>
        <v/>
      </c>
      <c r="C147" s="10" t="str">
        <f aca="false">IF(Settings!$O$75="","",Settings!$O$75)</f>
        <v/>
      </c>
      <c r="D147" s="10" t="str">
        <f aca="false">IF(Settings!$O$75="","",Settings!$P$75)</f>
        <v/>
      </c>
      <c r="E147" s="11" t="str">
        <f aca="false">IF(Settings!$O$75="","",COUNTIFS('Activity &amp; Event Log'!$D$5:$D$504,Settings!$O$75,'Activity &amp; Event Log'!$G$5:$G$504,"?*"))</f>
        <v/>
      </c>
      <c r="F147" s="11" t="str">
        <f aca="false">IF(Settings!$O$75="","",SUMIFS('Activity &amp; Event Log'!$W$5:$W$504,'Activity &amp; Event Log'!$D$5:$D$504,Settings!$O$75))</f>
        <v/>
      </c>
      <c r="G147" s="12" t="str">
        <f aca="false">IF(OR(Settings!$O$75="",E147=0),"",F147/E147)</f>
        <v/>
      </c>
      <c r="H147" s="15" t="str">
        <f aca="false">IF(OR(Settings!$O$75="",F147=0),"",AVERAGEIFS('Activity &amp; Event Log'!$S$5:$S$504,'Activity &amp; Event Log'!$D$5:$D$504,Settings!$O$75))</f>
        <v/>
      </c>
      <c r="I147" s="15" t="str">
        <f aca="false">IF(OR(Settings!$O$75="",F147=0),"",_xlfn.MAXIFS('Activity &amp; Event Log'!$S$5:$S$504,'Activity &amp; Event Log'!$D$5:$D$504,Settings!$O$75))</f>
        <v/>
      </c>
      <c r="J147" s="12" t="str">
        <f aca="false">IF(OR(Settings!$O$75="",E147=0),"",COUNTIFS('Activity &amp; Event Log'!$D$5:$D$504,Settings!$O$75,'Activity &amp; Event Log'!$U$5:$U$504,"Yes")/E147)</f>
        <v/>
      </c>
      <c r="K147" s="10" t="str">
        <f aca="false">IF(OR(Settings!$O$75="",E147=0),"",IF(MAX(COUNTIFS('Activity &amp; Event Log'!$D$5:$D$504,Settings!$O$75,'Activity &amp; Event Log'!$V$5:$V$504,"Telemetry Blind Spot"),COUNTIFS('Activity &amp; Event Log'!$D$5:$D$504,Settings!$O$75,'Activity &amp; Event Log'!$V$5:$V$504,"Missed Alert"),COUNTIFS('Activity &amp; Event Log'!$D$5:$D$504,Settings!$O$75,'Activity &amp; Event Log'!$V$5:$V$504,"Triage Delay"))=0,"None",IF(COUNTIFS('Activity &amp; Event Log'!$D$5:$D$504,Settings!$O$75,'Activity &amp; Event Log'!$V$5:$V$504,"Telemetry Blind Spot")&gt;=COUNTIFS('Activity &amp; Event Log'!$D$5:$D$504,Settings!$O$75,'Activity &amp; Event Log'!$V$5:$V$504,"Missed Alert"),IF(COUNTIFS('Activity &amp; Event Log'!$D$5:$D$504,Settings!$O$75,'Activity &amp; Event Log'!$V$5:$V$504,"Telemetry Blind Spot")&gt;=COUNTIFS('Activity &amp; Event Log'!$D$5:$D$504,Settings!$O$75,'Activity &amp; Event Log'!$V$5:$V$504,"Triage Delay"),"Blind Spot",IF(COUNTIFS('Activity &amp; Event Log'!$D$5:$D$504,Settings!$O$75,'Activity &amp; Event Log'!$V$5:$V$504,"Missed Alert")&gt;=COUNTIFS('Activity &amp; Event Log'!$D$5:$D$504,Settings!$O$75,'Activity &amp; Event Log'!$V$5:$V$504,"Triage Delay"),"Missed Alert","Triage Delay")),IF(COUNTIFS('Activity &amp; Event Log'!$D$5:$D$504,Settings!$O$75,'Activity &amp; Event Log'!$V$5:$V$504,"Missed Alert")&gt;=COUNTIFS('Activity &amp; Event Log'!$D$5:$D$504,Settings!$O$75,'Activity &amp; Event Log'!$V$5:$V$504,"Triage Delay"),"Missed Alert","Triage Delay"))))</f>
        <v/>
      </c>
      <c r="L147" s="10" t="str">
        <f aca="false">IF(OR(Settings!$O$75="",E147=0),"",IF((COUNTIFS('Activity &amp; Event Log'!$D$5:$D$504,Settings!$O$75,'Activity &amp; Event Log'!$V$5:$V$504,"Telemetry Blind Spot")+COUNTIFS('Activity &amp; Event Log'!$D$5:$D$504,Settings!$O$75,'Activity &amp; Event Log'!$V$5:$V$504,"Missed Alert")+COUNTIFS('Activity &amp; Event Log'!$D$5:$D$504,Settings!$O$75,'Activity &amp; Event Log'!$V$5:$V$504,"Detected - SLA Breach"))&gt;=Settings!$B$11,"High","Normal"))</f>
        <v/>
      </c>
    </row>
    <row r="148" customFormat="false" ht="15" hidden="false" customHeight="false" outlineLevel="0" collapsed="false">
      <c r="B148" s="10" t="str">
        <f aca="false">IF(Settings!$O$76="","",Settings!$Q$76)</f>
        <v/>
      </c>
      <c r="C148" s="10" t="str">
        <f aca="false">IF(Settings!$O$76="","",Settings!$O$76)</f>
        <v/>
      </c>
      <c r="D148" s="10" t="str">
        <f aca="false">IF(Settings!$O$76="","",Settings!$P$76)</f>
        <v/>
      </c>
      <c r="E148" s="11" t="str">
        <f aca="false">IF(Settings!$O$76="","",COUNTIFS('Activity &amp; Event Log'!$D$5:$D$504,Settings!$O$76,'Activity &amp; Event Log'!$G$5:$G$504,"?*"))</f>
        <v/>
      </c>
      <c r="F148" s="11" t="str">
        <f aca="false">IF(Settings!$O$76="","",SUMIFS('Activity &amp; Event Log'!$W$5:$W$504,'Activity &amp; Event Log'!$D$5:$D$504,Settings!$O$76))</f>
        <v/>
      </c>
      <c r="G148" s="12" t="str">
        <f aca="false">IF(OR(Settings!$O$76="",E148=0),"",F148/E148)</f>
        <v/>
      </c>
      <c r="H148" s="15" t="str">
        <f aca="false">IF(OR(Settings!$O$76="",F148=0),"",AVERAGEIFS('Activity &amp; Event Log'!$S$5:$S$504,'Activity &amp; Event Log'!$D$5:$D$504,Settings!$O$76))</f>
        <v/>
      </c>
      <c r="I148" s="15" t="str">
        <f aca="false">IF(OR(Settings!$O$76="",F148=0),"",_xlfn.MAXIFS('Activity &amp; Event Log'!$S$5:$S$504,'Activity &amp; Event Log'!$D$5:$D$504,Settings!$O$76))</f>
        <v/>
      </c>
      <c r="J148" s="12" t="str">
        <f aca="false">IF(OR(Settings!$O$76="",E148=0),"",COUNTIFS('Activity &amp; Event Log'!$D$5:$D$504,Settings!$O$76,'Activity &amp; Event Log'!$U$5:$U$504,"Yes")/E148)</f>
        <v/>
      </c>
      <c r="K148" s="10" t="str">
        <f aca="false">IF(OR(Settings!$O$76="",E148=0),"",IF(MAX(COUNTIFS('Activity &amp; Event Log'!$D$5:$D$504,Settings!$O$76,'Activity &amp; Event Log'!$V$5:$V$504,"Telemetry Blind Spot"),COUNTIFS('Activity &amp; Event Log'!$D$5:$D$504,Settings!$O$76,'Activity &amp; Event Log'!$V$5:$V$504,"Missed Alert"),COUNTIFS('Activity &amp; Event Log'!$D$5:$D$504,Settings!$O$76,'Activity &amp; Event Log'!$V$5:$V$504,"Triage Delay"))=0,"None",IF(COUNTIFS('Activity &amp; Event Log'!$D$5:$D$504,Settings!$O$76,'Activity &amp; Event Log'!$V$5:$V$504,"Telemetry Blind Spot")&gt;=COUNTIFS('Activity &amp; Event Log'!$D$5:$D$504,Settings!$O$76,'Activity &amp; Event Log'!$V$5:$V$504,"Missed Alert"),IF(COUNTIFS('Activity &amp; Event Log'!$D$5:$D$504,Settings!$O$76,'Activity &amp; Event Log'!$V$5:$V$504,"Telemetry Blind Spot")&gt;=COUNTIFS('Activity &amp; Event Log'!$D$5:$D$504,Settings!$O$76,'Activity &amp; Event Log'!$V$5:$V$504,"Triage Delay"),"Blind Spot",IF(COUNTIFS('Activity &amp; Event Log'!$D$5:$D$504,Settings!$O$76,'Activity &amp; Event Log'!$V$5:$V$504,"Missed Alert")&gt;=COUNTIFS('Activity &amp; Event Log'!$D$5:$D$504,Settings!$O$76,'Activity &amp; Event Log'!$V$5:$V$504,"Triage Delay"),"Missed Alert","Triage Delay")),IF(COUNTIFS('Activity &amp; Event Log'!$D$5:$D$504,Settings!$O$76,'Activity &amp; Event Log'!$V$5:$V$504,"Missed Alert")&gt;=COUNTIFS('Activity &amp; Event Log'!$D$5:$D$504,Settings!$O$76,'Activity &amp; Event Log'!$V$5:$V$504,"Triage Delay"),"Missed Alert","Triage Delay"))))</f>
        <v/>
      </c>
      <c r="L148" s="10" t="str">
        <f aca="false">IF(OR(Settings!$O$76="",E148=0),"",IF((COUNTIFS('Activity &amp; Event Log'!$D$5:$D$504,Settings!$O$76,'Activity &amp; Event Log'!$V$5:$V$504,"Telemetry Blind Spot")+COUNTIFS('Activity &amp; Event Log'!$D$5:$D$504,Settings!$O$76,'Activity &amp; Event Log'!$V$5:$V$504,"Missed Alert")+COUNTIFS('Activity &amp; Event Log'!$D$5:$D$504,Settings!$O$76,'Activity &amp; Event Log'!$V$5:$V$504,"Detected - SLA Breach"))&gt;=Settings!$B$11,"High","Normal"))</f>
        <v/>
      </c>
    </row>
    <row r="149" customFormat="false" ht="15" hidden="false" customHeight="false" outlineLevel="0" collapsed="false">
      <c r="B149" s="10" t="str">
        <f aca="false">IF(Settings!$O$77="","",Settings!$Q$77)</f>
        <v/>
      </c>
      <c r="C149" s="10" t="str">
        <f aca="false">IF(Settings!$O$77="","",Settings!$O$77)</f>
        <v/>
      </c>
      <c r="D149" s="10" t="str">
        <f aca="false">IF(Settings!$O$77="","",Settings!$P$77)</f>
        <v/>
      </c>
      <c r="E149" s="11" t="str">
        <f aca="false">IF(Settings!$O$77="","",COUNTIFS('Activity &amp; Event Log'!$D$5:$D$504,Settings!$O$77,'Activity &amp; Event Log'!$G$5:$G$504,"?*"))</f>
        <v/>
      </c>
      <c r="F149" s="11" t="str">
        <f aca="false">IF(Settings!$O$77="","",SUMIFS('Activity &amp; Event Log'!$W$5:$W$504,'Activity &amp; Event Log'!$D$5:$D$504,Settings!$O$77))</f>
        <v/>
      </c>
      <c r="G149" s="12" t="str">
        <f aca="false">IF(OR(Settings!$O$77="",E149=0),"",F149/E149)</f>
        <v/>
      </c>
      <c r="H149" s="15" t="str">
        <f aca="false">IF(OR(Settings!$O$77="",F149=0),"",AVERAGEIFS('Activity &amp; Event Log'!$S$5:$S$504,'Activity &amp; Event Log'!$D$5:$D$504,Settings!$O$77))</f>
        <v/>
      </c>
      <c r="I149" s="15" t="str">
        <f aca="false">IF(OR(Settings!$O$77="",F149=0),"",_xlfn.MAXIFS('Activity &amp; Event Log'!$S$5:$S$504,'Activity &amp; Event Log'!$D$5:$D$504,Settings!$O$77))</f>
        <v/>
      </c>
      <c r="J149" s="12" t="str">
        <f aca="false">IF(OR(Settings!$O$77="",E149=0),"",COUNTIFS('Activity &amp; Event Log'!$D$5:$D$504,Settings!$O$77,'Activity &amp; Event Log'!$U$5:$U$504,"Yes")/E149)</f>
        <v/>
      </c>
      <c r="K149" s="10" t="str">
        <f aca="false">IF(OR(Settings!$O$77="",E149=0),"",IF(MAX(COUNTIFS('Activity &amp; Event Log'!$D$5:$D$504,Settings!$O$77,'Activity &amp; Event Log'!$V$5:$V$504,"Telemetry Blind Spot"),COUNTIFS('Activity &amp; Event Log'!$D$5:$D$504,Settings!$O$77,'Activity &amp; Event Log'!$V$5:$V$504,"Missed Alert"),COUNTIFS('Activity &amp; Event Log'!$D$5:$D$504,Settings!$O$77,'Activity &amp; Event Log'!$V$5:$V$504,"Triage Delay"))=0,"None",IF(COUNTIFS('Activity &amp; Event Log'!$D$5:$D$504,Settings!$O$77,'Activity &amp; Event Log'!$V$5:$V$504,"Telemetry Blind Spot")&gt;=COUNTIFS('Activity &amp; Event Log'!$D$5:$D$504,Settings!$O$77,'Activity &amp; Event Log'!$V$5:$V$504,"Missed Alert"),IF(COUNTIFS('Activity &amp; Event Log'!$D$5:$D$504,Settings!$O$77,'Activity &amp; Event Log'!$V$5:$V$504,"Telemetry Blind Spot")&gt;=COUNTIFS('Activity &amp; Event Log'!$D$5:$D$504,Settings!$O$77,'Activity &amp; Event Log'!$V$5:$V$504,"Triage Delay"),"Blind Spot",IF(COUNTIFS('Activity &amp; Event Log'!$D$5:$D$504,Settings!$O$77,'Activity &amp; Event Log'!$V$5:$V$504,"Missed Alert")&gt;=COUNTIFS('Activity &amp; Event Log'!$D$5:$D$504,Settings!$O$77,'Activity &amp; Event Log'!$V$5:$V$504,"Triage Delay"),"Missed Alert","Triage Delay")),IF(COUNTIFS('Activity &amp; Event Log'!$D$5:$D$504,Settings!$O$77,'Activity &amp; Event Log'!$V$5:$V$504,"Missed Alert")&gt;=COUNTIFS('Activity &amp; Event Log'!$D$5:$D$504,Settings!$O$77,'Activity &amp; Event Log'!$V$5:$V$504,"Triage Delay"),"Missed Alert","Triage Delay"))))</f>
        <v/>
      </c>
      <c r="L149" s="10" t="str">
        <f aca="false">IF(OR(Settings!$O$77="",E149=0),"",IF((COUNTIFS('Activity &amp; Event Log'!$D$5:$D$504,Settings!$O$77,'Activity &amp; Event Log'!$V$5:$V$504,"Telemetry Blind Spot")+COUNTIFS('Activity &amp; Event Log'!$D$5:$D$504,Settings!$O$77,'Activity &amp; Event Log'!$V$5:$V$504,"Missed Alert")+COUNTIFS('Activity &amp; Event Log'!$D$5:$D$504,Settings!$O$77,'Activity &amp; Event Log'!$V$5:$V$504,"Detected - SLA Breach"))&gt;=Settings!$B$11,"High","Normal"))</f>
        <v/>
      </c>
    </row>
    <row r="150" customFormat="false" ht="15" hidden="false" customHeight="false" outlineLevel="0" collapsed="false">
      <c r="B150" s="10" t="str">
        <f aca="false">IF(Settings!$O$78="","",Settings!$Q$78)</f>
        <v/>
      </c>
      <c r="C150" s="10" t="str">
        <f aca="false">IF(Settings!$O$78="","",Settings!$O$78)</f>
        <v/>
      </c>
      <c r="D150" s="10" t="str">
        <f aca="false">IF(Settings!$O$78="","",Settings!$P$78)</f>
        <v/>
      </c>
      <c r="E150" s="11" t="str">
        <f aca="false">IF(Settings!$O$78="","",COUNTIFS('Activity &amp; Event Log'!$D$5:$D$504,Settings!$O$78,'Activity &amp; Event Log'!$G$5:$G$504,"?*"))</f>
        <v/>
      </c>
      <c r="F150" s="11" t="str">
        <f aca="false">IF(Settings!$O$78="","",SUMIFS('Activity &amp; Event Log'!$W$5:$W$504,'Activity &amp; Event Log'!$D$5:$D$504,Settings!$O$78))</f>
        <v/>
      </c>
      <c r="G150" s="12" t="str">
        <f aca="false">IF(OR(Settings!$O$78="",E150=0),"",F150/E150)</f>
        <v/>
      </c>
      <c r="H150" s="15" t="str">
        <f aca="false">IF(OR(Settings!$O$78="",F150=0),"",AVERAGEIFS('Activity &amp; Event Log'!$S$5:$S$504,'Activity &amp; Event Log'!$D$5:$D$504,Settings!$O$78))</f>
        <v/>
      </c>
      <c r="I150" s="15" t="str">
        <f aca="false">IF(OR(Settings!$O$78="",F150=0),"",_xlfn.MAXIFS('Activity &amp; Event Log'!$S$5:$S$504,'Activity &amp; Event Log'!$D$5:$D$504,Settings!$O$78))</f>
        <v/>
      </c>
      <c r="J150" s="12" t="str">
        <f aca="false">IF(OR(Settings!$O$78="",E150=0),"",COUNTIFS('Activity &amp; Event Log'!$D$5:$D$504,Settings!$O$78,'Activity &amp; Event Log'!$U$5:$U$504,"Yes")/E150)</f>
        <v/>
      </c>
      <c r="K150" s="10" t="str">
        <f aca="false">IF(OR(Settings!$O$78="",E150=0),"",IF(MAX(COUNTIFS('Activity &amp; Event Log'!$D$5:$D$504,Settings!$O$78,'Activity &amp; Event Log'!$V$5:$V$504,"Telemetry Blind Spot"),COUNTIFS('Activity &amp; Event Log'!$D$5:$D$504,Settings!$O$78,'Activity &amp; Event Log'!$V$5:$V$504,"Missed Alert"),COUNTIFS('Activity &amp; Event Log'!$D$5:$D$504,Settings!$O$78,'Activity &amp; Event Log'!$V$5:$V$504,"Triage Delay"))=0,"None",IF(COUNTIFS('Activity &amp; Event Log'!$D$5:$D$504,Settings!$O$78,'Activity &amp; Event Log'!$V$5:$V$504,"Telemetry Blind Spot")&gt;=COUNTIFS('Activity &amp; Event Log'!$D$5:$D$504,Settings!$O$78,'Activity &amp; Event Log'!$V$5:$V$504,"Missed Alert"),IF(COUNTIFS('Activity &amp; Event Log'!$D$5:$D$504,Settings!$O$78,'Activity &amp; Event Log'!$V$5:$V$504,"Telemetry Blind Spot")&gt;=COUNTIFS('Activity &amp; Event Log'!$D$5:$D$504,Settings!$O$78,'Activity &amp; Event Log'!$V$5:$V$504,"Triage Delay"),"Blind Spot",IF(COUNTIFS('Activity &amp; Event Log'!$D$5:$D$504,Settings!$O$78,'Activity &amp; Event Log'!$V$5:$V$504,"Missed Alert")&gt;=COUNTIFS('Activity &amp; Event Log'!$D$5:$D$504,Settings!$O$78,'Activity &amp; Event Log'!$V$5:$V$504,"Triage Delay"),"Missed Alert","Triage Delay")),IF(COUNTIFS('Activity &amp; Event Log'!$D$5:$D$504,Settings!$O$78,'Activity &amp; Event Log'!$V$5:$V$504,"Missed Alert")&gt;=COUNTIFS('Activity &amp; Event Log'!$D$5:$D$504,Settings!$O$78,'Activity &amp; Event Log'!$V$5:$V$504,"Triage Delay"),"Missed Alert","Triage Delay"))))</f>
        <v/>
      </c>
      <c r="L150" s="10" t="str">
        <f aca="false">IF(OR(Settings!$O$78="",E150=0),"",IF((COUNTIFS('Activity &amp; Event Log'!$D$5:$D$504,Settings!$O$78,'Activity &amp; Event Log'!$V$5:$V$504,"Telemetry Blind Spot")+COUNTIFS('Activity &amp; Event Log'!$D$5:$D$504,Settings!$O$78,'Activity &amp; Event Log'!$V$5:$V$504,"Missed Alert")+COUNTIFS('Activity &amp; Event Log'!$D$5:$D$504,Settings!$O$78,'Activity &amp; Event Log'!$V$5:$V$504,"Detected - SLA Breach"))&gt;=Settings!$B$11,"High","Normal"))</f>
        <v/>
      </c>
    </row>
    <row r="151" customFormat="false" ht="15" hidden="false" customHeight="false" outlineLevel="0" collapsed="false">
      <c r="B151" s="10" t="str">
        <f aca="false">IF(Settings!$O$79="","",Settings!$Q$79)</f>
        <v/>
      </c>
      <c r="C151" s="10" t="str">
        <f aca="false">IF(Settings!$O$79="","",Settings!$O$79)</f>
        <v/>
      </c>
      <c r="D151" s="10" t="str">
        <f aca="false">IF(Settings!$O$79="","",Settings!$P$79)</f>
        <v/>
      </c>
      <c r="E151" s="11" t="str">
        <f aca="false">IF(Settings!$O$79="","",COUNTIFS('Activity &amp; Event Log'!$D$5:$D$504,Settings!$O$79,'Activity &amp; Event Log'!$G$5:$G$504,"?*"))</f>
        <v/>
      </c>
      <c r="F151" s="11" t="str">
        <f aca="false">IF(Settings!$O$79="","",SUMIFS('Activity &amp; Event Log'!$W$5:$W$504,'Activity &amp; Event Log'!$D$5:$D$504,Settings!$O$79))</f>
        <v/>
      </c>
      <c r="G151" s="12" t="str">
        <f aca="false">IF(OR(Settings!$O$79="",E151=0),"",F151/E151)</f>
        <v/>
      </c>
      <c r="H151" s="15" t="str">
        <f aca="false">IF(OR(Settings!$O$79="",F151=0),"",AVERAGEIFS('Activity &amp; Event Log'!$S$5:$S$504,'Activity &amp; Event Log'!$D$5:$D$504,Settings!$O$79))</f>
        <v/>
      </c>
      <c r="I151" s="15" t="str">
        <f aca="false">IF(OR(Settings!$O$79="",F151=0),"",_xlfn.MAXIFS('Activity &amp; Event Log'!$S$5:$S$504,'Activity &amp; Event Log'!$D$5:$D$504,Settings!$O$79))</f>
        <v/>
      </c>
      <c r="J151" s="12" t="str">
        <f aca="false">IF(OR(Settings!$O$79="",E151=0),"",COUNTIFS('Activity &amp; Event Log'!$D$5:$D$504,Settings!$O$79,'Activity &amp; Event Log'!$U$5:$U$504,"Yes")/E151)</f>
        <v/>
      </c>
      <c r="K151" s="10" t="str">
        <f aca="false">IF(OR(Settings!$O$79="",E151=0),"",IF(MAX(COUNTIFS('Activity &amp; Event Log'!$D$5:$D$504,Settings!$O$79,'Activity &amp; Event Log'!$V$5:$V$504,"Telemetry Blind Spot"),COUNTIFS('Activity &amp; Event Log'!$D$5:$D$504,Settings!$O$79,'Activity &amp; Event Log'!$V$5:$V$504,"Missed Alert"),COUNTIFS('Activity &amp; Event Log'!$D$5:$D$504,Settings!$O$79,'Activity &amp; Event Log'!$V$5:$V$504,"Triage Delay"))=0,"None",IF(COUNTIFS('Activity &amp; Event Log'!$D$5:$D$504,Settings!$O$79,'Activity &amp; Event Log'!$V$5:$V$504,"Telemetry Blind Spot")&gt;=COUNTIFS('Activity &amp; Event Log'!$D$5:$D$504,Settings!$O$79,'Activity &amp; Event Log'!$V$5:$V$504,"Missed Alert"),IF(COUNTIFS('Activity &amp; Event Log'!$D$5:$D$504,Settings!$O$79,'Activity &amp; Event Log'!$V$5:$V$504,"Telemetry Blind Spot")&gt;=COUNTIFS('Activity &amp; Event Log'!$D$5:$D$504,Settings!$O$79,'Activity &amp; Event Log'!$V$5:$V$504,"Triage Delay"),"Blind Spot",IF(COUNTIFS('Activity &amp; Event Log'!$D$5:$D$504,Settings!$O$79,'Activity &amp; Event Log'!$V$5:$V$504,"Missed Alert")&gt;=COUNTIFS('Activity &amp; Event Log'!$D$5:$D$504,Settings!$O$79,'Activity &amp; Event Log'!$V$5:$V$504,"Triage Delay"),"Missed Alert","Triage Delay")),IF(COUNTIFS('Activity &amp; Event Log'!$D$5:$D$504,Settings!$O$79,'Activity &amp; Event Log'!$V$5:$V$504,"Missed Alert")&gt;=COUNTIFS('Activity &amp; Event Log'!$D$5:$D$504,Settings!$O$79,'Activity &amp; Event Log'!$V$5:$V$504,"Triage Delay"),"Missed Alert","Triage Delay"))))</f>
        <v/>
      </c>
      <c r="L151" s="10" t="str">
        <f aca="false">IF(OR(Settings!$O$79="",E151=0),"",IF((COUNTIFS('Activity &amp; Event Log'!$D$5:$D$504,Settings!$O$79,'Activity &amp; Event Log'!$V$5:$V$504,"Telemetry Blind Spot")+COUNTIFS('Activity &amp; Event Log'!$D$5:$D$504,Settings!$O$79,'Activity &amp; Event Log'!$V$5:$V$504,"Missed Alert")+COUNTIFS('Activity &amp; Event Log'!$D$5:$D$504,Settings!$O$79,'Activity &amp; Event Log'!$V$5:$V$504,"Detected - SLA Breach"))&gt;=Settings!$B$11,"High","Normal"))</f>
        <v/>
      </c>
    </row>
    <row r="152" customFormat="false" ht="15" hidden="false" customHeight="false" outlineLevel="0" collapsed="false">
      <c r="B152" s="10" t="str">
        <f aca="false">IF(Settings!$O$80="","",Settings!$Q$80)</f>
        <v/>
      </c>
      <c r="C152" s="10" t="str">
        <f aca="false">IF(Settings!$O$80="","",Settings!$O$80)</f>
        <v/>
      </c>
      <c r="D152" s="10" t="str">
        <f aca="false">IF(Settings!$O$80="","",Settings!$P$80)</f>
        <v/>
      </c>
      <c r="E152" s="11" t="str">
        <f aca="false">IF(Settings!$O$80="","",COUNTIFS('Activity &amp; Event Log'!$D$5:$D$504,Settings!$O$80,'Activity &amp; Event Log'!$G$5:$G$504,"?*"))</f>
        <v/>
      </c>
      <c r="F152" s="11" t="str">
        <f aca="false">IF(Settings!$O$80="","",SUMIFS('Activity &amp; Event Log'!$W$5:$W$504,'Activity &amp; Event Log'!$D$5:$D$504,Settings!$O$80))</f>
        <v/>
      </c>
      <c r="G152" s="12" t="str">
        <f aca="false">IF(OR(Settings!$O$80="",E152=0),"",F152/E152)</f>
        <v/>
      </c>
      <c r="H152" s="15" t="str">
        <f aca="false">IF(OR(Settings!$O$80="",F152=0),"",AVERAGEIFS('Activity &amp; Event Log'!$S$5:$S$504,'Activity &amp; Event Log'!$D$5:$D$504,Settings!$O$80))</f>
        <v/>
      </c>
      <c r="I152" s="15" t="str">
        <f aca="false">IF(OR(Settings!$O$80="",F152=0),"",_xlfn.MAXIFS('Activity &amp; Event Log'!$S$5:$S$504,'Activity &amp; Event Log'!$D$5:$D$504,Settings!$O$80))</f>
        <v/>
      </c>
      <c r="J152" s="12" t="str">
        <f aca="false">IF(OR(Settings!$O$80="",E152=0),"",COUNTIFS('Activity &amp; Event Log'!$D$5:$D$504,Settings!$O$80,'Activity &amp; Event Log'!$U$5:$U$504,"Yes")/E152)</f>
        <v/>
      </c>
      <c r="K152" s="10" t="str">
        <f aca="false">IF(OR(Settings!$O$80="",E152=0),"",IF(MAX(COUNTIFS('Activity &amp; Event Log'!$D$5:$D$504,Settings!$O$80,'Activity &amp; Event Log'!$V$5:$V$504,"Telemetry Blind Spot"),COUNTIFS('Activity &amp; Event Log'!$D$5:$D$504,Settings!$O$80,'Activity &amp; Event Log'!$V$5:$V$504,"Missed Alert"),COUNTIFS('Activity &amp; Event Log'!$D$5:$D$504,Settings!$O$80,'Activity &amp; Event Log'!$V$5:$V$504,"Triage Delay"))=0,"None",IF(COUNTIFS('Activity &amp; Event Log'!$D$5:$D$504,Settings!$O$80,'Activity &amp; Event Log'!$V$5:$V$504,"Telemetry Blind Spot")&gt;=COUNTIFS('Activity &amp; Event Log'!$D$5:$D$504,Settings!$O$80,'Activity &amp; Event Log'!$V$5:$V$504,"Missed Alert"),IF(COUNTIFS('Activity &amp; Event Log'!$D$5:$D$504,Settings!$O$80,'Activity &amp; Event Log'!$V$5:$V$504,"Telemetry Blind Spot")&gt;=COUNTIFS('Activity &amp; Event Log'!$D$5:$D$504,Settings!$O$80,'Activity &amp; Event Log'!$V$5:$V$504,"Triage Delay"),"Blind Spot",IF(COUNTIFS('Activity &amp; Event Log'!$D$5:$D$504,Settings!$O$80,'Activity &amp; Event Log'!$V$5:$V$504,"Missed Alert")&gt;=COUNTIFS('Activity &amp; Event Log'!$D$5:$D$504,Settings!$O$80,'Activity &amp; Event Log'!$V$5:$V$504,"Triage Delay"),"Missed Alert","Triage Delay")),IF(COUNTIFS('Activity &amp; Event Log'!$D$5:$D$504,Settings!$O$80,'Activity &amp; Event Log'!$V$5:$V$504,"Missed Alert")&gt;=COUNTIFS('Activity &amp; Event Log'!$D$5:$D$504,Settings!$O$80,'Activity &amp; Event Log'!$V$5:$V$504,"Triage Delay"),"Missed Alert","Triage Delay"))))</f>
        <v/>
      </c>
      <c r="L152" s="10" t="str">
        <f aca="false">IF(OR(Settings!$O$80="",E152=0),"",IF((COUNTIFS('Activity &amp; Event Log'!$D$5:$D$504,Settings!$O$80,'Activity &amp; Event Log'!$V$5:$V$504,"Telemetry Blind Spot")+COUNTIFS('Activity &amp; Event Log'!$D$5:$D$504,Settings!$O$80,'Activity &amp; Event Log'!$V$5:$V$504,"Missed Alert")+COUNTIFS('Activity &amp; Event Log'!$D$5:$D$504,Settings!$O$80,'Activity &amp; Event Log'!$V$5:$V$504,"Detected - SLA Breach"))&gt;=Settings!$B$11,"High","Normal"))</f>
        <v/>
      </c>
    </row>
    <row r="153" customFormat="false" ht="15" hidden="false" customHeight="false" outlineLevel="0" collapsed="false">
      <c r="B153" s="10" t="str">
        <f aca="false">IF(Settings!$O$81="","",Settings!$Q$81)</f>
        <v/>
      </c>
      <c r="C153" s="10" t="str">
        <f aca="false">IF(Settings!$O$81="","",Settings!$O$81)</f>
        <v/>
      </c>
      <c r="D153" s="10" t="str">
        <f aca="false">IF(Settings!$O$81="","",Settings!$P$81)</f>
        <v/>
      </c>
      <c r="E153" s="11" t="str">
        <f aca="false">IF(Settings!$O$81="","",COUNTIFS('Activity &amp; Event Log'!$D$5:$D$504,Settings!$O$81,'Activity &amp; Event Log'!$G$5:$G$504,"?*"))</f>
        <v/>
      </c>
      <c r="F153" s="11" t="str">
        <f aca="false">IF(Settings!$O$81="","",SUMIFS('Activity &amp; Event Log'!$W$5:$W$504,'Activity &amp; Event Log'!$D$5:$D$504,Settings!$O$81))</f>
        <v/>
      </c>
      <c r="G153" s="12" t="str">
        <f aca="false">IF(OR(Settings!$O$81="",E153=0),"",F153/E153)</f>
        <v/>
      </c>
      <c r="H153" s="15" t="str">
        <f aca="false">IF(OR(Settings!$O$81="",F153=0),"",AVERAGEIFS('Activity &amp; Event Log'!$S$5:$S$504,'Activity &amp; Event Log'!$D$5:$D$504,Settings!$O$81))</f>
        <v/>
      </c>
      <c r="I153" s="15" t="str">
        <f aca="false">IF(OR(Settings!$O$81="",F153=0),"",_xlfn.MAXIFS('Activity &amp; Event Log'!$S$5:$S$504,'Activity &amp; Event Log'!$D$5:$D$504,Settings!$O$81))</f>
        <v/>
      </c>
      <c r="J153" s="12" t="str">
        <f aca="false">IF(OR(Settings!$O$81="",E153=0),"",COUNTIFS('Activity &amp; Event Log'!$D$5:$D$504,Settings!$O$81,'Activity &amp; Event Log'!$U$5:$U$504,"Yes")/E153)</f>
        <v/>
      </c>
      <c r="K153" s="10" t="str">
        <f aca="false">IF(OR(Settings!$O$81="",E153=0),"",IF(MAX(COUNTIFS('Activity &amp; Event Log'!$D$5:$D$504,Settings!$O$81,'Activity &amp; Event Log'!$V$5:$V$504,"Telemetry Blind Spot"),COUNTIFS('Activity &amp; Event Log'!$D$5:$D$504,Settings!$O$81,'Activity &amp; Event Log'!$V$5:$V$504,"Missed Alert"),COUNTIFS('Activity &amp; Event Log'!$D$5:$D$504,Settings!$O$81,'Activity &amp; Event Log'!$V$5:$V$504,"Triage Delay"))=0,"None",IF(COUNTIFS('Activity &amp; Event Log'!$D$5:$D$504,Settings!$O$81,'Activity &amp; Event Log'!$V$5:$V$504,"Telemetry Blind Spot")&gt;=COUNTIFS('Activity &amp; Event Log'!$D$5:$D$504,Settings!$O$81,'Activity &amp; Event Log'!$V$5:$V$504,"Missed Alert"),IF(COUNTIFS('Activity &amp; Event Log'!$D$5:$D$504,Settings!$O$81,'Activity &amp; Event Log'!$V$5:$V$504,"Telemetry Blind Spot")&gt;=COUNTIFS('Activity &amp; Event Log'!$D$5:$D$504,Settings!$O$81,'Activity &amp; Event Log'!$V$5:$V$504,"Triage Delay"),"Blind Spot",IF(COUNTIFS('Activity &amp; Event Log'!$D$5:$D$504,Settings!$O$81,'Activity &amp; Event Log'!$V$5:$V$504,"Missed Alert")&gt;=COUNTIFS('Activity &amp; Event Log'!$D$5:$D$504,Settings!$O$81,'Activity &amp; Event Log'!$V$5:$V$504,"Triage Delay"),"Missed Alert","Triage Delay")),IF(COUNTIFS('Activity &amp; Event Log'!$D$5:$D$504,Settings!$O$81,'Activity &amp; Event Log'!$V$5:$V$504,"Missed Alert")&gt;=COUNTIFS('Activity &amp; Event Log'!$D$5:$D$504,Settings!$O$81,'Activity &amp; Event Log'!$V$5:$V$504,"Triage Delay"),"Missed Alert","Triage Delay"))))</f>
        <v/>
      </c>
      <c r="L153" s="10" t="str">
        <f aca="false">IF(OR(Settings!$O$81="",E153=0),"",IF((COUNTIFS('Activity &amp; Event Log'!$D$5:$D$504,Settings!$O$81,'Activity &amp; Event Log'!$V$5:$V$504,"Telemetry Blind Spot")+COUNTIFS('Activity &amp; Event Log'!$D$5:$D$504,Settings!$O$81,'Activity &amp; Event Log'!$V$5:$V$504,"Missed Alert")+COUNTIFS('Activity &amp; Event Log'!$D$5:$D$504,Settings!$O$81,'Activity &amp; Event Log'!$V$5:$V$504,"Detected - SLA Breach"))&gt;=Settings!$B$11,"High","Normal"))</f>
        <v/>
      </c>
    </row>
    <row r="154" customFormat="false" ht="15" hidden="false" customHeight="false" outlineLevel="0" collapsed="false">
      <c r="B154" s="10" t="str">
        <f aca="false">IF(Settings!$O$82="","",Settings!$Q$82)</f>
        <v/>
      </c>
      <c r="C154" s="10" t="str">
        <f aca="false">IF(Settings!$O$82="","",Settings!$O$82)</f>
        <v/>
      </c>
      <c r="D154" s="10" t="str">
        <f aca="false">IF(Settings!$O$82="","",Settings!$P$82)</f>
        <v/>
      </c>
      <c r="E154" s="11" t="str">
        <f aca="false">IF(Settings!$O$82="","",COUNTIFS('Activity &amp; Event Log'!$D$5:$D$504,Settings!$O$82,'Activity &amp; Event Log'!$G$5:$G$504,"?*"))</f>
        <v/>
      </c>
      <c r="F154" s="11" t="str">
        <f aca="false">IF(Settings!$O$82="","",SUMIFS('Activity &amp; Event Log'!$W$5:$W$504,'Activity &amp; Event Log'!$D$5:$D$504,Settings!$O$82))</f>
        <v/>
      </c>
      <c r="G154" s="12" t="str">
        <f aca="false">IF(OR(Settings!$O$82="",E154=0),"",F154/E154)</f>
        <v/>
      </c>
      <c r="H154" s="15" t="str">
        <f aca="false">IF(OR(Settings!$O$82="",F154=0),"",AVERAGEIFS('Activity &amp; Event Log'!$S$5:$S$504,'Activity &amp; Event Log'!$D$5:$D$504,Settings!$O$82))</f>
        <v/>
      </c>
      <c r="I154" s="15" t="str">
        <f aca="false">IF(OR(Settings!$O$82="",F154=0),"",_xlfn.MAXIFS('Activity &amp; Event Log'!$S$5:$S$504,'Activity &amp; Event Log'!$D$5:$D$504,Settings!$O$82))</f>
        <v/>
      </c>
      <c r="J154" s="12" t="str">
        <f aca="false">IF(OR(Settings!$O$82="",E154=0),"",COUNTIFS('Activity &amp; Event Log'!$D$5:$D$504,Settings!$O$82,'Activity &amp; Event Log'!$U$5:$U$504,"Yes")/E154)</f>
        <v/>
      </c>
      <c r="K154" s="10" t="str">
        <f aca="false">IF(OR(Settings!$O$82="",E154=0),"",IF(MAX(COUNTIFS('Activity &amp; Event Log'!$D$5:$D$504,Settings!$O$82,'Activity &amp; Event Log'!$V$5:$V$504,"Telemetry Blind Spot"),COUNTIFS('Activity &amp; Event Log'!$D$5:$D$504,Settings!$O$82,'Activity &amp; Event Log'!$V$5:$V$504,"Missed Alert"),COUNTIFS('Activity &amp; Event Log'!$D$5:$D$504,Settings!$O$82,'Activity &amp; Event Log'!$V$5:$V$504,"Triage Delay"))=0,"None",IF(COUNTIFS('Activity &amp; Event Log'!$D$5:$D$504,Settings!$O$82,'Activity &amp; Event Log'!$V$5:$V$504,"Telemetry Blind Spot")&gt;=COUNTIFS('Activity &amp; Event Log'!$D$5:$D$504,Settings!$O$82,'Activity &amp; Event Log'!$V$5:$V$504,"Missed Alert"),IF(COUNTIFS('Activity &amp; Event Log'!$D$5:$D$504,Settings!$O$82,'Activity &amp; Event Log'!$V$5:$V$504,"Telemetry Blind Spot")&gt;=COUNTIFS('Activity &amp; Event Log'!$D$5:$D$504,Settings!$O$82,'Activity &amp; Event Log'!$V$5:$V$504,"Triage Delay"),"Blind Spot",IF(COUNTIFS('Activity &amp; Event Log'!$D$5:$D$504,Settings!$O$82,'Activity &amp; Event Log'!$V$5:$V$504,"Missed Alert")&gt;=COUNTIFS('Activity &amp; Event Log'!$D$5:$D$504,Settings!$O$82,'Activity &amp; Event Log'!$V$5:$V$504,"Triage Delay"),"Missed Alert","Triage Delay")),IF(COUNTIFS('Activity &amp; Event Log'!$D$5:$D$504,Settings!$O$82,'Activity &amp; Event Log'!$V$5:$V$504,"Missed Alert")&gt;=COUNTIFS('Activity &amp; Event Log'!$D$5:$D$504,Settings!$O$82,'Activity &amp; Event Log'!$V$5:$V$504,"Triage Delay"),"Missed Alert","Triage Delay"))))</f>
        <v/>
      </c>
      <c r="L154" s="10" t="str">
        <f aca="false">IF(OR(Settings!$O$82="",E154=0),"",IF((COUNTIFS('Activity &amp; Event Log'!$D$5:$D$504,Settings!$O$82,'Activity &amp; Event Log'!$V$5:$V$504,"Telemetry Blind Spot")+COUNTIFS('Activity &amp; Event Log'!$D$5:$D$504,Settings!$O$82,'Activity &amp; Event Log'!$V$5:$V$504,"Missed Alert")+COUNTIFS('Activity &amp; Event Log'!$D$5:$D$504,Settings!$O$82,'Activity &amp; Event Log'!$V$5:$V$504,"Detected - SLA Breach"))&gt;=Settings!$B$11,"High","Normal"))</f>
        <v/>
      </c>
    </row>
    <row r="155" customFormat="false" ht="15" hidden="false" customHeight="false" outlineLevel="0" collapsed="false">
      <c r="B155" s="10" t="str">
        <f aca="false">IF(Settings!$O$83="","",Settings!$Q$83)</f>
        <v/>
      </c>
      <c r="C155" s="10" t="str">
        <f aca="false">IF(Settings!$O$83="","",Settings!$O$83)</f>
        <v/>
      </c>
      <c r="D155" s="10" t="str">
        <f aca="false">IF(Settings!$O$83="","",Settings!$P$83)</f>
        <v/>
      </c>
      <c r="E155" s="11" t="str">
        <f aca="false">IF(Settings!$O$83="","",COUNTIFS('Activity &amp; Event Log'!$D$5:$D$504,Settings!$O$83,'Activity &amp; Event Log'!$G$5:$G$504,"?*"))</f>
        <v/>
      </c>
      <c r="F155" s="11" t="str">
        <f aca="false">IF(Settings!$O$83="","",SUMIFS('Activity &amp; Event Log'!$W$5:$W$504,'Activity &amp; Event Log'!$D$5:$D$504,Settings!$O$83))</f>
        <v/>
      </c>
      <c r="G155" s="12" t="str">
        <f aca="false">IF(OR(Settings!$O$83="",E155=0),"",F155/E155)</f>
        <v/>
      </c>
      <c r="H155" s="15" t="str">
        <f aca="false">IF(OR(Settings!$O$83="",F155=0),"",AVERAGEIFS('Activity &amp; Event Log'!$S$5:$S$504,'Activity &amp; Event Log'!$D$5:$D$504,Settings!$O$83))</f>
        <v/>
      </c>
      <c r="I155" s="15" t="str">
        <f aca="false">IF(OR(Settings!$O$83="",F155=0),"",_xlfn.MAXIFS('Activity &amp; Event Log'!$S$5:$S$504,'Activity &amp; Event Log'!$D$5:$D$504,Settings!$O$83))</f>
        <v/>
      </c>
      <c r="J155" s="12" t="str">
        <f aca="false">IF(OR(Settings!$O$83="",E155=0),"",COUNTIFS('Activity &amp; Event Log'!$D$5:$D$504,Settings!$O$83,'Activity &amp; Event Log'!$U$5:$U$504,"Yes")/E155)</f>
        <v/>
      </c>
      <c r="K155" s="10" t="str">
        <f aca="false">IF(OR(Settings!$O$83="",E155=0),"",IF(MAX(COUNTIFS('Activity &amp; Event Log'!$D$5:$D$504,Settings!$O$83,'Activity &amp; Event Log'!$V$5:$V$504,"Telemetry Blind Spot"),COUNTIFS('Activity &amp; Event Log'!$D$5:$D$504,Settings!$O$83,'Activity &amp; Event Log'!$V$5:$V$504,"Missed Alert"),COUNTIFS('Activity &amp; Event Log'!$D$5:$D$504,Settings!$O$83,'Activity &amp; Event Log'!$V$5:$V$504,"Triage Delay"))=0,"None",IF(COUNTIFS('Activity &amp; Event Log'!$D$5:$D$504,Settings!$O$83,'Activity &amp; Event Log'!$V$5:$V$504,"Telemetry Blind Spot")&gt;=COUNTIFS('Activity &amp; Event Log'!$D$5:$D$504,Settings!$O$83,'Activity &amp; Event Log'!$V$5:$V$504,"Missed Alert"),IF(COUNTIFS('Activity &amp; Event Log'!$D$5:$D$504,Settings!$O$83,'Activity &amp; Event Log'!$V$5:$V$504,"Telemetry Blind Spot")&gt;=COUNTIFS('Activity &amp; Event Log'!$D$5:$D$504,Settings!$O$83,'Activity &amp; Event Log'!$V$5:$V$504,"Triage Delay"),"Blind Spot",IF(COUNTIFS('Activity &amp; Event Log'!$D$5:$D$504,Settings!$O$83,'Activity &amp; Event Log'!$V$5:$V$504,"Missed Alert")&gt;=COUNTIFS('Activity &amp; Event Log'!$D$5:$D$504,Settings!$O$83,'Activity &amp; Event Log'!$V$5:$V$504,"Triage Delay"),"Missed Alert","Triage Delay")),IF(COUNTIFS('Activity &amp; Event Log'!$D$5:$D$504,Settings!$O$83,'Activity &amp; Event Log'!$V$5:$V$504,"Missed Alert")&gt;=COUNTIFS('Activity &amp; Event Log'!$D$5:$D$504,Settings!$O$83,'Activity &amp; Event Log'!$V$5:$V$504,"Triage Delay"),"Missed Alert","Triage Delay"))))</f>
        <v/>
      </c>
      <c r="L155" s="10" t="str">
        <f aca="false">IF(OR(Settings!$O$83="",E155=0),"",IF((COUNTIFS('Activity &amp; Event Log'!$D$5:$D$504,Settings!$O$83,'Activity &amp; Event Log'!$V$5:$V$504,"Telemetry Blind Spot")+COUNTIFS('Activity &amp; Event Log'!$D$5:$D$504,Settings!$O$83,'Activity &amp; Event Log'!$V$5:$V$504,"Missed Alert")+COUNTIFS('Activity &amp; Event Log'!$D$5:$D$504,Settings!$O$83,'Activity &amp; Event Log'!$V$5:$V$504,"Detected - SLA Breach"))&gt;=Settings!$B$11,"High","Normal"))</f>
        <v/>
      </c>
    </row>
    <row r="156" customFormat="false" ht="15" hidden="false" customHeight="false" outlineLevel="0" collapsed="false">
      <c r="B156" s="10" t="str">
        <f aca="false">IF(Settings!$O$84="","",Settings!$Q$84)</f>
        <v/>
      </c>
      <c r="C156" s="10" t="str">
        <f aca="false">IF(Settings!$O$84="","",Settings!$O$84)</f>
        <v/>
      </c>
      <c r="D156" s="10" t="str">
        <f aca="false">IF(Settings!$O$84="","",Settings!$P$84)</f>
        <v/>
      </c>
      <c r="E156" s="11" t="str">
        <f aca="false">IF(Settings!$O$84="","",COUNTIFS('Activity &amp; Event Log'!$D$5:$D$504,Settings!$O$84,'Activity &amp; Event Log'!$G$5:$G$504,"?*"))</f>
        <v/>
      </c>
      <c r="F156" s="11" t="str">
        <f aca="false">IF(Settings!$O$84="","",SUMIFS('Activity &amp; Event Log'!$W$5:$W$504,'Activity &amp; Event Log'!$D$5:$D$504,Settings!$O$84))</f>
        <v/>
      </c>
      <c r="G156" s="12" t="str">
        <f aca="false">IF(OR(Settings!$O$84="",E156=0),"",F156/E156)</f>
        <v/>
      </c>
      <c r="H156" s="15" t="str">
        <f aca="false">IF(OR(Settings!$O$84="",F156=0),"",AVERAGEIFS('Activity &amp; Event Log'!$S$5:$S$504,'Activity &amp; Event Log'!$D$5:$D$504,Settings!$O$84))</f>
        <v/>
      </c>
      <c r="I156" s="15" t="str">
        <f aca="false">IF(OR(Settings!$O$84="",F156=0),"",_xlfn.MAXIFS('Activity &amp; Event Log'!$S$5:$S$504,'Activity &amp; Event Log'!$D$5:$D$504,Settings!$O$84))</f>
        <v/>
      </c>
      <c r="J156" s="12" t="str">
        <f aca="false">IF(OR(Settings!$O$84="",E156=0),"",COUNTIFS('Activity &amp; Event Log'!$D$5:$D$504,Settings!$O$84,'Activity &amp; Event Log'!$U$5:$U$504,"Yes")/E156)</f>
        <v/>
      </c>
      <c r="K156" s="10" t="str">
        <f aca="false">IF(OR(Settings!$O$84="",E156=0),"",IF(MAX(COUNTIFS('Activity &amp; Event Log'!$D$5:$D$504,Settings!$O$84,'Activity &amp; Event Log'!$V$5:$V$504,"Telemetry Blind Spot"),COUNTIFS('Activity &amp; Event Log'!$D$5:$D$504,Settings!$O$84,'Activity &amp; Event Log'!$V$5:$V$504,"Missed Alert"),COUNTIFS('Activity &amp; Event Log'!$D$5:$D$504,Settings!$O$84,'Activity &amp; Event Log'!$V$5:$V$504,"Triage Delay"))=0,"None",IF(COUNTIFS('Activity &amp; Event Log'!$D$5:$D$504,Settings!$O$84,'Activity &amp; Event Log'!$V$5:$V$504,"Telemetry Blind Spot")&gt;=COUNTIFS('Activity &amp; Event Log'!$D$5:$D$504,Settings!$O$84,'Activity &amp; Event Log'!$V$5:$V$504,"Missed Alert"),IF(COUNTIFS('Activity &amp; Event Log'!$D$5:$D$504,Settings!$O$84,'Activity &amp; Event Log'!$V$5:$V$504,"Telemetry Blind Spot")&gt;=COUNTIFS('Activity &amp; Event Log'!$D$5:$D$504,Settings!$O$84,'Activity &amp; Event Log'!$V$5:$V$504,"Triage Delay"),"Blind Spot",IF(COUNTIFS('Activity &amp; Event Log'!$D$5:$D$504,Settings!$O$84,'Activity &amp; Event Log'!$V$5:$V$504,"Missed Alert")&gt;=COUNTIFS('Activity &amp; Event Log'!$D$5:$D$504,Settings!$O$84,'Activity &amp; Event Log'!$V$5:$V$504,"Triage Delay"),"Missed Alert","Triage Delay")),IF(COUNTIFS('Activity &amp; Event Log'!$D$5:$D$504,Settings!$O$84,'Activity &amp; Event Log'!$V$5:$V$504,"Missed Alert")&gt;=COUNTIFS('Activity &amp; Event Log'!$D$5:$D$504,Settings!$O$84,'Activity &amp; Event Log'!$V$5:$V$504,"Triage Delay"),"Missed Alert","Triage Delay"))))</f>
        <v/>
      </c>
      <c r="L156" s="10" t="str">
        <f aca="false">IF(OR(Settings!$O$84="",E156=0),"",IF((COUNTIFS('Activity &amp; Event Log'!$D$5:$D$504,Settings!$O$84,'Activity &amp; Event Log'!$V$5:$V$504,"Telemetry Blind Spot")+COUNTIFS('Activity &amp; Event Log'!$D$5:$D$504,Settings!$O$84,'Activity &amp; Event Log'!$V$5:$V$504,"Missed Alert")+COUNTIFS('Activity &amp; Event Log'!$D$5:$D$504,Settings!$O$84,'Activity &amp; Event Log'!$V$5:$V$504,"Detected - SLA Breach"))&gt;=Settings!$B$11,"High","Normal"))</f>
        <v/>
      </c>
    </row>
    <row r="157" customFormat="false" ht="15" hidden="false" customHeight="false" outlineLevel="0" collapsed="false">
      <c r="B157" s="10" t="str">
        <f aca="false">IF(Settings!$O$85="","",Settings!$Q$85)</f>
        <v/>
      </c>
      <c r="C157" s="10" t="str">
        <f aca="false">IF(Settings!$O$85="","",Settings!$O$85)</f>
        <v/>
      </c>
      <c r="D157" s="10" t="str">
        <f aca="false">IF(Settings!$O$85="","",Settings!$P$85)</f>
        <v/>
      </c>
      <c r="E157" s="11" t="str">
        <f aca="false">IF(Settings!$O$85="","",COUNTIFS('Activity &amp; Event Log'!$D$5:$D$504,Settings!$O$85,'Activity &amp; Event Log'!$G$5:$G$504,"?*"))</f>
        <v/>
      </c>
      <c r="F157" s="11" t="str">
        <f aca="false">IF(Settings!$O$85="","",SUMIFS('Activity &amp; Event Log'!$W$5:$W$504,'Activity &amp; Event Log'!$D$5:$D$504,Settings!$O$85))</f>
        <v/>
      </c>
      <c r="G157" s="12" t="str">
        <f aca="false">IF(OR(Settings!$O$85="",E157=0),"",F157/E157)</f>
        <v/>
      </c>
      <c r="H157" s="15" t="str">
        <f aca="false">IF(OR(Settings!$O$85="",F157=0),"",AVERAGEIFS('Activity &amp; Event Log'!$S$5:$S$504,'Activity &amp; Event Log'!$D$5:$D$504,Settings!$O$85))</f>
        <v/>
      </c>
      <c r="I157" s="15" t="str">
        <f aca="false">IF(OR(Settings!$O$85="",F157=0),"",_xlfn.MAXIFS('Activity &amp; Event Log'!$S$5:$S$504,'Activity &amp; Event Log'!$D$5:$D$504,Settings!$O$85))</f>
        <v/>
      </c>
      <c r="J157" s="12" t="str">
        <f aca="false">IF(OR(Settings!$O$85="",E157=0),"",COUNTIFS('Activity &amp; Event Log'!$D$5:$D$504,Settings!$O$85,'Activity &amp; Event Log'!$U$5:$U$504,"Yes")/E157)</f>
        <v/>
      </c>
      <c r="K157" s="10" t="str">
        <f aca="false">IF(OR(Settings!$O$85="",E157=0),"",IF(MAX(COUNTIFS('Activity &amp; Event Log'!$D$5:$D$504,Settings!$O$85,'Activity &amp; Event Log'!$V$5:$V$504,"Telemetry Blind Spot"),COUNTIFS('Activity &amp; Event Log'!$D$5:$D$504,Settings!$O$85,'Activity &amp; Event Log'!$V$5:$V$504,"Missed Alert"),COUNTIFS('Activity &amp; Event Log'!$D$5:$D$504,Settings!$O$85,'Activity &amp; Event Log'!$V$5:$V$504,"Triage Delay"))=0,"None",IF(COUNTIFS('Activity &amp; Event Log'!$D$5:$D$504,Settings!$O$85,'Activity &amp; Event Log'!$V$5:$V$504,"Telemetry Blind Spot")&gt;=COUNTIFS('Activity &amp; Event Log'!$D$5:$D$504,Settings!$O$85,'Activity &amp; Event Log'!$V$5:$V$504,"Missed Alert"),IF(COUNTIFS('Activity &amp; Event Log'!$D$5:$D$504,Settings!$O$85,'Activity &amp; Event Log'!$V$5:$V$504,"Telemetry Blind Spot")&gt;=COUNTIFS('Activity &amp; Event Log'!$D$5:$D$504,Settings!$O$85,'Activity &amp; Event Log'!$V$5:$V$504,"Triage Delay"),"Blind Spot",IF(COUNTIFS('Activity &amp; Event Log'!$D$5:$D$504,Settings!$O$85,'Activity &amp; Event Log'!$V$5:$V$504,"Missed Alert")&gt;=COUNTIFS('Activity &amp; Event Log'!$D$5:$D$504,Settings!$O$85,'Activity &amp; Event Log'!$V$5:$V$504,"Triage Delay"),"Missed Alert","Triage Delay")),IF(COUNTIFS('Activity &amp; Event Log'!$D$5:$D$504,Settings!$O$85,'Activity &amp; Event Log'!$V$5:$V$504,"Missed Alert")&gt;=COUNTIFS('Activity &amp; Event Log'!$D$5:$D$504,Settings!$O$85,'Activity &amp; Event Log'!$V$5:$V$504,"Triage Delay"),"Missed Alert","Triage Delay"))))</f>
        <v/>
      </c>
      <c r="L157" s="10" t="str">
        <f aca="false">IF(OR(Settings!$O$85="",E157=0),"",IF((COUNTIFS('Activity &amp; Event Log'!$D$5:$D$504,Settings!$O$85,'Activity &amp; Event Log'!$V$5:$V$504,"Telemetry Blind Spot")+COUNTIFS('Activity &amp; Event Log'!$D$5:$D$504,Settings!$O$85,'Activity &amp; Event Log'!$V$5:$V$504,"Missed Alert")+COUNTIFS('Activity &amp; Event Log'!$D$5:$D$504,Settings!$O$85,'Activity &amp; Event Log'!$V$5:$V$504,"Detected - SLA Breach"))&gt;=Settings!$B$11,"High","Normal"))</f>
        <v/>
      </c>
    </row>
    <row r="158" customFormat="false" ht="15" hidden="false" customHeight="false" outlineLevel="0" collapsed="false">
      <c r="B158" s="10" t="str">
        <f aca="false">IF(Settings!$O$86="","",Settings!$Q$86)</f>
        <v/>
      </c>
      <c r="C158" s="10" t="str">
        <f aca="false">IF(Settings!$O$86="","",Settings!$O$86)</f>
        <v/>
      </c>
      <c r="D158" s="10" t="str">
        <f aca="false">IF(Settings!$O$86="","",Settings!$P$86)</f>
        <v/>
      </c>
      <c r="E158" s="11" t="str">
        <f aca="false">IF(Settings!$O$86="","",COUNTIFS('Activity &amp; Event Log'!$D$5:$D$504,Settings!$O$86,'Activity &amp; Event Log'!$G$5:$G$504,"?*"))</f>
        <v/>
      </c>
      <c r="F158" s="11" t="str">
        <f aca="false">IF(Settings!$O$86="","",SUMIFS('Activity &amp; Event Log'!$W$5:$W$504,'Activity &amp; Event Log'!$D$5:$D$504,Settings!$O$86))</f>
        <v/>
      </c>
      <c r="G158" s="12" t="str">
        <f aca="false">IF(OR(Settings!$O$86="",E158=0),"",F158/E158)</f>
        <v/>
      </c>
      <c r="H158" s="15" t="str">
        <f aca="false">IF(OR(Settings!$O$86="",F158=0),"",AVERAGEIFS('Activity &amp; Event Log'!$S$5:$S$504,'Activity &amp; Event Log'!$D$5:$D$504,Settings!$O$86))</f>
        <v/>
      </c>
      <c r="I158" s="15" t="str">
        <f aca="false">IF(OR(Settings!$O$86="",F158=0),"",_xlfn.MAXIFS('Activity &amp; Event Log'!$S$5:$S$504,'Activity &amp; Event Log'!$D$5:$D$504,Settings!$O$86))</f>
        <v/>
      </c>
      <c r="J158" s="12" t="str">
        <f aca="false">IF(OR(Settings!$O$86="",E158=0),"",COUNTIFS('Activity &amp; Event Log'!$D$5:$D$504,Settings!$O$86,'Activity &amp; Event Log'!$U$5:$U$504,"Yes")/E158)</f>
        <v/>
      </c>
      <c r="K158" s="10" t="str">
        <f aca="false">IF(OR(Settings!$O$86="",E158=0),"",IF(MAX(COUNTIFS('Activity &amp; Event Log'!$D$5:$D$504,Settings!$O$86,'Activity &amp; Event Log'!$V$5:$V$504,"Telemetry Blind Spot"),COUNTIFS('Activity &amp; Event Log'!$D$5:$D$504,Settings!$O$86,'Activity &amp; Event Log'!$V$5:$V$504,"Missed Alert"),COUNTIFS('Activity &amp; Event Log'!$D$5:$D$504,Settings!$O$86,'Activity &amp; Event Log'!$V$5:$V$504,"Triage Delay"))=0,"None",IF(COUNTIFS('Activity &amp; Event Log'!$D$5:$D$504,Settings!$O$86,'Activity &amp; Event Log'!$V$5:$V$504,"Telemetry Blind Spot")&gt;=COUNTIFS('Activity &amp; Event Log'!$D$5:$D$504,Settings!$O$86,'Activity &amp; Event Log'!$V$5:$V$504,"Missed Alert"),IF(COUNTIFS('Activity &amp; Event Log'!$D$5:$D$504,Settings!$O$86,'Activity &amp; Event Log'!$V$5:$V$504,"Telemetry Blind Spot")&gt;=COUNTIFS('Activity &amp; Event Log'!$D$5:$D$504,Settings!$O$86,'Activity &amp; Event Log'!$V$5:$V$504,"Triage Delay"),"Blind Spot",IF(COUNTIFS('Activity &amp; Event Log'!$D$5:$D$504,Settings!$O$86,'Activity &amp; Event Log'!$V$5:$V$504,"Missed Alert")&gt;=COUNTIFS('Activity &amp; Event Log'!$D$5:$D$504,Settings!$O$86,'Activity &amp; Event Log'!$V$5:$V$504,"Triage Delay"),"Missed Alert","Triage Delay")),IF(COUNTIFS('Activity &amp; Event Log'!$D$5:$D$504,Settings!$O$86,'Activity &amp; Event Log'!$V$5:$V$504,"Missed Alert")&gt;=COUNTIFS('Activity &amp; Event Log'!$D$5:$D$504,Settings!$O$86,'Activity &amp; Event Log'!$V$5:$V$504,"Triage Delay"),"Missed Alert","Triage Delay"))))</f>
        <v/>
      </c>
      <c r="L158" s="10" t="str">
        <f aca="false">IF(OR(Settings!$O$86="",E158=0),"",IF((COUNTIFS('Activity &amp; Event Log'!$D$5:$D$504,Settings!$O$86,'Activity &amp; Event Log'!$V$5:$V$504,"Telemetry Blind Spot")+COUNTIFS('Activity &amp; Event Log'!$D$5:$D$504,Settings!$O$86,'Activity &amp; Event Log'!$V$5:$V$504,"Missed Alert")+COUNTIFS('Activity &amp; Event Log'!$D$5:$D$504,Settings!$O$86,'Activity &amp; Event Log'!$V$5:$V$504,"Detected - SLA Breach"))&gt;=Settings!$B$11,"High","Normal"))</f>
        <v/>
      </c>
    </row>
    <row r="159" customFormat="false" ht="15" hidden="false" customHeight="false" outlineLevel="0" collapsed="false">
      <c r="B159" s="10" t="str">
        <f aca="false">IF(Settings!$O$87="","",Settings!$Q$87)</f>
        <v/>
      </c>
      <c r="C159" s="10" t="str">
        <f aca="false">IF(Settings!$O$87="","",Settings!$O$87)</f>
        <v/>
      </c>
      <c r="D159" s="10" t="str">
        <f aca="false">IF(Settings!$O$87="","",Settings!$P$87)</f>
        <v/>
      </c>
      <c r="E159" s="11" t="str">
        <f aca="false">IF(Settings!$O$87="","",COUNTIFS('Activity &amp; Event Log'!$D$5:$D$504,Settings!$O$87,'Activity &amp; Event Log'!$G$5:$G$504,"?*"))</f>
        <v/>
      </c>
      <c r="F159" s="11" t="str">
        <f aca="false">IF(Settings!$O$87="","",SUMIFS('Activity &amp; Event Log'!$W$5:$W$504,'Activity &amp; Event Log'!$D$5:$D$504,Settings!$O$87))</f>
        <v/>
      </c>
      <c r="G159" s="12" t="str">
        <f aca="false">IF(OR(Settings!$O$87="",E159=0),"",F159/E159)</f>
        <v/>
      </c>
      <c r="H159" s="15" t="str">
        <f aca="false">IF(OR(Settings!$O$87="",F159=0),"",AVERAGEIFS('Activity &amp; Event Log'!$S$5:$S$504,'Activity &amp; Event Log'!$D$5:$D$504,Settings!$O$87))</f>
        <v/>
      </c>
      <c r="I159" s="15" t="str">
        <f aca="false">IF(OR(Settings!$O$87="",F159=0),"",_xlfn.MAXIFS('Activity &amp; Event Log'!$S$5:$S$504,'Activity &amp; Event Log'!$D$5:$D$504,Settings!$O$87))</f>
        <v/>
      </c>
      <c r="J159" s="12" t="str">
        <f aca="false">IF(OR(Settings!$O$87="",E159=0),"",COUNTIFS('Activity &amp; Event Log'!$D$5:$D$504,Settings!$O$87,'Activity &amp; Event Log'!$U$5:$U$504,"Yes")/E159)</f>
        <v/>
      </c>
      <c r="K159" s="10" t="str">
        <f aca="false">IF(OR(Settings!$O$87="",E159=0),"",IF(MAX(COUNTIFS('Activity &amp; Event Log'!$D$5:$D$504,Settings!$O$87,'Activity &amp; Event Log'!$V$5:$V$504,"Telemetry Blind Spot"),COUNTIFS('Activity &amp; Event Log'!$D$5:$D$504,Settings!$O$87,'Activity &amp; Event Log'!$V$5:$V$504,"Missed Alert"),COUNTIFS('Activity &amp; Event Log'!$D$5:$D$504,Settings!$O$87,'Activity &amp; Event Log'!$V$5:$V$504,"Triage Delay"))=0,"None",IF(COUNTIFS('Activity &amp; Event Log'!$D$5:$D$504,Settings!$O$87,'Activity &amp; Event Log'!$V$5:$V$504,"Telemetry Blind Spot")&gt;=COUNTIFS('Activity &amp; Event Log'!$D$5:$D$504,Settings!$O$87,'Activity &amp; Event Log'!$V$5:$V$504,"Missed Alert"),IF(COUNTIFS('Activity &amp; Event Log'!$D$5:$D$504,Settings!$O$87,'Activity &amp; Event Log'!$V$5:$V$504,"Telemetry Blind Spot")&gt;=COUNTIFS('Activity &amp; Event Log'!$D$5:$D$504,Settings!$O$87,'Activity &amp; Event Log'!$V$5:$V$504,"Triage Delay"),"Blind Spot",IF(COUNTIFS('Activity &amp; Event Log'!$D$5:$D$504,Settings!$O$87,'Activity &amp; Event Log'!$V$5:$V$504,"Missed Alert")&gt;=COUNTIFS('Activity &amp; Event Log'!$D$5:$D$504,Settings!$O$87,'Activity &amp; Event Log'!$V$5:$V$504,"Triage Delay"),"Missed Alert","Triage Delay")),IF(COUNTIFS('Activity &amp; Event Log'!$D$5:$D$504,Settings!$O$87,'Activity &amp; Event Log'!$V$5:$V$504,"Missed Alert")&gt;=COUNTIFS('Activity &amp; Event Log'!$D$5:$D$504,Settings!$O$87,'Activity &amp; Event Log'!$V$5:$V$504,"Triage Delay"),"Missed Alert","Triage Delay"))))</f>
        <v/>
      </c>
      <c r="L159" s="10" t="str">
        <f aca="false">IF(OR(Settings!$O$87="",E159=0),"",IF((COUNTIFS('Activity &amp; Event Log'!$D$5:$D$504,Settings!$O$87,'Activity &amp; Event Log'!$V$5:$V$504,"Telemetry Blind Spot")+COUNTIFS('Activity &amp; Event Log'!$D$5:$D$504,Settings!$O$87,'Activity &amp; Event Log'!$V$5:$V$504,"Missed Alert")+COUNTIFS('Activity &amp; Event Log'!$D$5:$D$504,Settings!$O$87,'Activity &amp; Event Log'!$V$5:$V$504,"Detected - SLA Breach"))&gt;=Settings!$B$11,"High","Normal"))</f>
        <v/>
      </c>
    </row>
    <row r="160" customFormat="false" ht="15" hidden="false" customHeight="false" outlineLevel="0" collapsed="false">
      <c r="B160" s="10" t="str">
        <f aca="false">IF(Settings!$O$88="","",Settings!$Q$88)</f>
        <v/>
      </c>
      <c r="C160" s="10" t="str">
        <f aca="false">IF(Settings!$O$88="","",Settings!$O$88)</f>
        <v/>
      </c>
      <c r="D160" s="10" t="str">
        <f aca="false">IF(Settings!$O$88="","",Settings!$P$88)</f>
        <v/>
      </c>
      <c r="E160" s="11" t="str">
        <f aca="false">IF(Settings!$O$88="","",COUNTIFS('Activity &amp; Event Log'!$D$5:$D$504,Settings!$O$88,'Activity &amp; Event Log'!$G$5:$G$504,"?*"))</f>
        <v/>
      </c>
      <c r="F160" s="11" t="str">
        <f aca="false">IF(Settings!$O$88="","",SUMIFS('Activity &amp; Event Log'!$W$5:$W$504,'Activity &amp; Event Log'!$D$5:$D$504,Settings!$O$88))</f>
        <v/>
      </c>
      <c r="G160" s="12" t="str">
        <f aca="false">IF(OR(Settings!$O$88="",E160=0),"",F160/E160)</f>
        <v/>
      </c>
      <c r="H160" s="15" t="str">
        <f aca="false">IF(OR(Settings!$O$88="",F160=0),"",AVERAGEIFS('Activity &amp; Event Log'!$S$5:$S$504,'Activity &amp; Event Log'!$D$5:$D$504,Settings!$O$88))</f>
        <v/>
      </c>
      <c r="I160" s="15" t="str">
        <f aca="false">IF(OR(Settings!$O$88="",F160=0),"",_xlfn.MAXIFS('Activity &amp; Event Log'!$S$5:$S$504,'Activity &amp; Event Log'!$D$5:$D$504,Settings!$O$88))</f>
        <v/>
      </c>
      <c r="J160" s="12" t="str">
        <f aca="false">IF(OR(Settings!$O$88="",E160=0),"",COUNTIFS('Activity &amp; Event Log'!$D$5:$D$504,Settings!$O$88,'Activity &amp; Event Log'!$U$5:$U$504,"Yes")/E160)</f>
        <v/>
      </c>
      <c r="K160" s="10" t="str">
        <f aca="false">IF(OR(Settings!$O$88="",E160=0),"",IF(MAX(COUNTIFS('Activity &amp; Event Log'!$D$5:$D$504,Settings!$O$88,'Activity &amp; Event Log'!$V$5:$V$504,"Telemetry Blind Spot"),COUNTIFS('Activity &amp; Event Log'!$D$5:$D$504,Settings!$O$88,'Activity &amp; Event Log'!$V$5:$V$504,"Missed Alert"),COUNTIFS('Activity &amp; Event Log'!$D$5:$D$504,Settings!$O$88,'Activity &amp; Event Log'!$V$5:$V$504,"Triage Delay"))=0,"None",IF(COUNTIFS('Activity &amp; Event Log'!$D$5:$D$504,Settings!$O$88,'Activity &amp; Event Log'!$V$5:$V$504,"Telemetry Blind Spot")&gt;=COUNTIFS('Activity &amp; Event Log'!$D$5:$D$504,Settings!$O$88,'Activity &amp; Event Log'!$V$5:$V$504,"Missed Alert"),IF(COUNTIFS('Activity &amp; Event Log'!$D$5:$D$504,Settings!$O$88,'Activity &amp; Event Log'!$V$5:$V$504,"Telemetry Blind Spot")&gt;=COUNTIFS('Activity &amp; Event Log'!$D$5:$D$504,Settings!$O$88,'Activity &amp; Event Log'!$V$5:$V$504,"Triage Delay"),"Blind Spot",IF(COUNTIFS('Activity &amp; Event Log'!$D$5:$D$504,Settings!$O$88,'Activity &amp; Event Log'!$V$5:$V$504,"Missed Alert")&gt;=COUNTIFS('Activity &amp; Event Log'!$D$5:$D$504,Settings!$O$88,'Activity &amp; Event Log'!$V$5:$V$504,"Triage Delay"),"Missed Alert","Triage Delay")),IF(COUNTIFS('Activity &amp; Event Log'!$D$5:$D$504,Settings!$O$88,'Activity &amp; Event Log'!$V$5:$V$504,"Missed Alert")&gt;=COUNTIFS('Activity &amp; Event Log'!$D$5:$D$504,Settings!$O$88,'Activity &amp; Event Log'!$V$5:$V$504,"Triage Delay"),"Missed Alert","Triage Delay"))))</f>
        <v/>
      </c>
      <c r="L160" s="10" t="str">
        <f aca="false">IF(OR(Settings!$O$88="",E160=0),"",IF((COUNTIFS('Activity &amp; Event Log'!$D$5:$D$504,Settings!$O$88,'Activity &amp; Event Log'!$V$5:$V$504,"Telemetry Blind Spot")+COUNTIFS('Activity &amp; Event Log'!$D$5:$D$504,Settings!$O$88,'Activity &amp; Event Log'!$V$5:$V$504,"Missed Alert")+COUNTIFS('Activity &amp; Event Log'!$D$5:$D$504,Settings!$O$88,'Activity &amp; Event Log'!$V$5:$V$504,"Detected - SLA Breach"))&gt;=Settings!$B$11,"High","Normal"))</f>
        <v/>
      </c>
    </row>
    <row r="161" customFormat="false" ht="15" hidden="false" customHeight="false" outlineLevel="0" collapsed="false">
      <c r="B161" s="10" t="str">
        <f aca="false">IF(Settings!$O$89="","",Settings!$Q$89)</f>
        <v/>
      </c>
      <c r="C161" s="10" t="str">
        <f aca="false">IF(Settings!$O$89="","",Settings!$O$89)</f>
        <v/>
      </c>
      <c r="D161" s="10" t="str">
        <f aca="false">IF(Settings!$O$89="","",Settings!$P$89)</f>
        <v/>
      </c>
      <c r="E161" s="11" t="str">
        <f aca="false">IF(Settings!$O$89="","",COUNTIFS('Activity &amp; Event Log'!$D$5:$D$504,Settings!$O$89,'Activity &amp; Event Log'!$G$5:$G$504,"?*"))</f>
        <v/>
      </c>
      <c r="F161" s="11" t="str">
        <f aca="false">IF(Settings!$O$89="","",SUMIFS('Activity &amp; Event Log'!$W$5:$W$504,'Activity &amp; Event Log'!$D$5:$D$504,Settings!$O$89))</f>
        <v/>
      </c>
      <c r="G161" s="12" t="str">
        <f aca="false">IF(OR(Settings!$O$89="",E161=0),"",F161/E161)</f>
        <v/>
      </c>
      <c r="H161" s="15" t="str">
        <f aca="false">IF(OR(Settings!$O$89="",F161=0),"",AVERAGEIFS('Activity &amp; Event Log'!$S$5:$S$504,'Activity &amp; Event Log'!$D$5:$D$504,Settings!$O$89))</f>
        <v/>
      </c>
      <c r="I161" s="15" t="str">
        <f aca="false">IF(OR(Settings!$O$89="",F161=0),"",_xlfn.MAXIFS('Activity &amp; Event Log'!$S$5:$S$504,'Activity &amp; Event Log'!$D$5:$D$504,Settings!$O$89))</f>
        <v/>
      </c>
      <c r="J161" s="12" t="str">
        <f aca="false">IF(OR(Settings!$O$89="",E161=0),"",COUNTIFS('Activity &amp; Event Log'!$D$5:$D$504,Settings!$O$89,'Activity &amp; Event Log'!$U$5:$U$504,"Yes")/E161)</f>
        <v/>
      </c>
      <c r="K161" s="10" t="str">
        <f aca="false">IF(OR(Settings!$O$89="",E161=0),"",IF(MAX(COUNTIFS('Activity &amp; Event Log'!$D$5:$D$504,Settings!$O$89,'Activity &amp; Event Log'!$V$5:$V$504,"Telemetry Blind Spot"),COUNTIFS('Activity &amp; Event Log'!$D$5:$D$504,Settings!$O$89,'Activity &amp; Event Log'!$V$5:$V$504,"Missed Alert"),COUNTIFS('Activity &amp; Event Log'!$D$5:$D$504,Settings!$O$89,'Activity &amp; Event Log'!$V$5:$V$504,"Triage Delay"))=0,"None",IF(COUNTIFS('Activity &amp; Event Log'!$D$5:$D$504,Settings!$O$89,'Activity &amp; Event Log'!$V$5:$V$504,"Telemetry Blind Spot")&gt;=COUNTIFS('Activity &amp; Event Log'!$D$5:$D$504,Settings!$O$89,'Activity &amp; Event Log'!$V$5:$V$504,"Missed Alert"),IF(COUNTIFS('Activity &amp; Event Log'!$D$5:$D$504,Settings!$O$89,'Activity &amp; Event Log'!$V$5:$V$504,"Telemetry Blind Spot")&gt;=COUNTIFS('Activity &amp; Event Log'!$D$5:$D$504,Settings!$O$89,'Activity &amp; Event Log'!$V$5:$V$504,"Triage Delay"),"Blind Spot",IF(COUNTIFS('Activity &amp; Event Log'!$D$5:$D$504,Settings!$O$89,'Activity &amp; Event Log'!$V$5:$V$504,"Missed Alert")&gt;=COUNTIFS('Activity &amp; Event Log'!$D$5:$D$504,Settings!$O$89,'Activity &amp; Event Log'!$V$5:$V$504,"Triage Delay"),"Missed Alert","Triage Delay")),IF(COUNTIFS('Activity &amp; Event Log'!$D$5:$D$504,Settings!$O$89,'Activity &amp; Event Log'!$V$5:$V$504,"Missed Alert")&gt;=COUNTIFS('Activity &amp; Event Log'!$D$5:$D$504,Settings!$O$89,'Activity &amp; Event Log'!$V$5:$V$504,"Triage Delay"),"Missed Alert","Triage Delay"))))</f>
        <v/>
      </c>
      <c r="L161" s="10" t="str">
        <f aca="false">IF(OR(Settings!$O$89="",E161=0),"",IF((COUNTIFS('Activity &amp; Event Log'!$D$5:$D$504,Settings!$O$89,'Activity &amp; Event Log'!$V$5:$V$504,"Telemetry Blind Spot")+COUNTIFS('Activity &amp; Event Log'!$D$5:$D$504,Settings!$O$89,'Activity &amp; Event Log'!$V$5:$V$504,"Missed Alert")+COUNTIFS('Activity &amp; Event Log'!$D$5:$D$504,Settings!$O$89,'Activity &amp; Event Log'!$V$5:$V$504,"Detected - SLA Breach"))&gt;=Settings!$B$11,"High","Normal"))</f>
        <v/>
      </c>
    </row>
    <row r="162" customFormat="false" ht="15" hidden="false" customHeight="false" outlineLevel="0" collapsed="false">
      <c r="B162" s="10" t="str">
        <f aca="false">IF(Settings!$O$90="","",Settings!$Q$90)</f>
        <v/>
      </c>
      <c r="C162" s="10" t="str">
        <f aca="false">IF(Settings!$O$90="","",Settings!$O$90)</f>
        <v/>
      </c>
      <c r="D162" s="10" t="str">
        <f aca="false">IF(Settings!$O$90="","",Settings!$P$90)</f>
        <v/>
      </c>
      <c r="E162" s="11" t="str">
        <f aca="false">IF(Settings!$O$90="","",COUNTIFS('Activity &amp; Event Log'!$D$5:$D$504,Settings!$O$90,'Activity &amp; Event Log'!$G$5:$G$504,"?*"))</f>
        <v/>
      </c>
      <c r="F162" s="11" t="str">
        <f aca="false">IF(Settings!$O$90="","",SUMIFS('Activity &amp; Event Log'!$W$5:$W$504,'Activity &amp; Event Log'!$D$5:$D$504,Settings!$O$90))</f>
        <v/>
      </c>
      <c r="G162" s="12" t="str">
        <f aca="false">IF(OR(Settings!$O$90="",E162=0),"",F162/E162)</f>
        <v/>
      </c>
      <c r="H162" s="15" t="str">
        <f aca="false">IF(OR(Settings!$O$90="",F162=0),"",AVERAGEIFS('Activity &amp; Event Log'!$S$5:$S$504,'Activity &amp; Event Log'!$D$5:$D$504,Settings!$O$90))</f>
        <v/>
      </c>
      <c r="I162" s="15" t="str">
        <f aca="false">IF(OR(Settings!$O$90="",F162=0),"",_xlfn.MAXIFS('Activity &amp; Event Log'!$S$5:$S$504,'Activity &amp; Event Log'!$D$5:$D$504,Settings!$O$90))</f>
        <v/>
      </c>
      <c r="J162" s="12" t="str">
        <f aca="false">IF(OR(Settings!$O$90="",E162=0),"",COUNTIFS('Activity &amp; Event Log'!$D$5:$D$504,Settings!$O$90,'Activity &amp; Event Log'!$U$5:$U$504,"Yes")/E162)</f>
        <v/>
      </c>
      <c r="K162" s="10" t="str">
        <f aca="false">IF(OR(Settings!$O$90="",E162=0),"",IF(MAX(COUNTIFS('Activity &amp; Event Log'!$D$5:$D$504,Settings!$O$90,'Activity &amp; Event Log'!$V$5:$V$504,"Telemetry Blind Spot"),COUNTIFS('Activity &amp; Event Log'!$D$5:$D$504,Settings!$O$90,'Activity &amp; Event Log'!$V$5:$V$504,"Missed Alert"),COUNTIFS('Activity &amp; Event Log'!$D$5:$D$504,Settings!$O$90,'Activity &amp; Event Log'!$V$5:$V$504,"Triage Delay"))=0,"None",IF(COUNTIFS('Activity &amp; Event Log'!$D$5:$D$504,Settings!$O$90,'Activity &amp; Event Log'!$V$5:$V$504,"Telemetry Blind Spot")&gt;=COUNTIFS('Activity &amp; Event Log'!$D$5:$D$504,Settings!$O$90,'Activity &amp; Event Log'!$V$5:$V$504,"Missed Alert"),IF(COUNTIFS('Activity &amp; Event Log'!$D$5:$D$504,Settings!$O$90,'Activity &amp; Event Log'!$V$5:$V$504,"Telemetry Blind Spot")&gt;=COUNTIFS('Activity &amp; Event Log'!$D$5:$D$504,Settings!$O$90,'Activity &amp; Event Log'!$V$5:$V$504,"Triage Delay"),"Blind Spot",IF(COUNTIFS('Activity &amp; Event Log'!$D$5:$D$504,Settings!$O$90,'Activity &amp; Event Log'!$V$5:$V$504,"Missed Alert")&gt;=COUNTIFS('Activity &amp; Event Log'!$D$5:$D$504,Settings!$O$90,'Activity &amp; Event Log'!$V$5:$V$504,"Triage Delay"),"Missed Alert","Triage Delay")),IF(COUNTIFS('Activity &amp; Event Log'!$D$5:$D$504,Settings!$O$90,'Activity &amp; Event Log'!$V$5:$V$504,"Missed Alert")&gt;=COUNTIFS('Activity &amp; Event Log'!$D$5:$D$504,Settings!$O$90,'Activity &amp; Event Log'!$V$5:$V$504,"Triage Delay"),"Missed Alert","Triage Delay"))))</f>
        <v/>
      </c>
      <c r="L162" s="10" t="str">
        <f aca="false">IF(OR(Settings!$O$90="",E162=0),"",IF((COUNTIFS('Activity &amp; Event Log'!$D$5:$D$504,Settings!$O$90,'Activity &amp; Event Log'!$V$5:$V$504,"Telemetry Blind Spot")+COUNTIFS('Activity &amp; Event Log'!$D$5:$D$504,Settings!$O$90,'Activity &amp; Event Log'!$V$5:$V$504,"Missed Alert")+COUNTIFS('Activity &amp; Event Log'!$D$5:$D$504,Settings!$O$90,'Activity &amp; Event Log'!$V$5:$V$504,"Detected - SLA Breach"))&gt;=Settings!$B$11,"High","Normal"))</f>
        <v/>
      </c>
    </row>
    <row r="163" customFormat="false" ht="15" hidden="false" customHeight="false" outlineLevel="0" collapsed="false">
      <c r="B163" s="10" t="str">
        <f aca="false">IF(Settings!$O$91="","",Settings!$Q$91)</f>
        <v/>
      </c>
      <c r="C163" s="10" t="str">
        <f aca="false">IF(Settings!$O$91="","",Settings!$O$91)</f>
        <v/>
      </c>
      <c r="D163" s="10" t="str">
        <f aca="false">IF(Settings!$O$91="","",Settings!$P$91)</f>
        <v/>
      </c>
      <c r="E163" s="11" t="str">
        <f aca="false">IF(Settings!$O$91="","",COUNTIFS('Activity &amp; Event Log'!$D$5:$D$504,Settings!$O$91,'Activity &amp; Event Log'!$G$5:$G$504,"?*"))</f>
        <v/>
      </c>
      <c r="F163" s="11" t="str">
        <f aca="false">IF(Settings!$O$91="","",SUMIFS('Activity &amp; Event Log'!$W$5:$W$504,'Activity &amp; Event Log'!$D$5:$D$504,Settings!$O$91))</f>
        <v/>
      </c>
      <c r="G163" s="12" t="str">
        <f aca="false">IF(OR(Settings!$O$91="",E163=0),"",F163/E163)</f>
        <v/>
      </c>
      <c r="H163" s="15" t="str">
        <f aca="false">IF(OR(Settings!$O$91="",F163=0),"",AVERAGEIFS('Activity &amp; Event Log'!$S$5:$S$504,'Activity &amp; Event Log'!$D$5:$D$504,Settings!$O$91))</f>
        <v/>
      </c>
      <c r="I163" s="15" t="str">
        <f aca="false">IF(OR(Settings!$O$91="",F163=0),"",_xlfn.MAXIFS('Activity &amp; Event Log'!$S$5:$S$504,'Activity &amp; Event Log'!$D$5:$D$504,Settings!$O$91))</f>
        <v/>
      </c>
      <c r="J163" s="12" t="str">
        <f aca="false">IF(OR(Settings!$O$91="",E163=0),"",COUNTIFS('Activity &amp; Event Log'!$D$5:$D$504,Settings!$O$91,'Activity &amp; Event Log'!$U$5:$U$504,"Yes")/E163)</f>
        <v/>
      </c>
      <c r="K163" s="10" t="str">
        <f aca="false">IF(OR(Settings!$O$91="",E163=0),"",IF(MAX(COUNTIFS('Activity &amp; Event Log'!$D$5:$D$504,Settings!$O$91,'Activity &amp; Event Log'!$V$5:$V$504,"Telemetry Blind Spot"),COUNTIFS('Activity &amp; Event Log'!$D$5:$D$504,Settings!$O$91,'Activity &amp; Event Log'!$V$5:$V$504,"Missed Alert"),COUNTIFS('Activity &amp; Event Log'!$D$5:$D$504,Settings!$O$91,'Activity &amp; Event Log'!$V$5:$V$504,"Triage Delay"))=0,"None",IF(COUNTIFS('Activity &amp; Event Log'!$D$5:$D$504,Settings!$O$91,'Activity &amp; Event Log'!$V$5:$V$504,"Telemetry Blind Spot")&gt;=COUNTIFS('Activity &amp; Event Log'!$D$5:$D$504,Settings!$O$91,'Activity &amp; Event Log'!$V$5:$V$504,"Missed Alert"),IF(COUNTIFS('Activity &amp; Event Log'!$D$5:$D$504,Settings!$O$91,'Activity &amp; Event Log'!$V$5:$V$504,"Telemetry Blind Spot")&gt;=COUNTIFS('Activity &amp; Event Log'!$D$5:$D$504,Settings!$O$91,'Activity &amp; Event Log'!$V$5:$V$504,"Triage Delay"),"Blind Spot",IF(COUNTIFS('Activity &amp; Event Log'!$D$5:$D$504,Settings!$O$91,'Activity &amp; Event Log'!$V$5:$V$504,"Missed Alert")&gt;=COUNTIFS('Activity &amp; Event Log'!$D$5:$D$504,Settings!$O$91,'Activity &amp; Event Log'!$V$5:$V$504,"Triage Delay"),"Missed Alert","Triage Delay")),IF(COUNTIFS('Activity &amp; Event Log'!$D$5:$D$504,Settings!$O$91,'Activity &amp; Event Log'!$V$5:$V$504,"Missed Alert")&gt;=COUNTIFS('Activity &amp; Event Log'!$D$5:$D$504,Settings!$O$91,'Activity &amp; Event Log'!$V$5:$V$504,"Triage Delay"),"Missed Alert","Triage Delay"))))</f>
        <v/>
      </c>
      <c r="L163" s="10" t="str">
        <f aca="false">IF(OR(Settings!$O$91="",E163=0),"",IF((COUNTIFS('Activity &amp; Event Log'!$D$5:$D$504,Settings!$O$91,'Activity &amp; Event Log'!$V$5:$V$504,"Telemetry Blind Spot")+COUNTIFS('Activity &amp; Event Log'!$D$5:$D$504,Settings!$O$91,'Activity &amp; Event Log'!$V$5:$V$504,"Missed Alert")+COUNTIFS('Activity &amp; Event Log'!$D$5:$D$504,Settings!$O$91,'Activity &amp; Event Log'!$V$5:$V$504,"Detected - SLA Breach"))&gt;=Settings!$B$11,"High","Normal"))</f>
        <v/>
      </c>
    </row>
    <row r="164" customFormat="false" ht="15" hidden="false" customHeight="false" outlineLevel="0" collapsed="false">
      <c r="B164" s="10" t="str">
        <f aca="false">IF(Settings!$O$92="","",Settings!$Q$92)</f>
        <v/>
      </c>
      <c r="C164" s="10" t="str">
        <f aca="false">IF(Settings!$O$92="","",Settings!$O$92)</f>
        <v/>
      </c>
      <c r="D164" s="10" t="str">
        <f aca="false">IF(Settings!$O$92="","",Settings!$P$92)</f>
        <v/>
      </c>
      <c r="E164" s="11" t="str">
        <f aca="false">IF(Settings!$O$92="","",COUNTIFS('Activity &amp; Event Log'!$D$5:$D$504,Settings!$O$92,'Activity &amp; Event Log'!$G$5:$G$504,"?*"))</f>
        <v/>
      </c>
      <c r="F164" s="11" t="str">
        <f aca="false">IF(Settings!$O$92="","",SUMIFS('Activity &amp; Event Log'!$W$5:$W$504,'Activity &amp; Event Log'!$D$5:$D$504,Settings!$O$92))</f>
        <v/>
      </c>
      <c r="G164" s="12" t="str">
        <f aca="false">IF(OR(Settings!$O$92="",E164=0),"",F164/E164)</f>
        <v/>
      </c>
      <c r="H164" s="15" t="str">
        <f aca="false">IF(OR(Settings!$O$92="",F164=0),"",AVERAGEIFS('Activity &amp; Event Log'!$S$5:$S$504,'Activity &amp; Event Log'!$D$5:$D$504,Settings!$O$92))</f>
        <v/>
      </c>
      <c r="I164" s="15" t="str">
        <f aca="false">IF(OR(Settings!$O$92="",F164=0),"",_xlfn.MAXIFS('Activity &amp; Event Log'!$S$5:$S$504,'Activity &amp; Event Log'!$D$5:$D$504,Settings!$O$92))</f>
        <v/>
      </c>
      <c r="J164" s="12" t="str">
        <f aca="false">IF(OR(Settings!$O$92="",E164=0),"",COUNTIFS('Activity &amp; Event Log'!$D$5:$D$504,Settings!$O$92,'Activity &amp; Event Log'!$U$5:$U$504,"Yes")/E164)</f>
        <v/>
      </c>
      <c r="K164" s="10" t="str">
        <f aca="false">IF(OR(Settings!$O$92="",E164=0),"",IF(MAX(COUNTIFS('Activity &amp; Event Log'!$D$5:$D$504,Settings!$O$92,'Activity &amp; Event Log'!$V$5:$V$504,"Telemetry Blind Spot"),COUNTIFS('Activity &amp; Event Log'!$D$5:$D$504,Settings!$O$92,'Activity &amp; Event Log'!$V$5:$V$504,"Missed Alert"),COUNTIFS('Activity &amp; Event Log'!$D$5:$D$504,Settings!$O$92,'Activity &amp; Event Log'!$V$5:$V$504,"Triage Delay"))=0,"None",IF(COUNTIFS('Activity &amp; Event Log'!$D$5:$D$504,Settings!$O$92,'Activity &amp; Event Log'!$V$5:$V$504,"Telemetry Blind Spot")&gt;=COUNTIFS('Activity &amp; Event Log'!$D$5:$D$504,Settings!$O$92,'Activity &amp; Event Log'!$V$5:$V$504,"Missed Alert"),IF(COUNTIFS('Activity &amp; Event Log'!$D$5:$D$504,Settings!$O$92,'Activity &amp; Event Log'!$V$5:$V$504,"Telemetry Blind Spot")&gt;=COUNTIFS('Activity &amp; Event Log'!$D$5:$D$504,Settings!$O$92,'Activity &amp; Event Log'!$V$5:$V$504,"Triage Delay"),"Blind Spot",IF(COUNTIFS('Activity &amp; Event Log'!$D$5:$D$504,Settings!$O$92,'Activity &amp; Event Log'!$V$5:$V$504,"Missed Alert")&gt;=COUNTIFS('Activity &amp; Event Log'!$D$5:$D$504,Settings!$O$92,'Activity &amp; Event Log'!$V$5:$V$504,"Triage Delay"),"Missed Alert","Triage Delay")),IF(COUNTIFS('Activity &amp; Event Log'!$D$5:$D$504,Settings!$O$92,'Activity &amp; Event Log'!$V$5:$V$504,"Missed Alert")&gt;=COUNTIFS('Activity &amp; Event Log'!$D$5:$D$504,Settings!$O$92,'Activity &amp; Event Log'!$V$5:$V$504,"Triage Delay"),"Missed Alert","Triage Delay"))))</f>
        <v/>
      </c>
      <c r="L164" s="10" t="str">
        <f aca="false">IF(OR(Settings!$O$92="",E164=0),"",IF((COUNTIFS('Activity &amp; Event Log'!$D$5:$D$504,Settings!$O$92,'Activity &amp; Event Log'!$V$5:$V$504,"Telemetry Blind Spot")+COUNTIFS('Activity &amp; Event Log'!$D$5:$D$504,Settings!$O$92,'Activity &amp; Event Log'!$V$5:$V$504,"Missed Alert")+COUNTIFS('Activity &amp; Event Log'!$D$5:$D$504,Settings!$O$92,'Activity &amp; Event Log'!$V$5:$V$504,"Detected - SLA Breach"))&gt;=Settings!$B$11,"High","Normal"))</f>
        <v/>
      </c>
    </row>
    <row r="165" customFormat="false" ht="15" hidden="false" customHeight="false" outlineLevel="0" collapsed="false">
      <c r="B165" s="10" t="str">
        <f aca="false">IF(Settings!$O$93="","",Settings!$Q$93)</f>
        <v/>
      </c>
      <c r="C165" s="10" t="str">
        <f aca="false">IF(Settings!$O$93="","",Settings!$O$93)</f>
        <v/>
      </c>
      <c r="D165" s="10" t="str">
        <f aca="false">IF(Settings!$O$93="","",Settings!$P$93)</f>
        <v/>
      </c>
      <c r="E165" s="11" t="str">
        <f aca="false">IF(Settings!$O$93="","",COUNTIFS('Activity &amp; Event Log'!$D$5:$D$504,Settings!$O$93,'Activity &amp; Event Log'!$G$5:$G$504,"?*"))</f>
        <v/>
      </c>
      <c r="F165" s="11" t="str">
        <f aca="false">IF(Settings!$O$93="","",SUMIFS('Activity &amp; Event Log'!$W$5:$W$504,'Activity &amp; Event Log'!$D$5:$D$504,Settings!$O$93))</f>
        <v/>
      </c>
      <c r="G165" s="12" t="str">
        <f aca="false">IF(OR(Settings!$O$93="",E165=0),"",F165/E165)</f>
        <v/>
      </c>
      <c r="H165" s="15" t="str">
        <f aca="false">IF(OR(Settings!$O$93="",F165=0),"",AVERAGEIFS('Activity &amp; Event Log'!$S$5:$S$504,'Activity &amp; Event Log'!$D$5:$D$504,Settings!$O$93))</f>
        <v/>
      </c>
      <c r="I165" s="15" t="str">
        <f aca="false">IF(OR(Settings!$O$93="",F165=0),"",_xlfn.MAXIFS('Activity &amp; Event Log'!$S$5:$S$504,'Activity &amp; Event Log'!$D$5:$D$504,Settings!$O$93))</f>
        <v/>
      </c>
      <c r="J165" s="12" t="str">
        <f aca="false">IF(OR(Settings!$O$93="",E165=0),"",COUNTIFS('Activity &amp; Event Log'!$D$5:$D$504,Settings!$O$93,'Activity &amp; Event Log'!$U$5:$U$504,"Yes")/E165)</f>
        <v/>
      </c>
      <c r="K165" s="10" t="str">
        <f aca="false">IF(OR(Settings!$O$93="",E165=0),"",IF(MAX(COUNTIFS('Activity &amp; Event Log'!$D$5:$D$504,Settings!$O$93,'Activity &amp; Event Log'!$V$5:$V$504,"Telemetry Blind Spot"),COUNTIFS('Activity &amp; Event Log'!$D$5:$D$504,Settings!$O$93,'Activity &amp; Event Log'!$V$5:$V$504,"Missed Alert"),COUNTIFS('Activity &amp; Event Log'!$D$5:$D$504,Settings!$O$93,'Activity &amp; Event Log'!$V$5:$V$504,"Triage Delay"))=0,"None",IF(COUNTIFS('Activity &amp; Event Log'!$D$5:$D$504,Settings!$O$93,'Activity &amp; Event Log'!$V$5:$V$504,"Telemetry Blind Spot")&gt;=COUNTIFS('Activity &amp; Event Log'!$D$5:$D$504,Settings!$O$93,'Activity &amp; Event Log'!$V$5:$V$504,"Missed Alert"),IF(COUNTIFS('Activity &amp; Event Log'!$D$5:$D$504,Settings!$O$93,'Activity &amp; Event Log'!$V$5:$V$504,"Telemetry Blind Spot")&gt;=COUNTIFS('Activity &amp; Event Log'!$D$5:$D$504,Settings!$O$93,'Activity &amp; Event Log'!$V$5:$V$504,"Triage Delay"),"Blind Spot",IF(COUNTIFS('Activity &amp; Event Log'!$D$5:$D$504,Settings!$O$93,'Activity &amp; Event Log'!$V$5:$V$504,"Missed Alert")&gt;=COUNTIFS('Activity &amp; Event Log'!$D$5:$D$504,Settings!$O$93,'Activity &amp; Event Log'!$V$5:$V$504,"Triage Delay"),"Missed Alert","Triage Delay")),IF(COUNTIFS('Activity &amp; Event Log'!$D$5:$D$504,Settings!$O$93,'Activity &amp; Event Log'!$V$5:$V$504,"Missed Alert")&gt;=COUNTIFS('Activity &amp; Event Log'!$D$5:$D$504,Settings!$O$93,'Activity &amp; Event Log'!$V$5:$V$504,"Triage Delay"),"Missed Alert","Triage Delay"))))</f>
        <v/>
      </c>
      <c r="L165" s="10" t="str">
        <f aca="false">IF(OR(Settings!$O$93="",E165=0),"",IF((COUNTIFS('Activity &amp; Event Log'!$D$5:$D$504,Settings!$O$93,'Activity &amp; Event Log'!$V$5:$V$504,"Telemetry Blind Spot")+COUNTIFS('Activity &amp; Event Log'!$D$5:$D$504,Settings!$O$93,'Activity &amp; Event Log'!$V$5:$V$504,"Missed Alert")+COUNTIFS('Activity &amp; Event Log'!$D$5:$D$504,Settings!$O$93,'Activity &amp; Event Log'!$V$5:$V$504,"Detected - SLA Breach"))&gt;=Settings!$B$11,"High","Normal"))</f>
        <v/>
      </c>
    </row>
    <row r="166" customFormat="false" ht="15" hidden="false" customHeight="false" outlineLevel="0" collapsed="false">
      <c r="B166" s="10" t="str">
        <f aca="false">IF(Settings!$O$94="","",Settings!$Q$94)</f>
        <v/>
      </c>
      <c r="C166" s="10" t="str">
        <f aca="false">IF(Settings!$O$94="","",Settings!$O$94)</f>
        <v/>
      </c>
      <c r="D166" s="10" t="str">
        <f aca="false">IF(Settings!$O$94="","",Settings!$P$94)</f>
        <v/>
      </c>
      <c r="E166" s="11" t="str">
        <f aca="false">IF(Settings!$O$94="","",COUNTIFS('Activity &amp; Event Log'!$D$5:$D$504,Settings!$O$94,'Activity &amp; Event Log'!$G$5:$G$504,"?*"))</f>
        <v/>
      </c>
      <c r="F166" s="11" t="str">
        <f aca="false">IF(Settings!$O$94="","",SUMIFS('Activity &amp; Event Log'!$W$5:$W$504,'Activity &amp; Event Log'!$D$5:$D$504,Settings!$O$94))</f>
        <v/>
      </c>
      <c r="G166" s="12" t="str">
        <f aca="false">IF(OR(Settings!$O$94="",E166=0),"",F166/E166)</f>
        <v/>
      </c>
      <c r="H166" s="15" t="str">
        <f aca="false">IF(OR(Settings!$O$94="",F166=0),"",AVERAGEIFS('Activity &amp; Event Log'!$S$5:$S$504,'Activity &amp; Event Log'!$D$5:$D$504,Settings!$O$94))</f>
        <v/>
      </c>
      <c r="I166" s="15" t="str">
        <f aca="false">IF(OR(Settings!$O$94="",F166=0),"",_xlfn.MAXIFS('Activity &amp; Event Log'!$S$5:$S$504,'Activity &amp; Event Log'!$D$5:$D$504,Settings!$O$94))</f>
        <v/>
      </c>
      <c r="J166" s="12" t="str">
        <f aca="false">IF(OR(Settings!$O$94="",E166=0),"",COUNTIFS('Activity &amp; Event Log'!$D$5:$D$504,Settings!$O$94,'Activity &amp; Event Log'!$U$5:$U$504,"Yes")/E166)</f>
        <v/>
      </c>
      <c r="K166" s="10" t="str">
        <f aca="false">IF(OR(Settings!$O$94="",E166=0),"",IF(MAX(COUNTIFS('Activity &amp; Event Log'!$D$5:$D$504,Settings!$O$94,'Activity &amp; Event Log'!$V$5:$V$504,"Telemetry Blind Spot"),COUNTIFS('Activity &amp; Event Log'!$D$5:$D$504,Settings!$O$94,'Activity &amp; Event Log'!$V$5:$V$504,"Missed Alert"),COUNTIFS('Activity &amp; Event Log'!$D$5:$D$504,Settings!$O$94,'Activity &amp; Event Log'!$V$5:$V$504,"Triage Delay"))=0,"None",IF(COUNTIFS('Activity &amp; Event Log'!$D$5:$D$504,Settings!$O$94,'Activity &amp; Event Log'!$V$5:$V$504,"Telemetry Blind Spot")&gt;=COUNTIFS('Activity &amp; Event Log'!$D$5:$D$504,Settings!$O$94,'Activity &amp; Event Log'!$V$5:$V$504,"Missed Alert"),IF(COUNTIFS('Activity &amp; Event Log'!$D$5:$D$504,Settings!$O$94,'Activity &amp; Event Log'!$V$5:$V$504,"Telemetry Blind Spot")&gt;=COUNTIFS('Activity &amp; Event Log'!$D$5:$D$504,Settings!$O$94,'Activity &amp; Event Log'!$V$5:$V$504,"Triage Delay"),"Blind Spot",IF(COUNTIFS('Activity &amp; Event Log'!$D$5:$D$504,Settings!$O$94,'Activity &amp; Event Log'!$V$5:$V$504,"Missed Alert")&gt;=COUNTIFS('Activity &amp; Event Log'!$D$5:$D$504,Settings!$O$94,'Activity &amp; Event Log'!$V$5:$V$504,"Triage Delay"),"Missed Alert","Triage Delay")),IF(COUNTIFS('Activity &amp; Event Log'!$D$5:$D$504,Settings!$O$94,'Activity &amp; Event Log'!$V$5:$V$504,"Missed Alert")&gt;=COUNTIFS('Activity &amp; Event Log'!$D$5:$D$504,Settings!$O$94,'Activity &amp; Event Log'!$V$5:$V$504,"Triage Delay"),"Missed Alert","Triage Delay"))))</f>
        <v/>
      </c>
      <c r="L166" s="10" t="str">
        <f aca="false">IF(OR(Settings!$O$94="",E166=0),"",IF((COUNTIFS('Activity &amp; Event Log'!$D$5:$D$504,Settings!$O$94,'Activity &amp; Event Log'!$V$5:$V$504,"Telemetry Blind Spot")+COUNTIFS('Activity &amp; Event Log'!$D$5:$D$504,Settings!$O$94,'Activity &amp; Event Log'!$V$5:$V$504,"Missed Alert")+COUNTIFS('Activity &amp; Event Log'!$D$5:$D$504,Settings!$O$94,'Activity &amp; Event Log'!$V$5:$V$504,"Detected - SLA Breach"))&gt;=Settings!$B$11,"High","Normal"))</f>
        <v/>
      </c>
    </row>
    <row r="167" customFormat="false" ht="15" hidden="false" customHeight="false" outlineLevel="0" collapsed="false">
      <c r="B167" s="10" t="str">
        <f aca="false">IF(Settings!$O$95="","",Settings!$Q$95)</f>
        <v/>
      </c>
      <c r="C167" s="10" t="str">
        <f aca="false">IF(Settings!$O$95="","",Settings!$O$95)</f>
        <v/>
      </c>
      <c r="D167" s="10" t="str">
        <f aca="false">IF(Settings!$O$95="","",Settings!$P$95)</f>
        <v/>
      </c>
      <c r="E167" s="11" t="str">
        <f aca="false">IF(Settings!$O$95="","",COUNTIFS('Activity &amp; Event Log'!$D$5:$D$504,Settings!$O$95,'Activity &amp; Event Log'!$G$5:$G$504,"?*"))</f>
        <v/>
      </c>
      <c r="F167" s="11" t="str">
        <f aca="false">IF(Settings!$O$95="","",SUMIFS('Activity &amp; Event Log'!$W$5:$W$504,'Activity &amp; Event Log'!$D$5:$D$504,Settings!$O$95))</f>
        <v/>
      </c>
      <c r="G167" s="12" t="str">
        <f aca="false">IF(OR(Settings!$O$95="",E167=0),"",F167/E167)</f>
        <v/>
      </c>
      <c r="H167" s="15" t="str">
        <f aca="false">IF(OR(Settings!$O$95="",F167=0),"",AVERAGEIFS('Activity &amp; Event Log'!$S$5:$S$504,'Activity &amp; Event Log'!$D$5:$D$504,Settings!$O$95))</f>
        <v/>
      </c>
      <c r="I167" s="15" t="str">
        <f aca="false">IF(OR(Settings!$O$95="",F167=0),"",_xlfn.MAXIFS('Activity &amp; Event Log'!$S$5:$S$504,'Activity &amp; Event Log'!$D$5:$D$504,Settings!$O$95))</f>
        <v/>
      </c>
      <c r="J167" s="12" t="str">
        <f aca="false">IF(OR(Settings!$O$95="",E167=0),"",COUNTIFS('Activity &amp; Event Log'!$D$5:$D$504,Settings!$O$95,'Activity &amp; Event Log'!$U$5:$U$504,"Yes")/E167)</f>
        <v/>
      </c>
      <c r="K167" s="10" t="str">
        <f aca="false">IF(OR(Settings!$O$95="",E167=0),"",IF(MAX(COUNTIFS('Activity &amp; Event Log'!$D$5:$D$504,Settings!$O$95,'Activity &amp; Event Log'!$V$5:$V$504,"Telemetry Blind Spot"),COUNTIFS('Activity &amp; Event Log'!$D$5:$D$504,Settings!$O$95,'Activity &amp; Event Log'!$V$5:$V$504,"Missed Alert"),COUNTIFS('Activity &amp; Event Log'!$D$5:$D$504,Settings!$O$95,'Activity &amp; Event Log'!$V$5:$V$504,"Triage Delay"))=0,"None",IF(COUNTIFS('Activity &amp; Event Log'!$D$5:$D$504,Settings!$O$95,'Activity &amp; Event Log'!$V$5:$V$504,"Telemetry Blind Spot")&gt;=COUNTIFS('Activity &amp; Event Log'!$D$5:$D$504,Settings!$O$95,'Activity &amp; Event Log'!$V$5:$V$504,"Missed Alert"),IF(COUNTIFS('Activity &amp; Event Log'!$D$5:$D$504,Settings!$O$95,'Activity &amp; Event Log'!$V$5:$V$504,"Telemetry Blind Spot")&gt;=COUNTIFS('Activity &amp; Event Log'!$D$5:$D$504,Settings!$O$95,'Activity &amp; Event Log'!$V$5:$V$504,"Triage Delay"),"Blind Spot",IF(COUNTIFS('Activity &amp; Event Log'!$D$5:$D$504,Settings!$O$95,'Activity &amp; Event Log'!$V$5:$V$504,"Missed Alert")&gt;=COUNTIFS('Activity &amp; Event Log'!$D$5:$D$504,Settings!$O$95,'Activity &amp; Event Log'!$V$5:$V$504,"Triage Delay"),"Missed Alert","Triage Delay")),IF(COUNTIFS('Activity &amp; Event Log'!$D$5:$D$504,Settings!$O$95,'Activity &amp; Event Log'!$V$5:$V$504,"Missed Alert")&gt;=COUNTIFS('Activity &amp; Event Log'!$D$5:$D$504,Settings!$O$95,'Activity &amp; Event Log'!$V$5:$V$504,"Triage Delay"),"Missed Alert","Triage Delay"))))</f>
        <v/>
      </c>
      <c r="L167" s="10" t="str">
        <f aca="false">IF(OR(Settings!$O$95="",E167=0),"",IF((COUNTIFS('Activity &amp; Event Log'!$D$5:$D$504,Settings!$O$95,'Activity &amp; Event Log'!$V$5:$V$504,"Telemetry Blind Spot")+COUNTIFS('Activity &amp; Event Log'!$D$5:$D$504,Settings!$O$95,'Activity &amp; Event Log'!$V$5:$V$504,"Missed Alert")+COUNTIFS('Activity &amp; Event Log'!$D$5:$D$504,Settings!$O$95,'Activity &amp; Event Log'!$V$5:$V$504,"Detected - SLA Breach"))&gt;=Settings!$B$11,"High","Normal"))</f>
        <v/>
      </c>
    </row>
    <row r="168" customFormat="false" ht="15" hidden="false" customHeight="false" outlineLevel="0" collapsed="false">
      <c r="B168" s="10" t="str">
        <f aca="false">IF(Settings!$O$96="","",Settings!$Q$96)</f>
        <v/>
      </c>
      <c r="C168" s="10" t="str">
        <f aca="false">IF(Settings!$O$96="","",Settings!$O$96)</f>
        <v/>
      </c>
      <c r="D168" s="10" t="str">
        <f aca="false">IF(Settings!$O$96="","",Settings!$P$96)</f>
        <v/>
      </c>
      <c r="E168" s="11" t="str">
        <f aca="false">IF(Settings!$O$96="","",COUNTIFS('Activity &amp; Event Log'!$D$5:$D$504,Settings!$O$96,'Activity &amp; Event Log'!$G$5:$G$504,"?*"))</f>
        <v/>
      </c>
      <c r="F168" s="11" t="str">
        <f aca="false">IF(Settings!$O$96="","",SUMIFS('Activity &amp; Event Log'!$W$5:$W$504,'Activity &amp; Event Log'!$D$5:$D$504,Settings!$O$96))</f>
        <v/>
      </c>
      <c r="G168" s="12" t="str">
        <f aca="false">IF(OR(Settings!$O$96="",E168=0),"",F168/E168)</f>
        <v/>
      </c>
      <c r="H168" s="15" t="str">
        <f aca="false">IF(OR(Settings!$O$96="",F168=0),"",AVERAGEIFS('Activity &amp; Event Log'!$S$5:$S$504,'Activity &amp; Event Log'!$D$5:$D$504,Settings!$O$96))</f>
        <v/>
      </c>
      <c r="I168" s="15" t="str">
        <f aca="false">IF(OR(Settings!$O$96="",F168=0),"",_xlfn.MAXIFS('Activity &amp; Event Log'!$S$5:$S$504,'Activity &amp; Event Log'!$D$5:$D$504,Settings!$O$96))</f>
        <v/>
      </c>
      <c r="J168" s="12" t="str">
        <f aca="false">IF(OR(Settings!$O$96="",E168=0),"",COUNTIFS('Activity &amp; Event Log'!$D$5:$D$504,Settings!$O$96,'Activity &amp; Event Log'!$U$5:$U$504,"Yes")/E168)</f>
        <v/>
      </c>
      <c r="K168" s="10" t="str">
        <f aca="false">IF(OR(Settings!$O$96="",E168=0),"",IF(MAX(COUNTIFS('Activity &amp; Event Log'!$D$5:$D$504,Settings!$O$96,'Activity &amp; Event Log'!$V$5:$V$504,"Telemetry Blind Spot"),COUNTIFS('Activity &amp; Event Log'!$D$5:$D$504,Settings!$O$96,'Activity &amp; Event Log'!$V$5:$V$504,"Missed Alert"),COUNTIFS('Activity &amp; Event Log'!$D$5:$D$504,Settings!$O$96,'Activity &amp; Event Log'!$V$5:$V$504,"Triage Delay"))=0,"None",IF(COUNTIFS('Activity &amp; Event Log'!$D$5:$D$504,Settings!$O$96,'Activity &amp; Event Log'!$V$5:$V$504,"Telemetry Blind Spot")&gt;=COUNTIFS('Activity &amp; Event Log'!$D$5:$D$504,Settings!$O$96,'Activity &amp; Event Log'!$V$5:$V$504,"Missed Alert"),IF(COUNTIFS('Activity &amp; Event Log'!$D$5:$D$504,Settings!$O$96,'Activity &amp; Event Log'!$V$5:$V$504,"Telemetry Blind Spot")&gt;=COUNTIFS('Activity &amp; Event Log'!$D$5:$D$504,Settings!$O$96,'Activity &amp; Event Log'!$V$5:$V$504,"Triage Delay"),"Blind Spot",IF(COUNTIFS('Activity &amp; Event Log'!$D$5:$D$504,Settings!$O$96,'Activity &amp; Event Log'!$V$5:$V$504,"Missed Alert")&gt;=COUNTIFS('Activity &amp; Event Log'!$D$5:$D$504,Settings!$O$96,'Activity &amp; Event Log'!$V$5:$V$504,"Triage Delay"),"Missed Alert","Triage Delay")),IF(COUNTIFS('Activity &amp; Event Log'!$D$5:$D$504,Settings!$O$96,'Activity &amp; Event Log'!$V$5:$V$504,"Missed Alert")&gt;=COUNTIFS('Activity &amp; Event Log'!$D$5:$D$504,Settings!$O$96,'Activity &amp; Event Log'!$V$5:$V$504,"Triage Delay"),"Missed Alert","Triage Delay"))))</f>
        <v/>
      </c>
      <c r="L168" s="10" t="str">
        <f aca="false">IF(OR(Settings!$O$96="",E168=0),"",IF((COUNTIFS('Activity &amp; Event Log'!$D$5:$D$504,Settings!$O$96,'Activity &amp; Event Log'!$V$5:$V$504,"Telemetry Blind Spot")+COUNTIFS('Activity &amp; Event Log'!$D$5:$D$504,Settings!$O$96,'Activity &amp; Event Log'!$V$5:$V$504,"Missed Alert")+COUNTIFS('Activity &amp; Event Log'!$D$5:$D$504,Settings!$O$96,'Activity &amp; Event Log'!$V$5:$V$504,"Detected - SLA Breach"))&gt;=Settings!$B$11,"High","Normal"))</f>
        <v/>
      </c>
    </row>
    <row r="169" customFormat="false" ht="15" hidden="false" customHeight="false" outlineLevel="0" collapsed="false">
      <c r="B169" s="10" t="str">
        <f aca="false">IF(Settings!$O$97="","",Settings!$Q$97)</f>
        <v/>
      </c>
      <c r="C169" s="10" t="str">
        <f aca="false">IF(Settings!$O$97="","",Settings!$O$97)</f>
        <v/>
      </c>
      <c r="D169" s="10" t="str">
        <f aca="false">IF(Settings!$O$97="","",Settings!$P$97)</f>
        <v/>
      </c>
      <c r="E169" s="11" t="str">
        <f aca="false">IF(Settings!$O$97="","",COUNTIFS('Activity &amp; Event Log'!$D$5:$D$504,Settings!$O$97,'Activity &amp; Event Log'!$G$5:$G$504,"?*"))</f>
        <v/>
      </c>
      <c r="F169" s="11" t="str">
        <f aca="false">IF(Settings!$O$97="","",SUMIFS('Activity &amp; Event Log'!$W$5:$W$504,'Activity &amp; Event Log'!$D$5:$D$504,Settings!$O$97))</f>
        <v/>
      </c>
      <c r="G169" s="12" t="str">
        <f aca="false">IF(OR(Settings!$O$97="",E169=0),"",F169/E169)</f>
        <v/>
      </c>
      <c r="H169" s="15" t="str">
        <f aca="false">IF(OR(Settings!$O$97="",F169=0),"",AVERAGEIFS('Activity &amp; Event Log'!$S$5:$S$504,'Activity &amp; Event Log'!$D$5:$D$504,Settings!$O$97))</f>
        <v/>
      </c>
      <c r="I169" s="15" t="str">
        <f aca="false">IF(OR(Settings!$O$97="",F169=0),"",_xlfn.MAXIFS('Activity &amp; Event Log'!$S$5:$S$504,'Activity &amp; Event Log'!$D$5:$D$504,Settings!$O$97))</f>
        <v/>
      </c>
      <c r="J169" s="12" t="str">
        <f aca="false">IF(OR(Settings!$O$97="",E169=0),"",COUNTIFS('Activity &amp; Event Log'!$D$5:$D$504,Settings!$O$97,'Activity &amp; Event Log'!$U$5:$U$504,"Yes")/E169)</f>
        <v/>
      </c>
      <c r="K169" s="10" t="str">
        <f aca="false">IF(OR(Settings!$O$97="",E169=0),"",IF(MAX(COUNTIFS('Activity &amp; Event Log'!$D$5:$D$504,Settings!$O$97,'Activity &amp; Event Log'!$V$5:$V$504,"Telemetry Blind Spot"),COUNTIFS('Activity &amp; Event Log'!$D$5:$D$504,Settings!$O$97,'Activity &amp; Event Log'!$V$5:$V$504,"Missed Alert"),COUNTIFS('Activity &amp; Event Log'!$D$5:$D$504,Settings!$O$97,'Activity &amp; Event Log'!$V$5:$V$504,"Triage Delay"))=0,"None",IF(COUNTIFS('Activity &amp; Event Log'!$D$5:$D$504,Settings!$O$97,'Activity &amp; Event Log'!$V$5:$V$504,"Telemetry Blind Spot")&gt;=COUNTIFS('Activity &amp; Event Log'!$D$5:$D$504,Settings!$O$97,'Activity &amp; Event Log'!$V$5:$V$504,"Missed Alert"),IF(COUNTIFS('Activity &amp; Event Log'!$D$5:$D$504,Settings!$O$97,'Activity &amp; Event Log'!$V$5:$V$504,"Telemetry Blind Spot")&gt;=COUNTIFS('Activity &amp; Event Log'!$D$5:$D$504,Settings!$O$97,'Activity &amp; Event Log'!$V$5:$V$504,"Triage Delay"),"Blind Spot",IF(COUNTIFS('Activity &amp; Event Log'!$D$5:$D$504,Settings!$O$97,'Activity &amp; Event Log'!$V$5:$V$504,"Missed Alert")&gt;=COUNTIFS('Activity &amp; Event Log'!$D$5:$D$504,Settings!$O$97,'Activity &amp; Event Log'!$V$5:$V$504,"Triage Delay"),"Missed Alert","Triage Delay")),IF(COUNTIFS('Activity &amp; Event Log'!$D$5:$D$504,Settings!$O$97,'Activity &amp; Event Log'!$V$5:$V$504,"Missed Alert")&gt;=COUNTIFS('Activity &amp; Event Log'!$D$5:$D$504,Settings!$O$97,'Activity &amp; Event Log'!$V$5:$V$504,"Triage Delay"),"Missed Alert","Triage Delay"))))</f>
        <v/>
      </c>
      <c r="L169" s="10" t="str">
        <f aca="false">IF(OR(Settings!$O$97="",E169=0),"",IF((COUNTIFS('Activity &amp; Event Log'!$D$5:$D$504,Settings!$O$97,'Activity &amp; Event Log'!$V$5:$V$504,"Telemetry Blind Spot")+COUNTIFS('Activity &amp; Event Log'!$D$5:$D$504,Settings!$O$97,'Activity &amp; Event Log'!$V$5:$V$504,"Missed Alert")+COUNTIFS('Activity &amp; Event Log'!$D$5:$D$504,Settings!$O$97,'Activity &amp; Event Log'!$V$5:$V$504,"Detected - SLA Breach"))&gt;=Settings!$B$11,"High","Normal"))</f>
        <v/>
      </c>
    </row>
    <row r="170" customFormat="false" ht="15" hidden="false" customHeight="false" outlineLevel="0" collapsed="false">
      <c r="B170" s="10" t="str">
        <f aca="false">IF(Settings!$O$98="","",Settings!$Q$98)</f>
        <v/>
      </c>
      <c r="C170" s="10" t="str">
        <f aca="false">IF(Settings!$O$98="","",Settings!$O$98)</f>
        <v/>
      </c>
      <c r="D170" s="10" t="str">
        <f aca="false">IF(Settings!$O$98="","",Settings!$P$98)</f>
        <v/>
      </c>
      <c r="E170" s="11" t="str">
        <f aca="false">IF(Settings!$O$98="","",COUNTIFS('Activity &amp; Event Log'!$D$5:$D$504,Settings!$O$98,'Activity &amp; Event Log'!$G$5:$G$504,"?*"))</f>
        <v/>
      </c>
      <c r="F170" s="11" t="str">
        <f aca="false">IF(Settings!$O$98="","",SUMIFS('Activity &amp; Event Log'!$W$5:$W$504,'Activity &amp; Event Log'!$D$5:$D$504,Settings!$O$98))</f>
        <v/>
      </c>
      <c r="G170" s="12" t="str">
        <f aca="false">IF(OR(Settings!$O$98="",E170=0),"",F170/E170)</f>
        <v/>
      </c>
      <c r="H170" s="15" t="str">
        <f aca="false">IF(OR(Settings!$O$98="",F170=0),"",AVERAGEIFS('Activity &amp; Event Log'!$S$5:$S$504,'Activity &amp; Event Log'!$D$5:$D$504,Settings!$O$98))</f>
        <v/>
      </c>
      <c r="I170" s="15" t="str">
        <f aca="false">IF(OR(Settings!$O$98="",F170=0),"",_xlfn.MAXIFS('Activity &amp; Event Log'!$S$5:$S$504,'Activity &amp; Event Log'!$D$5:$D$504,Settings!$O$98))</f>
        <v/>
      </c>
      <c r="J170" s="12" t="str">
        <f aca="false">IF(OR(Settings!$O$98="",E170=0),"",COUNTIFS('Activity &amp; Event Log'!$D$5:$D$504,Settings!$O$98,'Activity &amp; Event Log'!$U$5:$U$504,"Yes")/E170)</f>
        <v/>
      </c>
      <c r="K170" s="10" t="str">
        <f aca="false">IF(OR(Settings!$O$98="",E170=0),"",IF(MAX(COUNTIFS('Activity &amp; Event Log'!$D$5:$D$504,Settings!$O$98,'Activity &amp; Event Log'!$V$5:$V$504,"Telemetry Blind Spot"),COUNTIFS('Activity &amp; Event Log'!$D$5:$D$504,Settings!$O$98,'Activity &amp; Event Log'!$V$5:$V$504,"Missed Alert"),COUNTIFS('Activity &amp; Event Log'!$D$5:$D$504,Settings!$O$98,'Activity &amp; Event Log'!$V$5:$V$504,"Triage Delay"))=0,"None",IF(COUNTIFS('Activity &amp; Event Log'!$D$5:$D$504,Settings!$O$98,'Activity &amp; Event Log'!$V$5:$V$504,"Telemetry Blind Spot")&gt;=COUNTIFS('Activity &amp; Event Log'!$D$5:$D$504,Settings!$O$98,'Activity &amp; Event Log'!$V$5:$V$504,"Missed Alert"),IF(COUNTIFS('Activity &amp; Event Log'!$D$5:$D$504,Settings!$O$98,'Activity &amp; Event Log'!$V$5:$V$504,"Telemetry Blind Spot")&gt;=COUNTIFS('Activity &amp; Event Log'!$D$5:$D$504,Settings!$O$98,'Activity &amp; Event Log'!$V$5:$V$504,"Triage Delay"),"Blind Spot",IF(COUNTIFS('Activity &amp; Event Log'!$D$5:$D$504,Settings!$O$98,'Activity &amp; Event Log'!$V$5:$V$504,"Missed Alert")&gt;=COUNTIFS('Activity &amp; Event Log'!$D$5:$D$504,Settings!$O$98,'Activity &amp; Event Log'!$V$5:$V$504,"Triage Delay"),"Missed Alert","Triage Delay")),IF(COUNTIFS('Activity &amp; Event Log'!$D$5:$D$504,Settings!$O$98,'Activity &amp; Event Log'!$V$5:$V$504,"Missed Alert")&gt;=COUNTIFS('Activity &amp; Event Log'!$D$5:$D$504,Settings!$O$98,'Activity &amp; Event Log'!$V$5:$V$504,"Triage Delay"),"Missed Alert","Triage Delay"))))</f>
        <v/>
      </c>
      <c r="L170" s="10" t="str">
        <f aca="false">IF(OR(Settings!$O$98="",E170=0),"",IF((COUNTIFS('Activity &amp; Event Log'!$D$5:$D$504,Settings!$O$98,'Activity &amp; Event Log'!$V$5:$V$504,"Telemetry Blind Spot")+COUNTIFS('Activity &amp; Event Log'!$D$5:$D$504,Settings!$O$98,'Activity &amp; Event Log'!$V$5:$V$504,"Missed Alert")+COUNTIFS('Activity &amp; Event Log'!$D$5:$D$504,Settings!$O$98,'Activity &amp; Event Log'!$V$5:$V$504,"Detected - SLA Breach"))&gt;=Settings!$B$11,"High","Normal"))</f>
        <v/>
      </c>
    </row>
    <row r="171" customFormat="false" ht="15" hidden="false" customHeight="false" outlineLevel="0" collapsed="false">
      <c r="B171" s="10" t="str">
        <f aca="false">IF(Settings!$O$99="","",Settings!$Q$99)</f>
        <v/>
      </c>
      <c r="C171" s="10" t="str">
        <f aca="false">IF(Settings!$O$99="","",Settings!$O$99)</f>
        <v/>
      </c>
      <c r="D171" s="10" t="str">
        <f aca="false">IF(Settings!$O$99="","",Settings!$P$99)</f>
        <v/>
      </c>
      <c r="E171" s="11" t="str">
        <f aca="false">IF(Settings!$O$99="","",COUNTIFS('Activity &amp; Event Log'!$D$5:$D$504,Settings!$O$99,'Activity &amp; Event Log'!$G$5:$G$504,"?*"))</f>
        <v/>
      </c>
      <c r="F171" s="11" t="str">
        <f aca="false">IF(Settings!$O$99="","",SUMIFS('Activity &amp; Event Log'!$W$5:$W$504,'Activity &amp; Event Log'!$D$5:$D$504,Settings!$O$99))</f>
        <v/>
      </c>
      <c r="G171" s="12" t="str">
        <f aca="false">IF(OR(Settings!$O$99="",E171=0),"",F171/E171)</f>
        <v/>
      </c>
      <c r="H171" s="15" t="str">
        <f aca="false">IF(OR(Settings!$O$99="",F171=0),"",AVERAGEIFS('Activity &amp; Event Log'!$S$5:$S$504,'Activity &amp; Event Log'!$D$5:$D$504,Settings!$O$99))</f>
        <v/>
      </c>
      <c r="I171" s="15" t="str">
        <f aca="false">IF(OR(Settings!$O$99="",F171=0),"",_xlfn.MAXIFS('Activity &amp; Event Log'!$S$5:$S$504,'Activity &amp; Event Log'!$D$5:$D$504,Settings!$O$99))</f>
        <v/>
      </c>
      <c r="J171" s="12" t="str">
        <f aca="false">IF(OR(Settings!$O$99="",E171=0),"",COUNTIFS('Activity &amp; Event Log'!$D$5:$D$504,Settings!$O$99,'Activity &amp; Event Log'!$U$5:$U$504,"Yes")/E171)</f>
        <v/>
      </c>
      <c r="K171" s="10" t="str">
        <f aca="false">IF(OR(Settings!$O$99="",E171=0),"",IF(MAX(COUNTIFS('Activity &amp; Event Log'!$D$5:$D$504,Settings!$O$99,'Activity &amp; Event Log'!$V$5:$V$504,"Telemetry Blind Spot"),COUNTIFS('Activity &amp; Event Log'!$D$5:$D$504,Settings!$O$99,'Activity &amp; Event Log'!$V$5:$V$504,"Missed Alert"),COUNTIFS('Activity &amp; Event Log'!$D$5:$D$504,Settings!$O$99,'Activity &amp; Event Log'!$V$5:$V$504,"Triage Delay"))=0,"None",IF(COUNTIFS('Activity &amp; Event Log'!$D$5:$D$504,Settings!$O$99,'Activity &amp; Event Log'!$V$5:$V$504,"Telemetry Blind Spot")&gt;=COUNTIFS('Activity &amp; Event Log'!$D$5:$D$504,Settings!$O$99,'Activity &amp; Event Log'!$V$5:$V$504,"Missed Alert"),IF(COUNTIFS('Activity &amp; Event Log'!$D$5:$D$504,Settings!$O$99,'Activity &amp; Event Log'!$V$5:$V$504,"Telemetry Blind Spot")&gt;=COUNTIFS('Activity &amp; Event Log'!$D$5:$D$504,Settings!$O$99,'Activity &amp; Event Log'!$V$5:$V$504,"Triage Delay"),"Blind Spot",IF(COUNTIFS('Activity &amp; Event Log'!$D$5:$D$504,Settings!$O$99,'Activity &amp; Event Log'!$V$5:$V$504,"Missed Alert")&gt;=COUNTIFS('Activity &amp; Event Log'!$D$5:$D$504,Settings!$O$99,'Activity &amp; Event Log'!$V$5:$V$504,"Triage Delay"),"Missed Alert","Triage Delay")),IF(COUNTIFS('Activity &amp; Event Log'!$D$5:$D$504,Settings!$O$99,'Activity &amp; Event Log'!$V$5:$V$504,"Missed Alert")&gt;=COUNTIFS('Activity &amp; Event Log'!$D$5:$D$504,Settings!$O$99,'Activity &amp; Event Log'!$V$5:$V$504,"Triage Delay"),"Missed Alert","Triage Delay"))))</f>
        <v/>
      </c>
      <c r="L171" s="10" t="str">
        <f aca="false">IF(OR(Settings!$O$99="",E171=0),"",IF((COUNTIFS('Activity &amp; Event Log'!$D$5:$D$504,Settings!$O$99,'Activity &amp; Event Log'!$V$5:$V$504,"Telemetry Blind Spot")+COUNTIFS('Activity &amp; Event Log'!$D$5:$D$504,Settings!$O$99,'Activity &amp; Event Log'!$V$5:$V$504,"Missed Alert")+COUNTIFS('Activity &amp; Event Log'!$D$5:$D$504,Settings!$O$99,'Activity &amp; Event Log'!$V$5:$V$504,"Detected - SLA Breach"))&gt;=Settings!$B$11,"High","Normal"))</f>
        <v/>
      </c>
    </row>
    <row r="172" customFormat="false" ht="15" hidden="false" customHeight="false" outlineLevel="0" collapsed="false">
      <c r="B172" s="10" t="str">
        <f aca="false">IF(Settings!$O$100="","",Settings!$Q$100)</f>
        <v/>
      </c>
      <c r="C172" s="10" t="str">
        <f aca="false">IF(Settings!$O$100="","",Settings!$O$100)</f>
        <v/>
      </c>
      <c r="D172" s="10" t="str">
        <f aca="false">IF(Settings!$O$100="","",Settings!$P$100)</f>
        <v/>
      </c>
      <c r="E172" s="11" t="str">
        <f aca="false">IF(Settings!$O$100="","",COUNTIFS('Activity &amp; Event Log'!$D$5:$D$504,Settings!$O$100,'Activity &amp; Event Log'!$G$5:$G$504,"?*"))</f>
        <v/>
      </c>
      <c r="F172" s="11" t="str">
        <f aca="false">IF(Settings!$O$100="","",SUMIFS('Activity &amp; Event Log'!$W$5:$W$504,'Activity &amp; Event Log'!$D$5:$D$504,Settings!$O$100))</f>
        <v/>
      </c>
      <c r="G172" s="12" t="str">
        <f aca="false">IF(OR(Settings!$O$100="",E172=0),"",F172/E172)</f>
        <v/>
      </c>
      <c r="H172" s="15" t="str">
        <f aca="false">IF(OR(Settings!$O$100="",F172=0),"",AVERAGEIFS('Activity &amp; Event Log'!$S$5:$S$504,'Activity &amp; Event Log'!$D$5:$D$504,Settings!$O$100))</f>
        <v/>
      </c>
      <c r="I172" s="15" t="str">
        <f aca="false">IF(OR(Settings!$O$100="",F172=0),"",_xlfn.MAXIFS('Activity &amp; Event Log'!$S$5:$S$504,'Activity &amp; Event Log'!$D$5:$D$504,Settings!$O$100))</f>
        <v/>
      </c>
      <c r="J172" s="12" t="str">
        <f aca="false">IF(OR(Settings!$O$100="",E172=0),"",COUNTIFS('Activity &amp; Event Log'!$D$5:$D$504,Settings!$O$100,'Activity &amp; Event Log'!$U$5:$U$504,"Yes")/E172)</f>
        <v/>
      </c>
      <c r="K172" s="10" t="str">
        <f aca="false">IF(OR(Settings!$O$100="",E172=0),"",IF(MAX(COUNTIFS('Activity &amp; Event Log'!$D$5:$D$504,Settings!$O$100,'Activity &amp; Event Log'!$V$5:$V$504,"Telemetry Blind Spot"),COUNTIFS('Activity &amp; Event Log'!$D$5:$D$504,Settings!$O$100,'Activity &amp; Event Log'!$V$5:$V$504,"Missed Alert"),COUNTIFS('Activity &amp; Event Log'!$D$5:$D$504,Settings!$O$100,'Activity &amp; Event Log'!$V$5:$V$504,"Triage Delay"))=0,"None",IF(COUNTIFS('Activity &amp; Event Log'!$D$5:$D$504,Settings!$O$100,'Activity &amp; Event Log'!$V$5:$V$504,"Telemetry Blind Spot")&gt;=COUNTIFS('Activity &amp; Event Log'!$D$5:$D$504,Settings!$O$100,'Activity &amp; Event Log'!$V$5:$V$504,"Missed Alert"),IF(COUNTIFS('Activity &amp; Event Log'!$D$5:$D$504,Settings!$O$100,'Activity &amp; Event Log'!$V$5:$V$504,"Telemetry Blind Spot")&gt;=COUNTIFS('Activity &amp; Event Log'!$D$5:$D$504,Settings!$O$100,'Activity &amp; Event Log'!$V$5:$V$504,"Triage Delay"),"Blind Spot",IF(COUNTIFS('Activity &amp; Event Log'!$D$5:$D$504,Settings!$O$100,'Activity &amp; Event Log'!$V$5:$V$504,"Missed Alert")&gt;=COUNTIFS('Activity &amp; Event Log'!$D$5:$D$504,Settings!$O$100,'Activity &amp; Event Log'!$V$5:$V$504,"Triage Delay"),"Missed Alert","Triage Delay")),IF(COUNTIFS('Activity &amp; Event Log'!$D$5:$D$504,Settings!$O$100,'Activity &amp; Event Log'!$V$5:$V$504,"Missed Alert")&gt;=COUNTIFS('Activity &amp; Event Log'!$D$5:$D$504,Settings!$O$100,'Activity &amp; Event Log'!$V$5:$V$504,"Triage Delay"),"Missed Alert","Triage Delay"))))</f>
        <v/>
      </c>
      <c r="L172" s="10" t="str">
        <f aca="false">IF(OR(Settings!$O$100="",E172=0),"",IF((COUNTIFS('Activity &amp; Event Log'!$D$5:$D$504,Settings!$O$100,'Activity &amp; Event Log'!$V$5:$V$504,"Telemetry Blind Spot")+COUNTIFS('Activity &amp; Event Log'!$D$5:$D$504,Settings!$O$100,'Activity &amp; Event Log'!$V$5:$V$504,"Missed Alert")+COUNTIFS('Activity &amp; Event Log'!$D$5:$D$504,Settings!$O$100,'Activity &amp; Event Log'!$V$5:$V$504,"Detected - SLA Breach"))&gt;=Settings!$B$11,"High","Normal"))</f>
        <v/>
      </c>
    </row>
    <row r="173" customFormat="false" ht="15" hidden="false" customHeight="false" outlineLevel="0" collapsed="false">
      <c r="B173" s="10" t="str">
        <f aca="false">IF(Settings!$O$101="","",Settings!$Q$101)</f>
        <v/>
      </c>
      <c r="C173" s="10" t="str">
        <f aca="false">IF(Settings!$O$101="","",Settings!$O$101)</f>
        <v/>
      </c>
      <c r="D173" s="10" t="str">
        <f aca="false">IF(Settings!$O$101="","",Settings!$P$101)</f>
        <v/>
      </c>
      <c r="E173" s="11" t="str">
        <f aca="false">IF(Settings!$O$101="","",COUNTIFS('Activity &amp; Event Log'!$D$5:$D$504,Settings!$O$101,'Activity &amp; Event Log'!$G$5:$G$504,"?*"))</f>
        <v/>
      </c>
      <c r="F173" s="11" t="str">
        <f aca="false">IF(Settings!$O$101="","",SUMIFS('Activity &amp; Event Log'!$W$5:$W$504,'Activity &amp; Event Log'!$D$5:$D$504,Settings!$O$101))</f>
        <v/>
      </c>
      <c r="G173" s="12" t="str">
        <f aca="false">IF(OR(Settings!$O$101="",E173=0),"",F173/E173)</f>
        <v/>
      </c>
      <c r="H173" s="15" t="str">
        <f aca="false">IF(OR(Settings!$O$101="",F173=0),"",AVERAGEIFS('Activity &amp; Event Log'!$S$5:$S$504,'Activity &amp; Event Log'!$D$5:$D$504,Settings!$O$101))</f>
        <v/>
      </c>
      <c r="I173" s="15" t="str">
        <f aca="false">IF(OR(Settings!$O$101="",F173=0),"",_xlfn.MAXIFS('Activity &amp; Event Log'!$S$5:$S$504,'Activity &amp; Event Log'!$D$5:$D$504,Settings!$O$101))</f>
        <v/>
      </c>
      <c r="J173" s="12" t="str">
        <f aca="false">IF(OR(Settings!$O$101="",E173=0),"",COUNTIFS('Activity &amp; Event Log'!$D$5:$D$504,Settings!$O$101,'Activity &amp; Event Log'!$U$5:$U$504,"Yes")/E173)</f>
        <v/>
      </c>
      <c r="K173" s="10" t="str">
        <f aca="false">IF(OR(Settings!$O$101="",E173=0),"",IF(MAX(COUNTIFS('Activity &amp; Event Log'!$D$5:$D$504,Settings!$O$101,'Activity &amp; Event Log'!$V$5:$V$504,"Telemetry Blind Spot"),COUNTIFS('Activity &amp; Event Log'!$D$5:$D$504,Settings!$O$101,'Activity &amp; Event Log'!$V$5:$V$504,"Missed Alert"),COUNTIFS('Activity &amp; Event Log'!$D$5:$D$504,Settings!$O$101,'Activity &amp; Event Log'!$V$5:$V$504,"Triage Delay"))=0,"None",IF(COUNTIFS('Activity &amp; Event Log'!$D$5:$D$504,Settings!$O$101,'Activity &amp; Event Log'!$V$5:$V$504,"Telemetry Blind Spot")&gt;=COUNTIFS('Activity &amp; Event Log'!$D$5:$D$504,Settings!$O$101,'Activity &amp; Event Log'!$V$5:$V$504,"Missed Alert"),IF(COUNTIFS('Activity &amp; Event Log'!$D$5:$D$504,Settings!$O$101,'Activity &amp; Event Log'!$V$5:$V$504,"Telemetry Blind Spot")&gt;=COUNTIFS('Activity &amp; Event Log'!$D$5:$D$504,Settings!$O$101,'Activity &amp; Event Log'!$V$5:$V$504,"Triage Delay"),"Blind Spot",IF(COUNTIFS('Activity &amp; Event Log'!$D$5:$D$504,Settings!$O$101,'Activity &amp; Event Log'!$V$5:$V$504,"Missed Alert")&gt;=COUNTIFS('Activity &amp; Event Log'!$D$5:$D$504,Settings!$O$101,'Activity &amp; Event Log'!$V$5:$V$504,"Triage Delay"),"Missed Alert","Triage Delay")),IF(COUNTIFS('Activity &amp; Event Log'!$D$5:$D$504,Settings!$O$101,'Activity &amp; Event Log'!$V$5:$V$504,"Missed Alert")&gt;=COUNTIFS('Activity &amp; Event Log'!$D$5:$D$504,Settings!$O$101,'Activity &amp; Event Log'!$V$5:$V$504,"Triage Delay"),"Missed Alert","Triage Delay"))))</f>
        <v/>
      </c>
      <c r="L173" s="10" t="str">
        <f aca="false">IF(OR(Settings!$O$101="",E173=0),"",IF((COUNTIFS('Activity &amp; Event Log'!$D$5:$D$504,Settings!$O$101,'Activity &amp; Event Log'!$V$5:$V$504,"Telemetry Blind Spot")+COUNTIFS('Activity &amp; Event Log'!$D$5:$D$504,Settings!$O$101,'Activity &amp; Event Log'!$V$5:$V$504,"Missed Alert")+COUNTIFS('Activity &amp; Event Log'!$D$5:$D$504,Settings!$O$101,'Activity &amp; Event Log'!$V$5:$V$504,"Detected - SLA Breach"))&gt;=Settings!$B$11,"High","Normal"))</f>
        <v/>
      </c>
    </row>
    <row r="174" customFormat="false" ht="15" hidden="false" customHeight="false" outlineLevel="0" collapsed="false">
      <c r="B174" s="10" t="str">
        <f aca="false">IF(Settings!$O$102="","",Settings!$Q$102)</f>
        <v/>
      </c>
      <c r="C174" s="10" t="str">
        <f aca="false">IF(Settings!$O$102="","",Settings!$O$102)</f>
        <v/>
      </c>
      <c r="D174" s="10" t="str">
        <f aca="false">IF(Settings!$O$102="","",Settings!$P$102)</f>
        <v/>
      </c>
      <c r="E174" s="11" t="str">
        <f aca="false">IF(Settings!$O$102="","",COUNTIFS('Activity &amp; Event Log'!$D$5:$D$504,Settings!$O$102,'Activity &amp; Event Log'!$G$5:$G$504,"?*"))</f>
        <v/>
      </c>
      <c r="F174" s="11" t="str">
        <f aca="false">IF(Settings!$O$102="","",SUMIFS('Activity &amp; Event Log'!$W$5:$W$504,'Activity &amp; Event Log'!$D$5:$D$504,Settings!$O$102))</f>
        <v/>
      </c>
      <c r="G174" s="12" t="str">
        <f aca="false">IF(OR(Settings!$O$102="",E174=0),"",F174/E174)</f>
        <v/>
      </c>
      <c r="H174" s="15" t="str">
        <f aca="false">IF(OR(Settings!$O$102="",F174=0),"",AVERAGEIFS('Activity &amp; Event Log'!$S$5:$S$504,'Activity &amp; Event Log'!$D$5:$D$504,Settings!$O$102))</f>
        <v/>
      </c>
      <c r="I174" s="15" t="str">
        <f aca="false">IF(OR(Settings!$O$102="",F174=0),"",_xlfn.MAXIFS('Activity &amp; Event Log'!$S$5:$S$504,'Activity &amp; Event Log'!$D$5:$D$504,Settings!$O$102))</f>
        <v/>
      </c>
      <c r="J174" s="12" t="str">
        <f aca="false">IF(OR(Settings!$O$102="",E174=0),"",COUNTIFS('Activity &amp; Event Log'!$D$5:$D$504,Settings!$O$102,'Activity &amp; Event Log'!$U$5:$U$504,"Yes")/E174)</f>
        <v/>
      </c>
      <c r="K174" s="10" t="str">
        <f aca="false">IF(OR(Settings!$O$102="",E174=0),"",IF(MAX(COUNTIFS('Activity &amp; Event Log'!$D$5:$D$504,Settings!$O$102,'Activity &amp; Event Log'!$V$5:$V$504,"Telemetry Blind Spot"),COUNTIFS('Activity &amp; Event Log'!$D$5:$D$504,Settings!$O$102,'Activity &amp; Event Log'!$V$5:$V$504,"Missed Alert"),COUNTIFS('Activity &amp; Event Log'!$D$5:$D$504,Settings!$O$102,'Activity &amp; Event Log'!$V$5:$V$504,"Triage Delay"))=0,"None",IF(COUNTIFS('Activity &amp; Event Log'!$D$5:$D$504,Settings!$O$102,'Activity &amp; Event Log'!$V$5:$V$504,"Telemetry Blind Spot")&gt;=COUNTIFS('Activity &amp; Event Log'!$D$5:$D$504,Settings!$O$102,'Activity &amp; Event Log'!$V$5:$V$504,"Missed Alert"),IF(COUNTIFS('Activity &amp; Event Log'!$D$5:$D$504,Settings!$O$102,'Activity &amp; Event Log'!$V$5:$V$504,"Telemetry Blind Spot")&gt;=COUNTIFS('Activity &amp; Event Log'!$D$5:$D$504,Settings!$O$102,'Activity &amp; Event Log'!$V$5:$V$504,"Triage Delay"),"Blind Spot",IF(COUNTIFS('Activity &amp; Event Log'!$D$5:$D$504,Settings!$O$102,'Activity &amp; Event Log'!$V$5:$V$504,"Missed Alert")&gt;=COUNTIFS('Activity &amp; Event Log'!$D$5:$D$504,Settings!$O$102,'Activity &amp; Event Log'!$V$5:$V$504,"Triage Delay"),"Missed Alert","Triage Delay")),IF(COUNTIFS('Activity &amp; Event Log'!$D$5:$D$504,Settings!$O$102,'Activity &amp; Event Log'!$V$5:$V$504,"Missed Alert")&gt;=COUNTIFS('Activity &amp; Event Log'!$D$5:$D$504,Settings!$O$102,'Activity &amp; Event Log'!$V$5:$V$504,"Triage Delay"),"Missed Alert","Triage Delay"))))</f>
        <v/>
      </c>
      <c r="L174" s="10" t="str">
        <f aca="false">IF(OR(Settings!$O$102="",E174=0),"",IF((COUNTIFS('Activity &amp; Event Log'!$D$5:$D$504,Settings!$O$102,'Activity &amp; Event Log'!$V$5:$V$504,"Telemetry Blind Spot")+COUNTIFS('Activity &amp; Event Log'!$D$5:$D$504,Settings!$O$102,'Activity &amp; Event Log'!$V$5:$V$504,"Missed Alert")+COUNTIFS('Activity &amp; Event Log'!$D$5:$D$504,Settings!$O$102,'Activity &amp; Event Log'!$V$5:$V$504,"Detected - SLA Breach"))&gt;=Settings!$B$11,"High","Normal"))</f>
        <v/>
      </c>
    </row>
    <row r="175" customFormat="false" ht="15" hidden="false" customHeight="false" outlineLevel="0" collapsed="false">
      <c r="B175" s="10" t="str">
        <f aca="false">IF(Settings!$O$103="","",Settings!$Q$103)</f>
        <v/>
      </c>
      <c r="C175" s="10" t="str">
        <f aca="false">IF(Settings!$O$103="","",Settings!$O$103)</f>
        <v/>
      </c>
      <c r="D175" s="10" t="str">
        <f aca="false">IF(Settings!$O$103="","",Settings!$P$103)</f>
        <v/>
      </c>
      <c r="E175" s="11" t="str">
        <f aca="false">IF(Settings!$O$103="","",COUNTIFS('Activity &amp; Event Log'!$D$5:$D$504,Settings!$O$103,'Activity &amp; Event Log'!$G$5:$G$504,"?*"))</f>
        <v/>
      </c>
      <c r="F175" s="11" t="str">
        <f aca="false">IF(Settings!$O$103="","",SUMIFS('Activity &amp; Event Log'!$W$5:$W$504,'Activity &amp; Event Log'!$D$5:$D$504,Settings!$O$103))</f>
        <v/>
      </c>
      <c r="G175" s="12" t="str">
        <f aca="false">IF(OR(Settings!$O$103="",E175=0),"",F175/E175)</f>
        <v/>
      </c>
      <c r="H175" s="15" t="str">
        <f aca="false">IF(OR(Settings!$O$103="",F175=0),"",AVERAGEIFS('Activity &amp; Event Log'!$S$5:$S$504,'Activity &amp; Event Log'!$D$5:$D$504,Settings!$O$103))</f>
        <v/>
      </c>
      <c r="I175" s="15" t="str">
        <f aca="false">IF(OR(Settings!$O$103="",F175=0),"",_xlfn.MAXIFS('Activity &amp; Event Log'!$S$5:$S$504,'Activity &amp; Event Log'!$D$5:$D$504,Settings!$O$103))</f>
        <v/>
      </c>
      <c r="J175" s="12" t="str">
        <f aca="false">IF(OR(Settings!$O$103="",E175=0),"",COUNTIFS('Activity &amp; Event Log'!$D$5:$D$504,Settings!$O$103,'Activity &amp; Event Log'!$U$5:$U$504,"Yes")/E175)</f>
        <v/>
      </c>
      <c r="K175" s="10" t="str">
        <f aca="false">IF(OR(Settings!$O$103="",E175=0),"",IF(MAX(COUNTIFS('Activity &amp; Event Log'!$D$5:$D$504,Settings!$O$103,'Activity &amp; Event Log'!$V$5:$V$504,"Telemetry Blind Spot"),COUNTIFS('Activity &amp; Event Log'!$D$5:$D$504,Settings!$O$103,'Activity &amp; Event Log'!$V$5:$V$504,"Missed Alert"),COUNTIFS('Activity &amp; Event Log'!$D$5:$D$504,Settings!$O$103,'Activity &amp; Event Log'!$V$5:$V$504,"Triage Delay"))=0,"None",IF(COUNTIFS('Activity &amp; Event Log'!$D$5:$D$504,Settings!$O$103,'Activity &amp; Event Log'!$V$5:$V$504,"Telemetry Blind Spot")&gt;=COUNTIFS('Activity &amp; Event Log'!$D$5:$D$504,Settings!$O$103,'Activity &amp; Event Log'!$V$5:$V$504,"Missed Alert"),IF(COUNTIFS('Activity &amp; Event Log'!$D$5:$D$504,Settings!$O$103,'Activity &amp; Event Log'!$V$5:$V$504,"Telemetry Blind Spot")&gt;=COUNTIFS('Activity &amp; Event Log'!$D$5:$D$504,Settings!$O$103,'Activity &amp; Event Log'!$V$5:$V$504,"Triage Delay"),"Blind Spot",IF(COUNTIFS('Activity &amp; Event Log'!$D$5:$D$504,Settings!$O$103,'Activity &amp; Event Log'!$V$5:$V$504,"Missed Alert")&gt;=COUNTIFS('Activity &amp; Event Log'!$D$5:$D$504,Settings!$O$103,'Activity &amp; Event Log'!$V$5:$V$504,"Triage Delay"),"Missed Alert","Triage Delay")),IF(COUNTIFS('Activity &amp; Event Log'!$D$5:$D$504,Settings!$O$103,'Activity &amp; Event Log'!$V$5:$V$504,"Missed Alert")&gt;=COUNTIFS('Activity &amp; Event Log'!$D$5:$D$504,Settings!$O$103,'Activity &amp; Event Log'!$V$5:$V$504,"Triage Delay"),"Missed Alert","Triage Delay"))))</f>
        <v/>
      </c>
      <c r="L175" s="10" t="str">
        <f aca="false">IF(OR(Settings!$O$103="",E175=0),"",IF((COUNTIFS('Activity &amp; Event Log'!$D$5:$D$504,Settings!$O$103,'Activity &amp; Event Log'!$V$5:$V$504,"Telemetry Blind Spot")+COUNTIFS('Activity &amp; Event Log'!$D$5:$D$504,Settings!$O$103,'Activity &amp; Event Log'!$V$5:$V$504,"Missed Alert")+COUNTIFS('Activity &amp; Event Log'!$D$5:$D$504,Settings!$O$103,'Activity &amp; Event Log'!$V$5:$V$504,"Detected - SLA Breach"))&gt;=Settings!$B$11,"High","Normal"))</f>
        <v/>
      </c>
    </row>
    <row r="176" customFormat="false" ht="15" hidden="false" customHeight="false" outlineLevel="0" collapsed="false">
      <c r="B176" s="10" t="str">
        <f aca="false">IF(Settings!$O$104="","",Settings!$Q$104)</f>
        <v/>
      </c>
      <c r="C176" s="10" t="str">
        <f aca="false">IF(Settings!$O$104="","",Settings!$O$104)</f>
        <v/>
      </c>
      <c r="D176" s="10" t="str">
        <f aca="false">IF(Settings!$O$104="","",Settings!$P$104)</f>
        <v/>
      </c>
      <c r="E176" s="11" t="str">
        <f aca="false">IF(Settings!$O$104="","",COUNTIFS('Activity &amp; Event Log'!$D$5:$D$504,Settings!$O$104,'Activity &amp; Event Log'!$G$5:$G$504,"?*"))</f>
        <v/>
      </c>
      <c r="F176" s="11" t="str">
        <f aca="false">IF(Settings!$O$104="","",SUMIFS('Activity &amp; Event Log'!$W$5:$W$504,'Activity &amp; Event Log'!$D$5:$D$504,Settings!$O$104))</f>
        <v/>
      </c>
      <c r="G176" s="12" t="str">
        <f aca="false">IF(OR(Settings!$O$104="",E176=0),"",F176/E176)</f>
        <v/>
      </c>
      <c r="H176" s="15" t="str">
        <f aca="false">IF(OR(Settings!$O$104="",F176=0),"",AVERAGEIFS('Activity &amp; Event Log'!$S$5:$S$504,'Activity &amp; Event Log'!$D$5:$D$504,Settings!$O$104))</f>
        <v/>
      </c>
      <c r="I176" s="15" t="str">
        <f aca="false">IF(OR(Settings!$O$104="",F176=0),"",_xlfn.MAXIFS('Activity &amp; Event Log'!$S$5:$S$504,'Activity &amp; Event Log'!$D$5:$D$504,Settings!$O$104))</f>
        <v/>
      </c>
      <c r="J176" s="12" t="str">
        <f aca="false">IF(OR(Settings!$O$104="",E176=0),"",COUNTIFS('Activity &amp; Event Log'!$D$5:$D$504,Settings!$O$104,'Activity &amp; Event Log'!$U$5:$U$504,"Yes")/E176)</f>
        <v/>
      </c>
      <c r="K176" s="10" t="str">
        <f aca="false">IF(OR(Settings!$O$104="",E176=0),"",IF(MAX(COUNTIFS('Activity &amp; Event Log'!$D$5:$D$504,Settings!$O$104,'Activity &amp; Event Log'!$V$5:$V$504,"Telemetry Blind Spot"),COUNTIFS('Activity &amp; Event Log'!$D$5:$D$504,Settings!$O$104,'Activity &amp; Event Log'!$V$5:$V$504,"Missed Alert"),COUNTIFS('Activity &amp; Event Log'!$D$5:$D$504,Settings!$O$104,'Activity &amp; Event Log'!$V$5:$V$504,"Triage Delay"))=0,"None",IF(COUNTIFS('Activity &amp; Event Log'!$D$5:$D$504,Settings!$O$104,'Activity &amp; Event Log'!$V$5:$V$504,"Telemetry Blind Spot")&gt;=COUNTIFS('Activity &amp; Event Log'!$D$5:$D$504,Settings!$O$104,'Activity &amp; Event Log'!$V$5:$V$504,"Missed Alert"),IF(COUNTIFS('Activity &amp; Event Log'!$D$5:$D$504,Settings!$O$104,'Activity &amp; Event Log'!$V$5:$V$504,"Telemetry Blind Spot")&gt;=COUNTIFS('Activity &amp; Event Log'!$D$5:$D$504,Settings!$O$104,'Activity &amp; Event Log'!$V$5:$V$504,"Triage Delay"),"Blind Spot",IF(COUNTIFS('Activity &amp; Event Log'!$D$5:$D$504,Settings!$O$104,'Activity &amp; Event Log'!$V$5:$V$504,"Missed Alert")&gt;=COUNTIFS('Activity &amp; Event Log'!$D$5:$D$504,Settings!$O$104,'Activity &amp; Event Log'!$V$5:$V$504,"Triage Delay"),"Missed Alert","Triage Delay")),IF(COUNTIFS('Activity &amp; Event Log'!$D$5:$D$504,Settings!$O$104,'Activity &amp; Event Log'!$V$5:$V$504,"Missed Alert")&gt;=COUNTIFS('Activity &amp; Event Log'!$D$5:$D$504,Settings!$O$104,'Activity &amp; Event Log'!$V$5:$V$504,"Triage Delay"),"Missed Alert","Triage Delay"))))</f>
        <v/>
      </c>
      <c r="L176" s="10" t="str">
        <f aca="false">IF(OR(Settings!$O$104="",E176=0),"",IF((COUNTIFS('Activity &amp; Event Log'!$D$5:$D$504,Settings!$O$104,'Activity &amp; Event Log'!$V$5:$V$504,"Telemetry Blind Spot")+COUNTIFS('Activity &amp; Event Log'!$D$5:$D$504,Settings!$O$104,'Activity &amp; Event Log'!$V$5:$V$504,"Missed Alert")+COUNTIFS('Activity &amp; Event Log'!$D$5:$D$504,Settings!$O$104,'Activity &amp; Event Log'!$V$5:$V$504,"Detected - SLA Breach"))&gt;=Settings!$B$11,"High","Normal"))</f>
        <v/>
      </c>
    </row>
  </sheetData>
  <autoFilter ref="B76:L176"/>
  <conditionalFormatting sqref="E27:E40">
    <cfRule type="colorScale" priority="2">
      <colorScale>
        <cfvo type="num" val="0"/>
        <cfvo type="num" val="0.5"/>
        <cfvo type="num" val="1"/>
        <color rgb="FFF8696B"/>
        <color rgb="FFFFF2CC"/>
        <color rgb="FF7FC2AA"/>
      </colorScale>
    </cfRule>
  </conditionalFormatting>
  <conditionalFormatting sqref="H27:H40">
    <cfRule type="colorScale" priority="3">
      <colorScale>
        <cfvo type="num" val="0"/>
        <cfvo type="num" val="0.5"/>
        <cfvo type="num" val="1"/>
        <color rgb="FFF8696B"/>
        <color rgb="FFFFF2CC"/>
        <color rgb="FF7FC2AA"/>
      </colorScale>
    </cfRule>
  </conditionalFormatting>
  <conditionalFormatting sqref="E44:E47">
    <cfRule type="colorScale" priority="4">
      <colorScale>
        <cfvo type="num" val="0"/>
        <cfvo type="num" val="0.5"/>
        <cfvo type="num" val="1"/>
        <color rgb="FFF8696B"/>
        <color rgb="FFFFF2CC"/>
        <color rgb="FF7FC2AA"/>
      </colorScale>
    </cfRule>
  </conditionalFormatting>
  <conditionalFormatting sqref="H44:H47">
    <cfRule type="colorScale" priority="5">
      <colorScale>
        <cfvo type="num" val="0"/>
        <cfvo type="num" val="0.5"/>
        <cfvo type="num" val="1"/>
        <color rgb="FFF8696B"/>
        <color rgb="FFFFF2CC"/>
        <color rgb="FF7FC2AA"/>
      </colorScale>
    </cfRule>
  </conditionalFormatting>
  <conditionalFormatting sqref="E51:E60">
    <cfRule type="colorScale" priority="6">
      <colorScale>
        <cfvo type="num" val="0"/>
        <cfvo type="num" val="0.5"/>
        <cfvo type="num" val="1"/>
        <color rgb="FFF8696B"/>
        <color rgb="FFFFF2CC"/>
        <color rgb="FF7FC2AA"/>
      </colorScale>
    </cfRule>
  </conditionalFormatting>
  <conditionalFormatting sqref="H51:H60">
    <cfRule type="colorScale" priority="7">
      <colorScale>
        <cfvo type="num" val="0"/>
        <cfvo type="num" val="0.5"/>
        <cfvo type="num" val="1"/>
        <color rgb="FFF8696B"/>
        <color rgb="FFFFF2CC"/>
        <color rgb="FF7FC2AA"/>
      </colorScale>
    </cfRule>
  </conditionalFormatting>
  <conditionalFormatting sqref="G77:G176">
    <cfRule type="colorScale" priority="8">
      <colorScale>
        <cfvo type="num" val="0"/>
        <cfvo type="num" val="0.5"/>
        <cfvo type="num" val="1"/>
        <color rgb="FFF8696B"/>
        <color rgb="FFFFF2CC"/>
        <color rgb="FF008555"/>
      </colorScale>
    </cfRule>
  </conditionalFormatting>
  <conditionalFormatting sqref="J77:J176">
    <cfRule type="colorScale" priority="9">
      <colorScale>
        <cfvo type="num" val="0"/>
        <cfvo type="num" val="0.5"/>
        <cfvo type="num" val="1"/>
        <color rgb="FFF8696B"/>
        <color rgb="FFFFF2CC"/>
        <color rgb="FF008555"/>
      </colorScale>
    </cfRule>
  </conditionalFormatting>
  <conditionalFormatting sqref="L77:L176">
    <cfRule type="cellIs" priority="10" operator="equal" aboveAverage="0" equalAverage="0" bottom="0" percent="0" rank="0" text="" dxfId="9">
      <formula>"High"</formula>
    </cfRule>
  </conditionalFormatting>
  <conditionalFormatting sqref="K77:K176">
    <cfRule type="cellIs" priority="11" operator="equal" aboveAverage="0" equalAverage="0" bottom="0" percent="0" rank="0" text="" dxfId="10">
      <formula>"Blind Spot"</formula>
    </cfRule>
    <cfRule type="cellIs" priority="12" operator="equal" aboveAverage="0" equalAverage="0" bottom="0" percent="0" rank="0" text="" dxfId="11">
      <formula>"Missed Alert"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5"/>
    <col collapsed="false" customWidth="true" hidden="false" outlineLevel="0" max="4" min="4" style="0" width="17"/>
    <col collapsed="false" customWidth="true" hidden="false" outlineLevel="0" max="5" min="5" style="0" width="24"/>
    <col collapsed="false" customWidth="true" hidden="false" outlineLevel="0" max="7" min="6" style="0" width="18"/>
    <col collapsed="false" customWidth="true" hidden="false" outlineLevel="0" max="8" min="8" style="0" width="26"/>
    <col collapsed="false" customWidth="true" hidden="false" outlineLevel="0" max="9" min="9" style="0" width="3"/>
    <col collapsed="false" customWidth="true" hidden="false" outlineLevel="0" max="11" min="10" style="0" width="18"/>
    <col collapsed="false" customWidth="true" hidden="false" outlineLevel="0" max="12" min="12" style="0" width="24"/>
    <col collapsed="false" customWidth="true" hidden="false" outlineLevel="0" max="13" min="13" style="0" width="15"/>
    <col collapsed="false" customWidth="true" hidden="false" outlineLevel="0" max="14" min="14" style="0" width="3"/>
    <col collapsed="false" customWidth="true" hidden="false" outlineLevel="0" max="15" min="15" style="0" width="13"/>
    <col collapsed="false" customWidth="true" hidden="false" outlineLevel="0" max="16" min="16" style="0" width="30"/>
    <col collapsed="false" customWidth="true" hidden="false" outlineLevel="0" max="17" min="17" style="0" width="20"/>
    <col collapsed="false" customWidth="true" hidden="false" outlineLevel="0" max="18" min="18" style="0" width="3"/>
    <col collapsed="false" customWidth="true" hidden="false" outlineLevel="0" max="19" min="19" style="0" width="22"/>
    <col collapsed="false" customWidth="true" hidden="false" outlineLevel="0" max="21" min="20" style="0" width="12"/>
    <col collapsed="false" customWidth="true" hidden="false" outlineLevel="0" max="23" min="22" style="0" width="24"/>
    <col collapsed="false" customWidth="true" hidden="false" outlineLevel="0" max="24" min="24" style="0" width="22"/>
    <col collapsed="false" customWidth="true" hidden="false" outlineLevel="0" max="25" min="25" style="0" width="14"/>
  </cols>
  <sheetData>
    <row r="1" customFormat="false" ht="17.35" hidden="false" customHeight="false" outlineLevel="0" collapsed="false">
      <c r="A1" s="21" t="s">
        <v>129</v>
      </c>
    </row>
    <row r="2" customFormat="false" ht="15" hidden="false" customHeight="false" outlineLevel="0" collapsed="false">
      <c r="A2" s="4" t="s">
        <v>130</v>
      </c>
    </row>
    <row r="3" customFormat="false" ht="15" hidden="false" customHeight="false" outlineLevel="0" collapsed="false">
      <c r="O3" s="4" t="s">
        <v>131</v>
      </c>
      <c r="S3" s="4" t="s">
        <v>132</v>
      </c>
    </row>
    <row r="4" customFormat="false" ht="31.5" hidden="false" customHeight="true" outlineLevel="0" collapsed="false">
      <c r="A4" s="6" t="s">
        <v>102</v>
      </c>
      <c r="B4" s="6" t="s">
        <v>133</v>
      </c>
      <c r="C4" s="6" t="s">
        <v>134</v>
      </c>
      <c r="D4" s="6" t="s">
        <v>135</v>
      </c>
      <c r="E4" s="6" t="s">
        <v>136</v>
      </c>
      <c r="F4" s="6" t="s">
        <v>137</v>
      </c>
      <c r="G4" s="6" t="s">
        <v>138</v>
      </c>
      <c r="H4" s="6" t="s">
        <v>139</v>
      </c>
      <c r="J4" s="6" t="s">
        <v>140</v>
      </c>
      <c r="K4" s="6" t="s">
        <v>141</v>
      </c>
      <c r="L4" s="6" t="s">
        <v>142</v>
      </c>
      <c r="M4" s="6" t="s">
        <v>143</v>
      </c>
      <c r="O4" s="6" t="s">
        <v>125</v>
      </c>
      <c r="P4" s="6" t="s">
        <v>126</v>
      </c>
      <c r="Q4" s="6" t="s">
        <v>124</v>
      </c>
      <c r="S4" s="6" t="s">
        <v>120</v>
      </c>
      <c r="T4" s="6" t="s">
        <v>144</v>
      </c>
      <c r="U4" s="6" t="s">
        <v>145</v>
      </c>
      <c r="V4" s="6" t="s">
        <v>146</v>
      </c>
      <c r="W4" s="6" t="s">
        <v>147</v>
      </c>
      <c r="X4" s="6" t="s">
        <v>148</v>
      </c>
      <c r="Y4" s="6" t="s">
        <v>149</v>
      </c>
    </row>
    <row r="5" customFormat="false" ht="15" hidden="false" customHeight="false" outlineLevel="0" collapsed="false">
      <c r="A5" s="22" t="s">
        <v>103</v>
      </c>
      <c r="B5" s="23" t="n">
        <v>15</v>
      </c>
      <c r="C5" s="23" t="n">
        <v>5</v>
      </c>
      <c r="D5" s="23" t="n">
        <v>60</v>
      </c>
      <c r="E5" s="22" t="s">
        <v>87</v>
      </c>
      <c r="F5" s="22" t="s">
        <v>109</v>
      </c>
      <c r="G5" s="22" t="s">
        <v>150</v>
      </c>
      <c r="H5" s="23" t="s">
        <v>151</v>
      </c>
      <c r="J5" s="22" t="s">
        <v>152</v>
      </c>
      <c r="K5" s="22" t="s">
        <v>153</v>
      </c>
      <c r="L5" s="22" t="s">
        <v>150</v>
      </c>
      <c r="M5" s="22" t="s">
        <v>150</v>
      </c>
      <c r="O5" s="24" t="s">
        <v>154</v>
      </c>
      <c r="P5" s="24" t="s">
        <v>155</v>
      </c>
      <c r="Q5" s="24" t="s">
        <v>89</v>
      </c>
      <c r="S5" s="25" t="str">
        <f aca="false">IF(H5="","",H5)</f>
        <v>Q2-2026 Engagement</v>
      </c>
      <c r="T5" s="26"/>
      <c r="U5" s="26"/>
      <c r="V5" s="24"/>
      <c r="W5" s="24"/>
      <c r="X5" s="24"/>
      <c r="Y5" s="24" t="s">
        <v>156</v>
      </c>
    </row>
    <row r="6" customFormat="false" ht="15" hidden="false" customHeight="false" outlineLevel="0" collapsed="false">
      <c r="A6" s="22" t="s">
        <v>104</v>
      </c>
      <c r="B6" s="23" t="n">
        <v>60</v>
      </c>
      <c r="C6" s="23" t="n">
        <v>15</v>
      </c>
      <c r="D6" s="23" t="n">
        <v>240</v>
      </c>
      <c r="E6" s="22" t="s">
        <v>88</v>
      </c>
      <c r="F6" s="22" t="s">
        <v>110</v>
      </c>
      <c r="G6" s="22" t="s">
        <v>157</v>
      </c>
      <c r="H6" s="23" t="s">
        <v>158</v>
      </c>
      <c r="J6" s="22" t="s">
        <v>159</v>
      </c>
      <c r="K6" s="22" t="s">
        <v>160</v>
      </c>
      <c r="L6" s="22" t="s">
        <v>161</v>
      </c>
      <c r="M6" s="22" t="s">
        <v>161</v>
      </c>
      <c r="O6" s="24" t="s">
        <v>162</v>
      </c>
      <c r="P6" s="24" t="s">
        <v>163</v>
      </c>
      <c r="Q6" s="24" t="s">
        <v>90</v>
      </c>
      <c r="S6" s="25" t="str">
        <f aca="false">IF(H6="","",H6)</f>
        <v>Q3-2026 Engagement</v>
      </c>
      <c r="T6" s="26"/>
      <c r="U6" s="26"/>
      <c r="V6" s="24"/>
      <c r="W6" s="24"/>
      <c r="X6" s="24"/>
      <c r="Y6" s="24" t="s">
        <v>156</v>
      </c>
    </row>
    <row r="7" customFormat="false" ht="15" hidden="false" customHeight="false" outlineLevel="0" collapsed="false">
      <c r="A7" s="22" t="s">
        <v>105</v>
      </c>
      <c r="B7" s="23" t="n">
        <v>240</v>
      </c>
      <c r="C7" s="23" t="n">
        <v>60</v>
      </c>
      <c r="D7" s="23" t="n">
        <v>1440</v>
      </c>
      <c r="E7" s="22" t="s">
        <v>89</v>
      </c>
      <c r="F7" s="22" t="s">
        <v>111</v>
      </c>
      <c r="G7" s="22" t="s">
        <v>164</v>
      </c>
      <c r="H7" s="23"/>
      <c r="J7" s="22" t="s">
        <v>165</v>
      </c>
      <c r="K7" s="22" t="s">
        <v>166</v>
      </c>
      <c r="L7" s="22" t="s">
        <v>167</v>
      </c>
      <c r="M7" s="22" t="s">
        <v>168</v>
      </c>
      <c r="O7" s="24" t="s">
        <v>169</v>
      </c>
      <c r="P7" s="24" t="s">
        <v>170</v>
      </c>
      <c r="Q7" s="24" t="s">
        <v>91</v>
      </c>
      <c r="S7" s="25" t="str">
        <f aca="false">IF(H7="","",H7)</f>
        <v/>
      </c>
      <c r="T7" s="26"/>
      <c r="U7" s="26"/>
      <c r="V7" s="24"/>
      <c r="W7" s="24"/>
      <c r="X7" s="24"/>
      <c r="Y7" s="24"/>
    </row>
    <row r="8" customFormat="false" ht="15" hidden="false" customHeight="false" outlineLevel="0" collapsed="false">
      <c r="A8" s="22" t="s">
        <v>106</v>
      </c>
      <c r="B8" s="23" t="n">
        <v>1440</v>
      </c>
      <c r="C8" s="23" t="n">
        <v>240</v>
      </c>
      <c r="D8" s="23" t="n">
        <v>2880</v>
      </c>
      <c r="E8" s="22" t="s">
        <v>90</v>
      </c>
      <c r="F8" s="22" t="s">
        <v>112</v>
      </c>
      <c r="G8" s="22" t="s">
        <v>171</v>
      </c>
      <c r="H8" s="23"/>
      <c r="J8" s="22" t="s">
        <v>172</v>
      </c>
      <c r="K8" s="22" t="s">
        <v>173</v>
      </c>
      <c r="L8" s="22" t="s">
        <v>174</v>
      </c>
      <c r="O8" s="24" t="s">
        <v>175</v>
      </c>
      <c r="P8" s="24" t="s">
        <v>176</v>
      </c>
      <c r="Q8" s="24" t="s">
        <v>93</v>
      </c>
      <c r="S8" s="25" t="str">
        <f aca="false">IF(H8="","",H8)</f>
        <v/>
      </c>
      <c r="T8" s="26"/>
      <c r="U8" s="26"/>
      <c r="V8" s="24"/>
      <c r="W8" s="24"/>
      <c r="X8" s="24"/>
      <c r="Y8" s="24"/>
    </row>
    <row r="9" customFormat="false" ht="15" hidden="false" customHeight="false" outlineLevel="0" collapsed="false">
      <c r="E9" s="22" t="s">
        <v>91</v>
      </c>
      <c r="F9" s="22" t="s">
        <v>113</v>
      </c>
      <c r="G9" s="22" t="s">
        <v>177</v>
      </c>
      <c r="H9" s="23"/>
      <c r="O9" s="24" t="s">
        <v>178</v>
      </c>
      <c r="P9" s="24" t="s">
        <v>179</v>
      </c>
      <c r="Q9" s="24" t="s">
        <v>94</v>
      </c>
      <c r="S9" s="25" t="str">
        <f aca="false">IF(H9="","",H9)</f>
        <v/>
      </c>
      <c r="T9" s="26"/>
      <c r="U9" s="26"/>
      <c r="V9" s="24"/>
      <c r="W9" s="24"/>
      <c r="X9" s="24"/>
      <c r="Y9" s="24"/>
    </row>
    <row r="10" customFormat="false" ht="15" hidden="false" customHeight="false" outlineLevel="0" collapsed="false">
      <c r="E10" s="22" t="s">
        <v>92</v>
      </c>
      <c r="F10" s="22" t="s">
        <v>114</v>
      </c>
      <c r="H10" s="23"/>
      <c r="O10" s="24" t="s">
        <v>180</v>
      </c>
      <c r="P10" s="24" t="s">
        <v>181</v>
      </c>
      <c r="Q10" s="24" t="s">
        <v>95</v>
      </c>
      <c r="S10" s="25" t="str">
        <f aca="false">IF(H10="","",H10)</f>
        <v/>
      </c>
      <c r="T10" s="26"/>
      <c r="U10" s="26"/>
      <c r="V10" s="24"/>
      <c r="W10" s="24"/>
      <c r="X10" s="24"/>
      <c r="Y10" s="24"/>
    </row>
    <row r="11" customFormat="false" ht="15" hidden="false" customHeight="false" outlineLevel="0" collapsed="false">
      <c r="A11" s="27" t="s">
        <v>182</v>
      </c>
      <c r="B11" s="23" t="n">
        <v>2</v>
      </c>
      <c r="C11" s="4" t="s">
        <v>183</v>
      </c>
      <c r="E11" s="22" t="s">
        <v>93</v>
      </c>
      <c r="F11" s="22" t="s">
        <v>115</v>
      </c>
      <c r="H11" s="23"/>
      <c r="O11" s="24" t="s">
        <v>184</v>
      </c>
      <c r="P11" s="24" t="s">
        <v>185</v>
      </c>
      <c r="Q11" s="24" t="s">
        <v>96</v>
      </c>
      <c r="S11" s="25" t="str">
        <f aca="false">IF(H11="","",H11)</f>
        <v/>
      </c>
      <c r="T11" s="26"/>
      <c r="U11" s="26"/>
      <c r="V11" s="24"/>
      <c r="W11" s="24"/>
      <c r="X11" s="24"/>
      <c r="Y11" s="24"/>
    </row>
    <row r="12" customFormat="false" ht="15" hidden="false" customHeight="false" outlineLevel="0" collapsed="false">
      <c r="E12" s="22" t="s">
        <v>94</v>
      </c>
      <c r="F12" s="22" t="s">
        <v>116</v>
      </c>
      <c r="H12" s="23"/>
      <c r="O12" s="24" t="s">
        <v>186</v>
      </c>
      <c r="P12" s="24" t="s">
        <v>187</v>
      </c>
      <c r="Q12" s="24" t="s">
        <v>98</v>
      </c>
      <c r="S12" s="25" t="str">
        <f aca="false">IF(H12="","",H12)</f>
        <v/>
      </c>
      <c r="T12" s="26"/>
      <c r="U12" s="26"/>
      <c r="V12" s="24"/>
      <c r="W12" s="24"/>
      <c r="X12" s="24"/>
      <c r="Y12" s="24"/>
    </row>
    <row r="13" customFormat="false" ht="15" hidden="false" customHeight="false" outlineLevel="0" collapsed="false">
      <c r="E13" s="22" t="s">
        <v>95</v>
      </c>
      <c r="F13" s="22" t="s">
        <v>117</v>
      </c>
      <c r="O13" s="24"/>
      <c r="P13" s="24"/>
      <c r="Q13" s="24"/>
    </row>
    <row r="14" customFormat="false" ht="15" hidden="false" customHeight="false" outlineLevel="0" collapsed="false">
      <c r="E14" s="22" t="s">
        <v>96</v>
      </c>
      <c r="F14" s="22" t="s">
        <v>118</v>
      </c>
      <c r="O14" s="24"/>
      <c r="P14" s="24"/>
      <c r="Q14" s="24"/>
    </row>
    <row r="15" customFormat="false" ht="15" hidden="false" customHeight="false" outlineLevel="0" collapsed="false">
      <c r="E15" s="22" t="s">
        <v>97</v>
      </c>
      <c r="O15" s="24"/>
      <c r="P15" s="24"/>
      <c r="Q15" s="24"/>
    </row>
    <row r="16" customFormat="false" ht="15" hidden="false" customHeight="false" outlineLevel="0" collapsed="false">
      <c r="E16" s="22" t="s">
        <v>98</v>
      </c>
      <c r="O16" s="24"/>
      <c r="P16" s="24"/>
      <c r="Q16" s="24"/>
    </row>
    <row r="17" customFormat="false" ht="15" hidden="false" customHeight="false" outlineLevel="0" collapsed="false">
      <c r="E17" s="22" t="s">
        <v>99</v>
      </c>
      <c r="O17" s="24"/>
      <c r="P17" s="24"/>
      <c r="Q17" s="24"/>
    </row>
    <row r="18" customFormat="false" ht="15" hidden="false" customHeight="false" outlineLevel="0" collapsed="false">
      <c r="E18" s="22" t="s">
        <v>100</v>
      </c>
      <c r="O18" s="24"/>
      <c r="P18" s="24"/>
      <c r="Q18" s="24"/>
    </row>
    <row r="19" customFormat="false" ht="15" hidden="false" customHeight="false" outlineLevel="0" collapsed="false">
      <c r="O19" s="24"/>
      <c r="P19" s="24"/>
      <c r="Q19" s="24"/>
    </row>
    <row r="20" customFormat="false" ht="15" hidden="false" customHeight="false" outlineLevel="0" collapsed="false">
      <c r="O20" s="24"/>
      <c r="P20" s="24"/>
      <c r="Q20" s="24"/>
    </row>
    <row r="21" customFormat="false" ht="15" hidden="false" customHeight="false" outlineLevel="0" collapsed="false">
      <c r="O21" s="24"/>
      <c r="P21" s="24"/>
      <c r="Q21" s="24"/>
    </row>
    <row r="22" customFormat="false" ht="15" hidden="false" customHeight="false" outlineLevel="0" collapsed="false">
      <c r="O22" s="24"/>
      <c r="P22" s="24"/>
      <c r="Q22" s="24"/>
    </row>
    <row r="23" customFormat="false" ht="15" hidden="false" customHeight="false" outlineLevel="0" collapsed="false">
      <c r="O23" s="24"/>
      <c r="P23" s="24"/>
      <c r="Q23" s="24"/>
    </row>
    <row r="24" customFormat="false" ht="15" hidden="false" customHeight="false" outlineLevel="0" collapsed="false">
      <c r="O24" s="24"/>
      <c r="P24" s="24"/>
      <c r="Q24" s="24"/>
    </row>
    <row r="25" customFormat="false" ht="15" hidden="false" customHeight="false" outlineLevel="0" collapsed="false">
      <c r="O25" s="24"/>
      <c r="P25" s="24"/>
      <c r="Q25" s="24"/>
    </row>
    <row r="26" customFormat="false" ht="15" hidden="false" customHeight="false" outlineLevel="0" collapsed="false">
      <c r="O26" s="24"/>
      <c r="P26" s="24"/>
      <c r="Q26" s="24"/>
    </row>
    <row r="27" customFormat="false" ht="15" hidden="false" customHeight="false" outlineLevel="0" collapsed="false">
      <c r="O27" s="24"/>
      <c r="P27" s="24"/>
      <c r="Q27" s="24"/>
    </row>
    <row r="28" customFormat="false" ht="15" hidden="false" customHeight="false" outlineLevel="0" collapsed="false">
      <c r="O28" s="24"/>
      <c r="P28" s="24"/>
      <c r="Q28" s="24"/>
    </row>
    <row r="29" customFormat="false" ht="15" hidden="false" customHeight="false" outlineLevel="0" collapsed="false">
      <c r="O29" s="24"/>
      <c r="P29" s="24"/>
      <c r="Q29" s="24"/>
    </row>
    <row r="30" customFormat="false" ht="15" hidden="false" customHeight="false" outlineLevel="0" collapsed="false">
      <c r="O30" s="24"/>
      <c r="P30" s="24"/>
      <c r="Q30" s="24"/>
    </row>
    <row r="31" customFormat="false" ht="15" hidden="false" customHeight="false" outlineLevel="0" collapsed="false">
      <c r="O31" s="24"/>
      <c r="P31" s="24"/>
      <c r="Q31" s="24"/>
    </row>
    <row r="32" customFormat="false" ht="15" hidden="false" customHeight="false" outlineLevel="0" collapsed="false">
      <c r="O32" s="24"/>
      <c r="P32" s="24"/>
      <c r="Q32" s="24"/>
    </row>
    <row r="33" customFormat="false" ht="15" hidden="false" customHeight="false" outlineLevel="0" collapsed="false">
      <c r="O33" s="24"/>
      <c r="P33" s="24"/>
      <c r="Q33" s="24"/>
    </row>
    <row r="34" customFormat="false" ht="15" hidden="false" customHeight="false" outlineLevel="0" collapsed="false">
      <c r="O34" s="24"/>
      <c r="P34" s="24"/>
      <c r="Q34" s="24"/>
    </row>
    <row r="35" customFormat="false" ht="15" hidden="false" customHeight="false" outlineLevel="0" collapsed="false">
      <c r="O35" s="24"/>
      <c r="P35" s="24"/>
      <c r="Q35" s="24"/>
    </row>
    <row r="36" customFormat="false" ht="15" hidden="false" customHeight="false" outlineLevel="0" collapsed="false">
      <c r="O36" s="24"/>
      <c r="P36" s="24"/>
      <c r="Q36" s="24"/>
    </row>
    <row r="37" customFormat="false" ht="15" hidden="false" customHeight="false" outlineLevel="0" collapsed="false">
      <c r="O37" s="24"/>
      <c r="P37" s="24"/>
      <c r="Q37" s="24"/>
    </row>
    <row r="38" customFormat="false" ht="15" hidden="false" customHeight="false" outlineLevel="0" collapsed="false">
      <c r="O38" s="24"/>
      <c r="P38" s="24"/>
      <c r="Q38" s="24"/>
    </row>
    <row r="39" customFormat="false" ht="15" hidden="false" customHeight="false" outlineLevel="0" collapsed="false">
      <c r="O39" s="24"/>
      <c r="P39" s="24"/>
      <c r="Q39" s="24"/>
    </row>
    <row r="40" customFormat="false" ht="15" hidden="false" customHeight="false" outlineLevel="0" collapsed="false">
      <c r="O40" s="24"/>
      <c r="P40" s="24"/>
      <c r="Q40" s="24"/>
    </row>
    <row r="41" customFormat="false" ht="15" hidden="false" customHeight="false" outlineLevel="0" collapsed="false">
      <c r="O41" s="24"/>
      <c r="P41" s="24"/>
      <c r="Q41" s="24"/>
    </row>
    <row r="42" customFormat="false" ht="15" hidden="false" customHeight="false" outlineLevel="0" collapsed="false">
      <c r="O42" s="24"/>
      <c r="P42" s="24"/>
      <c r="Q42" s="24"/>
    </row>
    <row r="43" customFormat="false" ht="15" hidden="false" customHeight="false" outlineLevel="0" collapsed="false">
      <c r="O43" s="24"/>
      <c r="P43" s="24"/>
      <c r="Q43" s="24"/>
    </row>
    <row r="44" customFormat="false" ht="15" hidden="false" customHeight="false" outlineLevel="0" collapsed="false">
      <c r="O44" s="24"/>
      <c r="P44" s="24"/>
      <c r="Q44" s="24"/>
    </row>
    <row r="45" customFormat="false" ht="15" hidden="false" customHeight="false" outlineLevel="0" collapsed="false">
      <c r="O45" s="24"/>
      <c r="P45" s="24"/>
      <c r="Q45" s="24"/>
    </row>
    <row r="46" customFormat="false" ht="15" hidden="false" customHeight="false" outlineLevel="0" collapsed="false">
      <c r="O46" s="24"/>
      <c r="P46" s="24"/>
      <c r="Q46" s="24"/>
    </row>
    <row r="47" customFormat="false" ht="15" hidden="false" customHeight="false" outlineLevel="0" collapsed="false">
      <c r="O47" s="24"/>
      <c r="P47" s="24"/>
      <c r="Q47" s="24"/>
    </row>
    <row r="48" customFormat="false" ht="15" hidden="false" customHeight="false" outlineLevel="0" collapsed="false">
      <c r="O48" s="24"/>
      <c r="P48" s="24"/>
      <c r="Q48" s="24"/>
    </row>
    <row r="49" customFormat="false" ht="15" hidden="false" customHeight="false" outlineLevel="0" collapsed="false">
      <c r="O49" s="24"/>
      <c r="P49" s="24"/>
      <c r="Q49" s="24"/>
    </row>
    <row r="50" customFormat="false" ht="15" hidden="false" customHeight="false" outlineLevel="0" collapsed="false">
      <c r="O50" s="24"/>
      <c r="P50" s="24"/>
      <c r="Q50" s="24"/>
    </row>
    <row r="51" customFormat="false" ht="15" hidden="false" customHeight="false" outlineLevel="0" collapsed="false">
      <c r="O51" s="24"/>
      <c r="P51" s="24"/>
      <c r="Q51" s="24"/>
    </row>
    <row r="52" customFormat="false" ht="15" hidden="false" customHeight="false" outlineLevel="0" collapsed="false">
      <c r="O52" s="24"/>
      <c r="P52" s="24"/>
      <c r="Q52" s="24"/>
    </row>
    <row r="53" customFormat="false" ht="15" hidden="false" customHeight="false" outlineLevel="0" collapsed="false">
      <c r="O53" s="24"/>
      <c r="P53" s="24"/>
      <c r="Q53" s="24"/>
    </row>
    <row r="54" customFormat="false" ht="15" hidden="false" customHeight="false" outlineLevel="0" collapsed="false">
      <c r="O54" s="24"/>
      <c r="P54" s="24"/>
      <c r="Q54" s="24"/>
    </row>
    <row r="55" customFormat="false" ht="15" hidden="false" customHeight="false" outlineLevel="0" collapsed="false">
      <c r="O55" s="24"/>
      <c r="P55" s="24"/>
      <c r="Q55" s="24"/>
    </row>
    <row r="56" customFormat="false" ht="15" hidden="false" customHeight="false" outlineLevel="0" collapsed="false">
      <c r="O56" s="24"/>
      <c r="P56" s="24"/>
      <c r="Q56" s="24"/>
    </row>
    <row r="57" customFormat="false" ht="15" hidden="false" customHeight="false" outlineLevel="0" collapsed="false">
      <c r="O57" s="24"/>
      <c r="P57" s="24"/>
      <c r="Q57" s="24"/>
    </row>
    <row r="58" customFormat="false" ht="15" hidden="false" customHeight="false" outlineLevel="0" collapsed="false">
      <c r="O58" s="24"/>
      <c r="P58" s="24"/>
      <c r="Q58" s="24"/>
    </row>
    <row r="59" customFormat="false" ht="15" hidden="false" customHeight="false" outlineLevel="0" collapsed="false">
      <c r="O59" s="24"/>
      <c r="P59" s="24"/>
      <c r="Q59" s="24"/>
    </row>
    <row r="60" customFormat="false" ht="15" hidden="false" customHeight="false" outlineLevel="0" collapsed="false">
      <c r="O60" s="24"/>
      <c r="P60" s="24"/>
      <c r="Q60" s="24"/>
    </row>
    <row r="61" customFormat="false" ht="15" hidden="false" customHeight="false" outlineLevel="0" collapsed="false">
      <c r="O61" s="24"/>
      <c r="P61" s="24"/>
      <c r="Q61" s="24"/>
    </row>
    <row r="62" customFormat="false" ht="15" hidden="false" customHeight="false" outlineLevel="0" collapsed="false">
      <c r="O62" s="24"/>
      <c r="P62" s="24"/>
      <c r="Q62" s="24"/>
    </row>
    <row r="63" customFormat="false" ht="15" hidden="false" customHeight="false" outlineLevel="0" collapsed="false">
      <c r="O63" s="24"/>
      <c r="P63" s="24"/>
      <c r="Q63" s="24"/>
    </row>
    <row r="64" customFormat="false" ht="15" hidden="false" customHeight="false" outlineLevel="0" collapsed="false">
      <c r="O64" s="24"/>
      <c r="P64" s="24"/>
      <c r="Q64" s="24"/>
    </row>
    <row r="65" customFormat="false" ht="15" hidden="false" customHeight="false" outlineLevel="0" collapsed="false">
      <c r="O65" s="24"/>
      <c r="P65" s="24"/>
      <c r="Q65" s="24"/>
    </row>
    <row r="66" customFormat="false" ht="15" hidden="false" customHeight="false" outlineLevel="0" collapsed="false">
      <c r="O66" s="24"/>
      <c r="P66" s="24"/>
      <c r="Q66" s="24"/>
    </row>
    <row r="67" customFormat="false" ht="15" hidden="false" customHeight="false" outlineLevel="0" collapsed="false">
      <c r="O67" s="24"/>
      <c r="P67" s="24"/>
      <c r="Q67" s="24"/>
    </row>
    <row r="68" customFormat="false" ht="15" hidden="false" customHeight="false" outlineLevel="0" collapsed="false">
      <c r="O68" s="24"/>
      <c r="P68" s="24"/>
      <c r="Q68" s="24"/>
    </row>
    <row r="69" customFormat="false" ht="15" hidden="false" customHeight="false" outlineLevel="0" collapsed="false">
      <c r="O69" s="24"/>
      <c r="P69" s="24"/>
      <c r="Q69" s="24"/>
    </row>
    <row r="70" customFormat="false" ht="15" hidden="false" customHeight="false" outlineLevel="0" collapsed="false">
      <c r="O70" s="24"/>
      <c r="P70" s="24"/>
      <c r="Q70" s="24"/>
    </row>
    <row r="71" customFormat="false" ht="15" hidden="false" customHeight="false" outlineLevel="0" collapsed="false">
      <c r="O71" s="24"/>
      <c r="P71" s="24"/>
      <c r="Q71" s="24"/>
    </row>
    <row r="72" customFormat="false" ht="15" hidden="false" customHeight="false" outlineLevel="0" collapsed="false">
      <c r="O72" s="24"/>
      <c r="P72" s="24"/>
      <c r="Q72" s="24"/>
    </row>
    <row r="73" customFormat="false" ht="15" hidden="false" customHeight="false" outlineLevel="0" collapsed="false">
      <c r="O73" s="24"/>
      <c r="P73" s="24"/>
      <c r="Q73" s="24"/>
    </row>
    <row r="74" customFormat="false" ht="15" hidden="false" customHeight="false" outlineLevel="0" collapsed="false">
      <c r="O74" s="24"/>
      <c r="P74" s="24"/>
      <c r="Q74" s="24"/>
    </row>
    <row r="75" customFormat="false" ht="15" hidden="false" customHeight="false" outlineLevel="0" collapsed="false">
      <c r="O75" s="24"/>
      <c r="P75" s="24"/>
      <c r="Q75" s="24"/>
    </row>
    <row r="76" customFormat="false" ht="15" hidden="false" customHeight="false" outlineLevel="0" collapsed="false">
      <c r="O76" s="24"/>
      <c r="P76" s="24"/>
      <c r="Q76" s="24"/>
    </row>
    <row r="77" customFormat="false" ht="15" hidden="false" customHeight="false" outlineLevel="0" collapsed="false">
      <c r="O77" s="24"/>
      <c r="P77" s="24"/>
      <c r="Q77" s="24"/>
    </row>
    <row r="78" customFormat="false" ht="15" hidden="false" customHeight="false" outlineLevel="0" collapsed="false">
      <c r="O78" s="24"/>
      <c r="P78" s="24"/>
      <c r="Q78" s="24"/>
    </row>
    <row r="79" customFormat="false" ht="15" hidden="false" customHeight="false" outlineLevel="0" collapsed="false">
      <c r="O79" s="24"/>
      <c r="P79" s="24"/>
      <c r="Q79" s="24"/>
    </row>
    <row r="80" customFormat="false" ht="15" hidden="false" customHeight="false" outlineLevel="0" collapsed="false">
      <c r="O80" s="24"/>
      <c r="P80" s="24"/>
      <c r="Q80" s="24"/>
    </row>
    <row r="81" customFormat="false" ht="15" hidden="false" customHeight="false" outlineLevel="0" collapsed="false">
      <c r="O81" s="24"/>
      <c r="P81" s="24"/>
      <c r="Q81" s="24"/>
    </row>
    <row r="82" customFormat="false" ht="15" hidden="false" customHeight="false" outlineLevel="0" collapsed="false">
      <c r="O82" s="24"/>
      <c r="P82" s="24"/>
      <c r="Q82" s="24"/>
    </row>
    <row r="83" customFormat="false" ht="15" hidden="false" customHeight="false" outlineLevel="0" collapsed="false">
      <c r="O83" s="24"/>
      <c r="P83" s="24"/>
      <c r="Q83" s="24"/>
    </row>
    <row r="84" customFormat="false" ht="15" hidden="false" customHeight="false" outlineLevel="0" collapsed="false">
      <c r="O84" s="24"/>
      <c r="P84" s="24"/>
      <c r="Q84" s="24"/>
    </row>
    <row r="85" customFormat="false" ht="15" hidden="false" customHeight="false" outlineLevel="0" collapsed="false">
      <c r="O85" s="24"/>
      <c r="P85" s="24"/>
      <c r="Q85" s="24"/>
    </row>
    <row r="86" customFormat="false" ht="15" hidden="false" customHeight="false" outlineLevel="0" collapsed="false">
      <c r="O86" s="24"/>
      <c r="P86" s="24"/>
      <c r="Q86" s="24"/>
    </row>
    <row r="87" customFormat="false" ht="15" hidden="false" customHeight="false" outlineLevel="0" collapsed="false">
      <c r="O87" s="24"/>
      <c r="P87" s="24"/>
      <c r="Q87" s="24"/>
    </row>
    <row r="88" customFormat="false" ht="15" hidden="false" customHeight="false" outlineLevel="0" collapsed="false">
      <c r="O88" s="24"/>
      <c r="P88" s="24"/>
      <c r="Q88" s="24"/>
    </row>
    <row r="89" customFormat="false" ht="15" hidden="false" customHeight="false" outlineLevel="0" collapsed="false">
      <c r="O89" s="24"/>
      <c r="P89" s="24"/>
      <c r="Q89" s="24"/>
    </row>
    <row r="90" customFormat="false" ht="15" hidden="false" customHeight="false" outlineLevel="0" collapsed="false">
      <c r="O90" s="24"/>
      <c r="P90" s="24"/>
      <c r="Q90" s="24"/>
    </row>
    <row r="91" customFormat="false" ht="15" hidden="false" customHeight="false" outlineLevel="0" collapsed="false">
      <c r="O91" s="24"/>
      <c r="P91" s="24"/>
      <c r="Q91" s="24"/>
    </row>
    <row r="92" customFormat="false" ht="15" hidden="false" customHeight="false" outlineLevel="0" collapsed="false">
      <c r="O92" s="24"/>
      <c r="P92" s="24"/>
      <c r="Q92" s="24"/>
    </row>
    <row r="93" customFormat="false" ht="15" hidden="false" customHeight="false" outlineLevel="0" collapsed="false">
      <c r="O93" s="24"/>
      <c r="P93" s="24"/>
      <c r="Q93" s="24"/>
    </row>
    <row r="94" customFormat="false" ht="15" hidden="false" customHeight="false" outlineLevel="0" collapsed="false">
      <c r="O94" s="24"/>
      <c r="P94" s="24"/>
      <c r="Q94" s="24"/>
    </row>
    <row r="95" customFormat="false" ht="15" hidden="false" customHeight="false" outlineLevel="0" collapsed="false">
      <c r="O95" s="24"/>
      <c r="P95" s="24"/>
      <c r="Q95" s="24"/>
    </row>
    <row r="96" customFormat="false" ht="15" hidden="false" customHeight="false" outlineLevel="0" collapsed="false">
      <c r="O96" s="24"/>
      <c r="P96" s="24"/>
      <c r="Q96" s="24"/>
    </row>
    <row r="97" customFormat="false" ht="15" hidden="false" customHeight="false" outlineLevel="0" collapsed="false">
      <c r="O97" s="24"/>
      <c r="P97" s="24"/>
      <c r="Q97" s="24"/>
    </row>
    <row r="98" customFormat="false" ht="15" hidden="false" customHeight="false" outlineLevel="0" collapsed="false">
      <c r="O98" s="24"/>
      <c r="P98" s="24"/>
      <c r="Q98" s="24"/>
    </row>
    <row r="99" customFormat="false" ht="15" hidden="false" customHeight="false" outlineLevel="0" collapsed="false">
      <c r="O99" s="24"/>
      <c r="P99" s="24"/>
      <c r="Q99" s="24"/>
    </row>
    <row r="100" customFormat="false" ht="15" hidden="false" customHeight="false" outlineLevel="0" collapsed="false">
      <c r="O100" s="24"/>
      <c r="P100" s="24"/>
      <c r="Q100" s="24"/>
    </row>
    <row r="101" customFormat="false" ht="15" hidden="false" customHeight="false" outlineLevel="0" collapsed="false">
      <c r="O101" s="24"/>
      <c r="P101" s="24"/>
      <c r="Q101" s="24"/>
    </row>
    <row r="102" customFormat="false" ht="15" hidden="false" customHeight="false" outlineLevel="0" collapsed="false">
      <c r="O102" s="24"/>
      <c r="P102" s="24"/>
      <c r="Q102" s="24"/>
    </row>
    <row r="103" customFormat="false" ht="15" hidden="false" customHeight="false" outlineLevel="0" collapsed="false">
      <c r="O103" s="24"/>
      <c r="P103" s="24"/>
      <c r="Q103" s="24"/>
    </row>
    <row r="104" customFormat="false" ht="15" hidden="false" customHeight="false" outlineLevel="0" collapsed="false">
      <c r="O104" s="24"/>
      <c r="P104" s="24"/>
      <c r="Q104" s="24"/>
    </row>
  </sheetData>
  <dataValidations count="1">
    <dataValidation allowBlank="true" errorStyle="stop" operator="between" showDropDown="false" showErrorMessage="false" showInputMessage="false" sqref="Q5:Q104" type="list">
      <formula1>Settings!$E$5:$E$18</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5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20"/>
    <col collapsed="false" customWidth="true" hidden="false" outlineLevel="0" max="4" min="4" style="0" width="11"/>
    <col collapsed="false" customWidth="true" hidden="false" outlineLevel="0" max="5" min="5" style="0" width="34"/>
    <col collapsed="false" customWidth="true" hidden="false" outlineLevel="0" max="6" min="6" style="0" width="14"/>
    <col collapsed="false" customWidth="true" hidden="false" outlineLevel="0" max="7" min="7" style="0" width="10"/>
    <col collapsed="false" customWidth="true" hidden="false" outlineLevel="0" max="8" min="8" style="0" width="18"/>
    <col collapsed="false" customWidth="true" hidden="false" outlineLevel="0" max="12" min="9" style="0" width="17"/>
    <col collapsed="false" customWidth="true" hidden="false" outlineLevel="0" max="13" min="13" style="0" width="16"/>
    <col collapsed="false" customWidth="true" hidden="false" outlineLevel="0" max="14" min="14" style="0" width="15"/>
    <col collapsed="false" customWidth="true" hidden="false" outlineLevel="0" max="15" min="15" style="0" width="26"/>
    <col collapsed="false" customWidth="true" hidden="false" outlineLevel="0" max="18" min="16" style="0" width="12"/>
    <col collapsed="false" customWidth="true" hidden="false" outlineLevel="0" max="19" min="19" style="0" width="13"/>
    <col collapsed="false" customWidth="true" hidden="false" outlineLevel="0" max="20" min="20" style="0" width="12"/>
    <col collapsed="false" customWidth="true" hidden="false" outlineLevel="0" max="21" min="21" style="0" width="10"/>
    <col collapsed="false" customWidth="true" hidden="false" outlineLevel="0" max="22" min="22" style="0" width="22"/>
    <col collapsed="false" customWidth="true" hidden="false" outlineLevel="0" max="23" min="23" style="0" width="10"/>
    <col collapsed="false" customWidth="true" hidden="false" outlineLevel="0" max="24" min="24" style="0" width="18"/>
    <col collapsed="false" customWidth="true" hidden="false" outlineLevel="0" max="26" min="25" style="0" width="17"/>
    <col collapsed="false" customWidth="true" hidden="false" outlineLevel="0" max="27" min="27" style="0" width="20"/>
    <col collapsed="false" customWidth="true" hidden="false" outlineLevel="0" max="28" min="28" style="0" width="28"/>
    <col collapsed="false" customWidth="true" hidden="false" outlineLevel="0" max="31" min="29" style="0" width="13"/>
    <col collapsed="false" customWidth="true" hidden="false" outlineLevel="0" max="33" min="32" style="0" width="14"/>
    <col collapsed="false" customWidth="true" hidden="false" outlineLevel="0" max="34" min="34" style="0" width="12"/>
    <col collapsed="false" customWidth="true" hidden="false" outlineLevel="0" max="35" min="35" style="0" width="24"/>
    <col collapsed="false" customWidth="true" hidden="false" outlineLevel="0" max="36" min="36" style="0" width="12"/>
    <col collapsed="false" customWidth="true" hidden="false" outlineLevel="0" max="37" min="37" style="0" width="14"/>
    <col collapsed="false" customWidth="true" hidden="false" outlineLevel="0" max="38" min="38" style="0" width="18"/>
    <col collapsed="false" customWidth="true" hidden="false" outlineLevel="0" max="39" min="39" style="0" width="42"/>
    <col collapsed="false" customWidth="true" hidden="false" outlineLevel="0" max="40" min="40" style="0" width="16"/>
    <col collapsed="false" customWidth="true" hidden="false" outlineLevel="0" max="41" min="41" style="0" width="11"/>
    <col collapsed="false" customWidth="true" hidden="false" outlineLevel="0" max="42" min="42" style="0" width="34"/>
    <col collapsed="false" customWidth="true" hidden="false" outlineLevel="0" max="44" min="43" style="0" width="20"/>
    <col collapsed="false" customWidth="true" hidden="false" outlineLevel="0" max="45" min="45" style="0" width="14"/>
    <col collapsed="false" customWidth="true" hidden="false" outlineLevel="0" max="46" min="46" style="0" width="28"/>
    <col collapsed="false" customWidth="true" hidden="false" outlineLevel="0" max="47" min="47" style="0" width="30"/>
  </cols>
  <sheetData>
    <row r="1" customFormat="false" ht="17.35" hidden="false" customHeight="false" outlineLevel="0" collapsed="false">
      <c r="A1" s="21" t="s">
        <v>188</v>
      </c>
    </row>
    <row r="2" customFormat="false" ht="15" hidden="false" customHeight="false" outlineLevel="0" collapsed="false">
      <c r="A2" s="4" t="s">
        <v>189</v>
      </c>
    </row>
    <row r="3" customFormat="false" ht="15" hidden="false" customHeight="false" outlineLevel="0" collapsed="false">
      <c r="X3" s="5" t="s">
        <v>190</v>
      </c>
      <c r="AC3" s="28" t="s">
        <v>191</v>
      </c>
      <c r="AK3" s="29" t="s">
        <v>192</v>
      </c>
    </row>
    <row r="4" customFormat="false" ht="42" hidden="false" customHeight="true" outlineLevel="0" collapsed="false">
      <c r="A4" s="6" t="s">
        <v>193</v>
      </c>
      <c r="B4" s="6" t="s">
        <v>120</v>
      </c>
      <c r="C4" s="6" t="s">
        <v>194</v>
      </c>
      <c r="D4" s="6" t="s">
        <v>125</v>
      </c>
      <c r="E4" s="6" t="s">
        <v>195</v>
      </c>
      <c r="F4" s="6" t="s">
        <v>196</v>
      </c>
      <c r="G4" s="6" t="s">
        <v>102</v>
      </c>
      <c r="H4" s="6" t="s">
        <v>197</v>
      </c>
      <c r="I4" s="6" t="s">
        <v>198</v>
      </c>
      <c r="J4" s="6" t="s">
        <v>199</v>
      </c>
      <c r="K4" s="6" t="s">
        <v>200</v>
      </c>
      <c r="L4" s="6" t="s">
        <v>201</v>
      </c>
      <c r="M4" s="6" t="s">
        <v>202</v>
      </c>
      <c r="N4" s="6" t="s">
        <v>138</v>
      </c>
      <c r="O4" s="6" t="s">
        <v>203</v>
      </c>
      <c r="P4" s="30" t="s">
        <v>204</v>
      </c>
      <c r="Q4" s="30" t="s">
        <v>205</v>
      </c>
      <c r="R4" s="30" t="s">
        <v>206</v>
      </c>
      <c r="S4" s="30" t="s">
        <v>207</v>
      </c>
      <c r="T4" s="30" t="s">
        <v>133</v>
      </c>
      <c r="U4" s="30" t="s">
        <v>208</v>
      </c>
      <c r="V4" s="30" t="s">
        <v>34</v>
      </c>
      <c r="W4" s="30" t="s">
        <v>209</v>
      </c>
      <c r="X4" s="7" t="s">
        <v>210</v>
      </c>
      <c r="Y4" s="7" t="s">
        <v>211</v>
      </c>
      <c r="Z4" s="7" t="s">
        <v>212</v>
      </c>
      <c r="AA4" s="7" t="s">
        <v>213</v>
      </c>
      <c r="AB4" s="7" t="s">
        <v>214</v>
      </c>
      <c r="AC4" s="30" t="s">
        <v>215</v>
      </c>
      <c r="AD4" s="30" t="s">
        <v>216</v>
      </c>
      <c r="AE4" s="30" t="s">
        <v>217</v>
      </c>
      <c r="AF4" s="30" t="s">
        <v>218</v>
      </c>
      <c r="AG4" s="30" t="s">
        <v>135</v>
      </c>
      <c r="AH4" s="30" t="s">
        <v>219</v>
      </c>
      <c r="AI4" s="30" t="s">
        <v>37</v>
      </c>
      <c r="AJ4" s="30" t="s">
        <v>220</v>
      </c>
      <c r="AK4" s="31" t="s">
        <v>221</v>
      </c>
      <c r="AL4" s="31" t="s">
        <v>222</v>
      </c>
      <c r="AM4" s="31" t="s">
        <v>223</v>
      </c>
      <c r="AN4" s="31" t="s">
        <v>224</v>
      </c>
      <c r="AO4" s="31" t="s">
        <v>225</v>
      </c>
      <c r="AP4" s="31" t="s">
        <v>226</v>
      </c>
      <c r="AQ4" s="31" t="s">
        <v>142</v>
      </c>
      <c r="AR4" s="31" t="s">
        <v>227</v>
      </c>
      <c r="AS4" s="31" t="s">
        <v>143</v>
      </c>
      <c r="AT4" s="31" t="s">
        <v>228</v>
      </c>
      <c r="AU4" s="31" t="s">
        <v>229</v>
      </c>
    </row>
    <row r="5" customFormat="false" ht="15" hidden="false" customHeight="false" outlineLevel="0" collapsed="false">
      <c r="A5" s="24" t="s">
        <v>230</v>
      </c>
      <c r="B5" s="24" t="s">
        <v>151</v>
      </c>
      <c r="C5" s="24" t="s">
        <v>89</v>
      </c>
      <c r="D5" s="24" t="s">
        <v>154</v>
      </c>
      <c r="E5" s="24" t="s">
        <v>231</v>
      </c>
      <c r="F5" s="24" t="s">
        <v>232</v>
      </c>
      <c r="G5" s="24" t="s">
        <v>104</v>
      </c>
      <c r="H5" s="24" t="s">
        <v>112</v>
      </c>
      <c r="I5" s="32" t="n">
        <v>46154.375</v>
      </c>
      <c r="J5" s="32" t="n">
        <v>46154.3756944445</v>
      </c>
      <c r="K5" s="32" t="n">
        <v>46154.3777777778</v>
      </c>
      <c r="L5" s="32" t="n">
        <v>46154.4111111111</v>
      </c>
      <c r="M5" s="24"/>
      <c r="N5" s="24" t="s">
        <v>150</v>
      </c>
      <c r="O5" s="24"/>
      <c r="P5" s="33" t="n">
        <f aca="false">IF(AND(G5&lt;&gt;"",I5&lt;&gt;"",J5&lt;&gt;""),(J5-I5)*1440,"")</f>
        <v>1</v>
      </c>
      <c r="Q5" s="33" t="n">
        <f aca="false">IF(AND(G5&lt;&gt;"",J5&lt;&gt;"",K5&lt;&gt;""),(K5-J5)*1440,"")</f>
        <v>3</v>
      </c>
      <c r="R5" s="33" t="n">
        <f aca="false">IF(AND(G5&lt;&gt;"",K5&lt;&gt;"",L5&lt;&gt;""),(L5-K5)*1440,"")</f>
        <v>48</v>
      </c>
      <c r="S5" s="33" t="n">
        <f aca="false">IF(AND(G5&lt;&gt;"",I5&lt;&gt;"",L5&lt;&gt;""),(L5-I5)*1440,"")</f>
        <v>52</v>
      </c>
      <c r="T5" s="33" t="n">
        <f aca="false">IF(G5="","",IFERROR(INDEX(Settings!$B$5:$B$8,MATCH(G5,Settings!$A$5:$A$8,0)),""))</f>
        <v>60</v>
      </c>
      <c r="U5" s="25" t="str">
        <f aca="false">IF(G5="","",IF(S5="","No",IF(S5&lt;=T5,"Yes","No")))</f>
        <v>Yes</v>
      </c>
      <c r="V5" s="25" t="str">
        <f aca="false">IF(G5="","",IF(AND(J5="",K5="",L5=""),"Telemetry Blind Spot",IF(AND(K5="",L5=""),"Missed Alert",IF(L5="","Triage Delay",IF(S5&lt;=T5,"Detected - Within SLA",IF(AND(R5&lt;&gt;"",R5&gt;IFERROR(INDEX(Settings!$C$5:$C$8,MATCH(G5,Settings!$A$5:$A$8,0)),1E+099)),"Triage Delay","Detected - SLA Breach"))))))</f>
        <v>Detected - Within SLA</v>
      </c>
      <c r="W5" s="25" t="n">
        <f aca="false">IF(G5="","",IF(L5&lt;&gt;"",1,0))</f>
        <v>1</v>
      </c>
      <c r="X5" s="32" t="n">
        <v>46154.4180555556</v>
      </c>
      <c r="Y5" s="32" t="n">
        <v>46154.4354166667</v>
      </c>
      <c r="Z5" s="32" t="n">
        <v>46154.4736111111</v>
      </c>
      <c r="AA5" s="24" t="s">
        <v>233</v>
      </c>
      <c r="AB5" s="24"/>
      <c r="AC5" s="33" t="n">
        <f aca="false">IF(AND(G5&lt;&gt;"",L5&lt;&gt;"",X5&lt;&gt;""),(X5-L5)*1440,"")</f>
        <v>10</v>
      </c>
      <c r="AD5" s="33" t="n">
        <f aca="false">IF(AND(G5&lt;&gt;"",X5&lt;&gt;"",Y5&lt;&gt;""),(Y5-X5)*1440,"")</f>
        <v>25</v>
      </c>
      <c r="AE5" s="33" t="n">
        <f aca="false">IF(AND(G5&lt;&gt;"",Y5&lt;&gt;"",Z5&lt;&gt;""),(Z5-Y5)*1440,"")</f>
        <v>55</v>
      </c>
      <c r="AF5" s="33" t="n">
        <f aca="false">IF(AND(G5&lt;&gt;"",L5&lt;&gt;"",Z5&lt;&gt;""),(Z5-L5)*1440,"")</f>
        <v>90</v>
      </c>
      <c r="AG5" s="33" t="n">
        <f aca="false">IF(G5="","",IFERROR(INDEX(Settings!$D$5:$D$8,MATCH(G5,Settings!$A$5:$A$8,0)),""))</f>
        <v>240</v>
      </c>
      <c r="AH5" s="25" t="str">
        <f aca="false">IF(G5="","",IF(AF5="","No",IF(AF5&lt;=AG5,"Yes","No")))</f>
        <v>Yes</v>
      </c>
      <c r="AI5" s="25" t="str">
        <f aca="false">IF(G5="","",IF(L5="","N/A - Not Detected",IF(AND(X5="",Y5="",Z5=""),"No Containment Action",IF(Z5="",IF(Y5&lt;&gt;"","C2 Persisted","Host Isolation Gap"),IF(AF5&lt;=AG5,"Contained - Within SLA","Contained - SLA Breach")))))</f>
        <v>Contained - Within SLA</v>
      </c>
      <c r="AJ5" s="25" t="n">
        <f aca="false">IF(G5="","",IF(Z5&lt;&gt;"",1,0))</f>
        <v>1</v>
      </c>
      <c r="AK5" s="34" t="s">
        <v>234</v>
      </c>
      <c r="AL5" s="34" t="s">
        <v>235</v>
      </c>
      <c r="AM5" s="35" t="s">
        <v>236</v>
      </c>
      <c r="AN5" s="34" t="s">
        <v>237</v>
      </c>
      <c r="AO5" s="34" t="s">
        <v>238</v>
      </c>
      <c r="AP5" s="35" t="s">
        <v>239</v>
      </c>
      <c r="AQ5" s="34" t="s">
        <v>150</v>
      </c>
      <c r="AR5" s="34" t="s">
        <v>240</v>
      </c>
      <c r="AS5" s="34" t="s">
        <v>168</v>
      </c>
      <c r="AT5" s="35"/>
      <c r="AU5" s="35" t="s">
        <v>241</v>
      </c>
    </row>
    <row r="6" customFormat="false" ht="15" hidden="false" customHeight="false" outlineLevel="0" collapsed="false">
      <c r="A6" s="24" t="s">
        <v>242</v>
      </c>
      <c r="B6" s="24" t="s">
        <v>151</v>
      </c>
      <c r="C6" s="24" t="s">
        <v>90</v>
      </c>
      <c r="D6" s="24" t="s">
        <v>162</v>
      </c>
      <c r="E6" s="24" t="s">
        <v>243</v>
      </c>
      <c r="F6" s="24" t="s">
        <v>244</v>
      </c>
      <c r="G6" s="24" t="s">
        <v>103</v>
      </c>
      <c r="H6" s="24" t="s">
        <v>109</v>
      </c>
      <c r="I6" s="32" t="n">
        <v>46154.4076388889</v>
      </c>
      <c r="J6" s="32" t="n">
        <v>46154.4079861111</v>
      </c>
      <c r="K6" s="32" t="n">
        <v>46154.4090277778</v>
      </c>
      <c r="L6" s="32" t="n">
        <v>46154.4340277778</v>
      </c>
      <c r="M6" s="24"/>
      <c r="N6" s="24" t="s">
        <v>150</v>
      </c>
      <c r="O6" s="24"/>
      <c r="P6" s="33" t="n">
        <f aca="false">IF(AND(G6&lt;&gt;"",I6&lt;&gt;"",J6&lt;&gt;""),(J6-I6)*1440,"")</f>
        <v>0.5</v>
      </c>
      <c r="Q6" s="33" t="n">
        <f aca="false">IF(AND(G6&lt;&gt;"",J6&lt;&gt;"",K6&lt;&gt;""),(K6-J6)*1440,"")</f>
        <v>1.5</v>
      </c>
      <c r="R6" s="33" t="n">
        <f aca="false">IF(AND(G6&lt;&gt;"",K6&lt;&gt;"",L6&lt;&gt;""),(L6-K6)*1440,"")</f>
        <v>36</v>
      </c>
      <c r="S6" s="33" t="n">
        <f aca="false">IF(AND(G6&lt;&gt;"",I6&lt;&gt;"",L6&lt;&gt;""),(L6-I6)*1440,"")</f>
        <v>38</v>
      </c>
      <c r="T6" s="33" t="n">
        <f aca="false">IF(G6="","",IFERROR(INDEX(Settings!$B$5:$B$8,MATCH(G6,Settings!$A$5:$A$8,0)),""))</f>
        <v>15</v>
      </c>
      <c r="U6" s="25" t="str">
        <f aca="false">IF(G6="","",IF(S6="","No",IF(S6&lt;=T6,"Yes","No")))</f>
        <v>No</v>
      </c>
      <c r="V6" s="25" t="str">
        <f aca="false">IF(G6="","",IF(AND(J6="",K6="",L6=""),"Telemetry Blind Spot",IF(AND(K6="",L6=""),"Missed Alert",IF(L6="","Triage Delay",IF(S6&lt;=T6,"Detected - Within SLA",IF(AND(R6&lt;&gt;"",R6&gt;IFERROR(INDEX(Settings!$C$5:$C$8,MATCH(G6,Settings!$A$5:$A$8,0)),1E+099)),"Triage Delay","Detected - SLA Breach"))))))</f>
        <v>Triage Delay</v>
      </c>
      <c r="W6" s="25" t="n">
        <f aca="false">IF(G6="","",IF(L6&lt;&gt;"",1,0))</f>
        <v>1</v>
      </c>
      <c r="X6" s="32" t="n">
        <v>46154.4444444445</v>
      </c>
      <c r="Y6" s="32" t="n">
        <v>46154.4756944445</v>
      </c>
      <c r="Z6" s="32"/>
      <c r="AA6" s="24" t="s">
        <v>233</v>
      </c>
      <c r="AB6" s="24"/>
      <c r="AC6" s="33" t="n">
        <f aca="false">IF(AND(G6&lt;&gt;"",L6&lt;&gt;"",X6&lt;&gt;""),(X6-L6)*1440,"")</f>
        <v>15</v>
      </c>
      <c r="AD6" s="33" t="n">
        <f aca="false">IF(AND(G6&lt;&gt;"",X6&lt;&gt;"",Y6&lt;&gt;""),(Y6-X6)*1440,"")</f>
        <v>45</v>
      </c>
      <c r="AE6" s="33" t="str">
        <f aca="false">IF(AND(G6&lt;&gt;"",Y6&lt;&gt;"",Z6&lt;&gt;""),(Z6-Y6)*1440,"")</f>
        <v/>
      </c>
      <c r="AF6" s="33" t="str">
        <f aca="false">IF(AND(G6&lt;&gt;"",L6&lt;&gt;"",Z6&lt;&gt;""),(Z6-L6)*1440,"")</f>
        <v/>
      </c>
      <c r="AG6" s="33" t="n">
        <f aca="false">IF(G6="","",IFERROR(INDEX(Settings!$D$5:$D$8,MATCH(G6,Settings!$A$5:$A$8,0)),""))</f>
        <v>60</v>
      </c>
      <c r="AH6" s="25" t="str">
        <f aca="false">IF(G6="","",IF(AF6="","No",IF(AF6&lt;=AG6,"Yes","No")))</f>
        <v>No</v>
      </c>
      <c r="AI6" s="25" t="str">
        <f aca="false">IF(G6="","",IF(L6="","N/A - Not Detected",IF(AND(X6="",Y6="",Z6=""),"No Containment Action",IF(Z6="",IF(Y6&lt;&gt;"","C2 Persisted","Host Isolation Gap"),IF(AF6&lt;=AG6,"Contained - Within SLA","Contained - SLA Breach")))))</f>
        <v>C2 Persisted</v>
      </c>
      <c r="AJ6" s="25" t="n">
        <f aca="false">IF(G6="","",IF(Z6&lt;&gt;"",1,0))</f>
        <v>0</v>
      </c>
      <c r="AK6" s="34" t="s">
        <v>234</v>
      </c>
      <c r="AL6" s="34" t="s">
        <v>245</v>
      </c>
      <c r="AM6" s="35" t="s">
        <v>236</v>
      </c>
      <c r="AN6" s="34" t="s">
        <v>237</v>
      </c>
      <c r="AO6" s="34" t="s">
        <v>238</v>
      </c>
      <c r="AP6" s="35" t="s">
        <v>239</v>
      </c>
      <c r="AQ6" s="34" t="s">
        <v>150</v>
      </c>
      <c r="AR6" s="34" t="s">
        <v>240</v>
      </c>
      <c r="AS6" s="34" t="s">
        <v>168</v>
      </c>
      <c r="AT6" s="35"/>
      <c r="AU6" s="35" t="s">
        <v>241</v>
      </c>
    </row>
    <row r="7" customFormat="false" ht="15" hidden="false" customHeight="false" outlineLevel="0" collapsed="false">
      <c r="A7" s="24" t="s">
        <v>246</v>
      </c>
      <c r="B7" s="24" t="s">
        <v>151</v>
      </c>
      <c r="C7" s="24" t="s">
        <v>91</v>
      </c>
      <c r="D7" s="24" t="s">
        <v>169</v>
      </c>
      <c r="E7" s="24" t="s">
        <v>247</v>
      </c>
      <c r="F7" s="24" t="s">
        <v>248</v>
      </c>
      <c r="G7" s="24" t="s">
        <v>104</v>
      </c>
      <c r="H7" s="24" t="s">
        <v>109</v>
      </c>
      <c r="I7" s="32" t="n">
        <v>46154.4402777778</v>
      </c>
      <c r="J7" s="32" t="n">
        <v>46154.4409722222</v>
      </c>
      <c r="K7" s="32"/>
      <c r="L7" s="32"/>
      <c r="M7" s="24" t="s">
        <v>249</v>
      </c>
      <c r="N7" s="24" t="s">
        <v>177</v>
      </c>
      <c r="O7" s="24"/>
      <c r="P7" s="33" t="n">
        <f aca="false">IF(AND(G7&lt;&gt;"",I7&lt;&gt;"",J7&lt;&gt;""),(J7-I7)*1440,"")</f>
        <v>1</v>
      </c>
      <c r="Q7" s="33" t="str">
        <f aca="false">IF(AND(G7&lt;&gt;"",J7&lt;&gt;"",K7&lt;&gt;""),(K7-J7)*1440,"")</f>
        <v/>
      </c>
      <c r="R7" s="33" t="str">
        <f aca="false">IF(AND(G7&lt;&gt;"",K7&lt;&gt;"",L7&lt;&gt;""),(L7-K7)*1440,"")</f>
        <v/>
      </c>
      <c r="S7" s="33" t="str">
        <f aca="false">IF(AND(G7&lt;&gt;"",I7&lt;&gt;"",L7&lt;&gt;""),(L7-I7)*1440,"")</f>
        <v/>
      </c>
      <c r="T7" s="33" t="n">
        <f aca="false">IF(G7="","",IFERROR(INDEX(Settings!$B$5:$B$8,MATCH(G7,Settings!$A$5:$A$8,0)),""))</f>
        <v>60</v>
      </c>
      <c r="U7" s="25" t="str">
        <f aca="false">IF(G7="","",IF(S7="","No",IF(S7&lt;=T7,"Yes","No")))</f>
        <v>No</v>
      </c>
      <c r="V7" s="25" t="str">
        <f aca="false">IF(G7="","",IF(AND(J7="",K7="",L7=""),"Telemetry Blind Spot",IF(AND(K7="",L7=""),"Missed Alert",IF(L7="","Triage Delay",IF(S7&lt;=T7,"Detected - Within SLA",IF(AND(R7&lt;&gt;"",R7&gt;IFERROR(INDEX(Settings!$C$5:$C$8,MATCH(G7,Settings!$A$5:$A$8,0)),1E+099)),"Triage Delay","Detected - SLA Breach"))))))</f>
        <v>Missed Alert</v>
      </c>
      <c r="W7" s="25" t="n">
        <f aca="false">IF(G7="","",IF(L7&lt;&gt;"",1,0))</f>
        <v>0</v>
      </c>
      <c r="X7" s="32"/>
      <c r="Y7" s="32"/>
      <c r="Z7" s="32"/>
      <c r="AA7" s="24"/>
      <c r="AB7" s="24"/>
      <c r="AC7" s="33" t="str">
        <f aca="false">IF(AND(G7&lt;&gt;"",L7&lt;&gt;"",X7&lt;&gt;""),(X7-L7)*1440,"")</f>
        <v/>
      </c>
      <c r="AD7" s="33" t="str">
        <f aca="false">IF(AND(G7&lt;&gt;"",X7&lt;&gt;"",Y7&lt;&gt;""),(Y7-X7)*1440,"")</f>
        <v/>
      </c>
      <c r="AE7" s="33" t="str">
        <f aca="false">IF(AND(G7&lt;&gt;"",Y7&lt;&gt;"",Z7&lt;&gt;""),(Z7-Y7)*1440,"")</f>
        <v/>
      </c>
      <c r="AF7" s="33" t="str">
        <f aca="false">IF(AND(G7&lt;&gt;"",L7&lt;&gt;"",Z7&lt;&gt;""),(Z7-L7)*1440,"")</f>
        <v/>
      </c>
      <c r="AG7" s="33" t="n">
        <f aca="false">IF(G7="","",IFERROR(INDEX(Settings!$D$5:$D$8,MATCH(G7,Settings!$A$5:$A$8,0)),""))</f>
        <v>240</v>
      </c>
      <c r="AH7" s="25" t="str">
        <f aca="false">IF(G7="","",IF(AF7="","No",IF(AF7&lt;=AG7,"Yes","No")))</f>
        <v>No</v>
      </c>
      <c r="AI7" s="25" t="str">
        <f aca="false">IF(G7="","",IF(L7="","N/A - Not Detected",IF(AND(X7="",Y7="",Z7=""),"No Containment Action",IF(Z7="",IF(Y7&lt;&gt;"","C2 Persisted","Host Isolation Gap"),IF(AF7&lt;=AG7,"Contained - Within SLA","Contained - SLA Breach")))))</f>
        <v>N/A - Not Detected</v>
      </c>
      <c r="AJ7" s="25" t="n">
        <f aca="false">IF(G7="","",IF(Z7&lt;&gt;"",1,0))</f>
        <v>0</v>
      </c>
      <c r="AK7" s="34" t="s">
        <v>234</v>
      </c>
      <c r="AL7" s="34" t="s">
        <v>250</v>
      </c>
      <c r="AM7" s="35" t="s">
        <v>236</v>
      </c>
      <c r="AN7" s="34" t="s">
        <v>237</v>
      </c>
      <c r="AO7" s="34" t="s">
        <v>238</v>
      </c>
      <c r="AP7" s="35" t="s">
        <v>239</v>
      </c>
      <c r="AQ7" s="34" t="s">
        <v>161</v>
      </c>
      <c r="AR7" s="34" t="s">
        <v>240</v>
      </c>
      <c r="AS7" s="34" t="s">
        <v>161</v>
      </c>
      <c r="AT7" s="35"/>
      <c r="AU7" s="35" t="s">
        <v>241</v>
      </c>
    </row>
    <row r="8" customFormat="false" ht="15" hidden="false" customHeight="false" outlineLevel="0" collapsed="false">
      <c r="A8" s="24" t="s">
        <v>251</v>
      </c>
      <c r="B8" s="24" t="s">
        <v>151</v>
      </c>
      <c r="C8" s="24" t="s">
        <v>93</v>
      </c>
      <c r="D8" s="24" t="s">
        <v>175</v>
      </c>
      <c r="E8" s="24" t="s">
        <v>252</v>
      </c>
      <c r="F8" s="24" t="s">
        <v>253</v>
      </c>
      <c r="G8" s="24" t="s">
        <v>103</v>
      </c>
      <c r="H8" s="24" t="s">
        <v>109</v>
      </c>
      <c r="I8" s="32" t="n">
        <v>46154.4729166667</v>
      </c>
      <c r="J8" s="32" t="n">
        <v>46154.4732638889</v>
      </c>
      <c r="K8" s="32" t="n">
        <v>46154.4736111111</v>
      </c>
      <c r="L8" s="32" t="n">
        <v>46154.4791666667</v>
      </c>
      <c r="M8" s="24"/>
      <c r="N8" s="24" t="s">
        <v>150</v>
      </c>
      <c r="O8" s="24"/>
      <c r="P8" s="33" t="n">
        <f aca="false">IF(AND(G8&lt;&gt;"",I8&lt;&gt;"",J8&lt;&gt;""),(J8-I8)*1440,"")</f>
        <v>0.5</v>
      </c>
      <c r="Q8" s="33" t="n">
        <f aca="false">IF(AND(G8&lt;&gt;"",J8&lt;&gt;"",K8&lt;&gt;""),(K8-J8)*1440,"")</f>
        <v>0.5</v>
      </c>
      <c r="R8" s="33" t="n">
        <f aca="false">IF(AND(G8&lt;&gt;"",K8&lt;&gt;"",L8&lt;&gt;""),(L8-K8)*1440,"")</f>
        <v>8</v>
      </c>
      <c r="S8" s="33" t="n">
        <f aca="false">IF(AND(G8&lt;&gt;"",I8&lt;&gt;"",L8&lt;&gt;""),(L8-I8)*1440,"")</f>
        <v>8.99999997693334</v>
      </c>
      <c r="T8" s="33" t="n">
        <f aca="false">IF(G8="","",IFERROR(INDEX(Settings!$B$5:$B$8,MATCH(G8,Settings!$A$5:$A$8,0)),""))</f>
        <v>15</v>
      </c>
      <c r="U8" s="25" t="str">
        <f aca="false">IF(G8="","",IF(S8="","No",IF(S8&lt;=T8,"Yes","No")))</f>
        <v>Yes</v>
      </c>
      <c r="V8" s="25" t="str">
        <f aca="false">IF(G8="","",IF(AND(J8="",K8="",L8=""),"Telemetry Blind Spot",IF(AND(K8="",L8=""),"Missed Alert",IF(L8="","Triage Delay",IF(S8&lt;=T8,"Detected - Within SLA",IF(AND(R8&lt;&gt;"",R8&gt;IFERROR(INDEX(Settings!$C$5:$C$8,MATCH(G8,Settings!$A$5:$A$8,0)),1E+099)),"Triage Delay","Detected - SLA Breach"))))))</f>
        <v>Detected - Within SLA</v>
      </c>
      <c r="W8" s="25" t="n">
        <f aca="false">IF(G8="","",IF(L8&lt;&gt;"",1,0))</f>
        <v>1</v>
      </c>
      <c r="X8" s="32" t="n">
        <v>46154.4826388889</v>
      </c>
      <c r="Y8" s="32" t="n">
        <v>46154.4930555556</v>
      </c>
      <c r="Z8" s="32" t="n">
        <v>46154.5</v>
      </c>
      <c r="AA8" s="24" t="s">
        <v>233</v>
      </c>
      <c r="AB8" s="24"/>
      <c r="AC8" s="33" t="n">
        <f aca="false">IF(AND(G8&lt;&gt;"",L8&lt;&gt;"",X8&lt;&gt;""),(X8-L8)*1440,"")</f>
        <v>5</v>
      </c>
      <c r="AD8" s="33" t="n">
        <f aca="false">IF(AND(G8&lt;&gt;"",X8&lt;&gt;"",Y8&lt;&gt;""),(Y8-X8)*1440,"")</f>
        <v>15</v>
      </c>
      <c r="AE8" s="33" t="n">
        <f aca="false">IF(AND(G8&lt;&gt;"",Y8&lt;&gt;"",Z8&lt;&gt;""),(Z8-Y8)*1440,"")</f>
        <v>10</v>
      </c>
      <c r="AF8" s="33" t="n">
        <f aca="false">IF(AND(G8&lt;&gt;"",L8&lt;&gt;"",Z8&lt;&gt;""),(Z8-L8)*1440,"")</f>
        <v>30</v>
      </c>
      <c r="AG8" s="33" t="n">
        <f aca="false">IF(G8="","",IFERROR(INDEX(Settings!$D$5:$D$8,MATCH(G8,Settings!$A$5:$A$8,0)),""))</f>
        <v>60</v>
      </c>
      <c r="AH8" s="25" t="str">
        <f aca="false">IF(G8="","",IF(AF8="","No",IF(AF8&lt;=AG8,"Yes","No")))</f>
        <v>Yes</v>
      </c>
      <c r="AI8" s="25" t="str">
        <f aca="false">IF(G8="","",IF(L8="","N/A - Not Detected",IF(AND(X8="",Y8="",Z8=""),"No Containment Action",IF(Z8="",IF(Y8&lt;&gt;"","C2 Persisted","Host Isolation Gap"),IF(AF8&lt;=AG8,"Contained - Within SLA","Contained - SLA Breach")))))</f>
        <v>Contained - Within SLA</v>
      </c>
      <c r="AJ8" s="25" t="n">
        <f aca="false">IF(G8="","",IF(Z8&lt;&gt;"",1,0))</f>
        <v>1</v>
      </c>
      <c r="AK8" s="34" t="s">
        <v>234</v>
      </c>
      <c r="AL8" s="34" t="s">
        <v>254</v>
      </c>
      <c r="AM8" s="35" t="s">
        <v>236</v>
      </c>
      <c r="AN8" s="34" t="s">
        <v>237</v>
      </c>
      <c r="AO8" s="34" t="s">
        <v>238</v>
      </c>
      <c r="AP8" s="35" t="s">
        <v>239</v>
      </c>
      <c r="AQ8" s="34" t="s">
        <v>150</v>
      </c>
      <c r="AR8" s="34" t="s">
        <v>240</v>
      </c>
      <c r="AS8" s="34" t="s">
        <v>168</v>
      </c>
      <c r="AT8" s="35"/>
      <c r="AU8" s="35" t="s">
        <v>241</v>
      </c>
    </row>
    <row r="9" customFormat="false" ht="15" hidden="false" customHeight="false" outlineLevel="0" collapsed="false">
      <c r="A9" s="24" t="s">
        <v>255</v>
      </c>
      <c r="B9" s="24" t="s">
        <v>151</v>
      </c>
      <c r="C9" s="24" t="s">
        <v>94</v>
      </c>
      <c r="D9" s="24" t="s">
        <v>178</v>
      </c>
      <c r="E9" s="24" t="s">
        <v>256</v>
      </c>
      <c r="F9" s="24" t="s">
        <v>257</v>
      </c>
      <c r="G9" s="24" t="s">
        <v>103</v>
      </c>
      <c r="H9" s="24" t="s">
        <v>113</v>
      </c>
      <c r="I9" s="32" t="n">
        <v>46154.5055555556</v>
      </c>
      <c r="J9" s="32" t="n">
        <v>46154.5069444445</v>
      </c>
      <c r="K9" s="32" t="n">
        <v>46154.5097222222</v>
      </c>
      <c r="L9" s="32" t="n">
        <v>46154.5715277778</v>
      </c>
      <c r="M9" s="24"/>
      <c r="N9" s="24" t="s">
        <v>150</v>
      </c>
      <c r="O9" s="24"/>
      <c r="P9" s="33" t="n">
        <f aca="false">IF(AND(G9&lt;&gt;"",I9&lt;&gt;"",J9&lt;&gt;""),(J9-I9)*1440,"")</f>
        <v>2</v>
      </c>
      <c r="Q9" s="33" t="n">
        <f aca="false">IF(AND(G9&lt;&gt;"",J9&lt;&gt;"",K9&lt;&gt;""),(K9-J9)*1440,"")</f>
        <v>3.9999999816</v>
      </c>
      <c r="R9" s="33" t="n">
        <f aca="false">IF(AND(G9&lt;&gt;"",K9&lt;&gt;"",L9&lt;&gt;""),(L9-K9)*1440,"")</f>
        <v>89</v>
      </c>
      <c r="S9" s="33" t="n">
        <f aca="false">IF(AND(G9&lt;&gt;"",I9&lt;&gt;"",L9&lt;&gt;""),(L9-I9)*1440,"")</f>
        <v>95</v>
      </c>
      <c r="T9" s="33" t="n">
        <f aca="false">IF(G9="","",IFERROR(INDEX(Settings!$B$5:$B$8,MATCH(G9,Settings!$A$5:$A$8,0)),""))</f>
        <v>15</v>
      </c>
      <c r="U9" s="25" t="str">
        <f aca="false">IF(G9="","",IF(S9="","No",IF(S9&lt;=T9,"Yes","No")))</f>
        <v>No</v>
      </c>
      <c r="V9" s="25" t="str">
        <f aca="false">IF(G9="","",IF(AND(J9="",K9="",L9=""),"Telemetry Blind Spot",IF(AND(K9="",L9=""),"Missed Alert",IF(L9="","Triage Delay",IF(S9&lt;=T9,"Detected - Within SLA",IF(AND(R9&lt;&gt;"",R9&gt;IFERROR(INDEX(Settings!$C$5:$C$8,MATCH(G9,Settings!$A$5:$A$8,0)),1E+099)),"Triage Delay","Detected - SLA Breach"))))))</f>
        <v>Triage Delay</v>
      </c>
      <c r="W9" s="25" t="n">
        <f aca="false">IF(G9="","",IF(L9&lt;&gt;"",1,0))</f>
        <v>1</v>
      </c>
      <c r="X9" s="32" t="n">
        <v>46154.5993055556</v>
      </c>
      <c r="Y9" s="32"/>
      <c r="Z9" s="32"/>
      <c r="AA9" s="24" t="s">
        <v>233</v>
      </c>
      <c r="AB9" s="24"/>
      <c r="AC9" s="33" t="n">
        <f aca="false">IF(AND(G9&lt;&gt;"",L9&lt;&gt;"",X9&lt;&gt;""),(X9-L9)*1440,"")</f>
        <v>40</v>
      </c>
      <c r="AD9" s="33" t="str">
        <f aca="false">IF(AND(G9&lt;&gt;"",X9&lt;&gt;"",Y9&lt;&gt;""),(Y9-X9)*1440,"")</f>
        <v/>
      </c>
      <c r="AE9" s="33" t="str">
        <f aca="false">IF(AND(G9&lt;&gt;"",Y9&lt;&gt;"",Z9&lt;&gt;""),(Z9-Y9)*1440,"")</f>
        <v/>
      </c>
      <c r="AF9" s="33" t="str">
        <f aca="false">IF(AND(G9&lt;&gt;"",L9&lt;&gt;"",Z9&lt;&gt;""),(Z9-L9)*1440,"")</f>
        <v/>
      </c>
      <c r="AG9" s="33" t="n">
        <f aca="false">IF(G9="","",IFERROR(INDEX(Settings!$D$5:$D$8,MATCH(G9,Settings!$A$5:$A$8,0)),""))</f>
        <v>60</v>
      </c>
      <c r="AH9" s="25" t="str">
        <f aca="false">IF(G9="","",IF(AF9="","No",IF(AF9&lt;=AG9,"Yes","No")))</f>
        <v>No</v>
      </c>
      <c r="AI9" s="25" t="str">
        <f aca="false">IF(G9="","",IF(L9="","N/A - Not Detected",IF(AND(X9="",Y9="",Z9=""),"No Containment Action",IF(Z9="",IF(Y9&lt;&gt;"","C2 Persisted","Host Isolation Gap"),IF(AF9&lt;=AG9,"Contained - Within SLA","Contained - SLA Breach")))))</f>
        <v>Host Isolation Gap</v>
      </c>
      <c r="AJ9" s="25" t="n">
        <f aca="false">IF(G9="","",IF(Z9&lt;&gt;"",1,0))</f>
        <v>0</v>
      </c>
      <c r="AK9" s="34" t="s">
        <v>234</v>
      </c>
      <c r="AL9" s="34" t="s">
        <v>258</v>
      </c>
      <c r="AM9" s="35" t="s">
        <v>236</v>
      </c>
      <c r="AN9" s="34" t="s">
        <v>237</v>
      </c>
      <c r="AO9" s="34" t="s">
        <v>238</v>
      </c>
      <c r="AP9" s="35" t="s">
        <v>239</v>
      </c>
      <c r="AQ9" s="34" t="s">
        <v>150</v>
      </c>
      <c r="AR9" s="34" t="s">
        <v>240</v>
      </c>
      <c r="AS9" s="34" t="s">
        <v>168</v>
      </c>
      <c r="AT9" s="35"/>
      <c r="AU9" s="35" t="s">
        <v>241</v>
      </c>
    </row>
    <row r="10" customFormat="false" ht="15" hidden="false" customHeight="false" outlineLevel="0" collapsed="false">
      <c r="A10" s="24" t="s">
        <v>259</v>
      </c>
      <c r="B10" s="24" t="s">
        <v>151</v>
      </c>
      <c r="C10" s="24" t="s">
        <v>95</v>
      </c>
      <c r="D10" s="24" t="s">
        <v>180</v>
      </c>
      <c r="E10" s="24" t="s">
        <v>260</v>
      </c>
      <c r="F10" s="24" t="s">
        <v>261</v>
      </c>
      <c r="G10" s="24" t="s">
        <v>105</v>
      </c>
      <c r="H10" s="24" t="s">
        <v>110</v>
      </c>
      <c r="I10" s="32" t="n">
        <v>46154.5381944445</v>
      </c>
      <c r="J10" s="32"/>
      <c r="K10" s="32"/>
      <c r="L10" s="32"/>
      <c r="M10" s="24" t="s">
        <v>262</v>
      </c>
      <c r="N10" s="24" t="s">
        <v>177</v>
      </c>
      <c r="O10" s="24"/>
      <c r="P10" s="33" t="str">
        <f aca="false">IF(AND(G10&lt;&gt;"",I10&lt;&gt;"",J10&lt;&gt;""),(J10-I10)*1440,"")</f>
        <v/>
      </c>
      <c r="Q10" s="33" t="str">
        <f aca="false">IF(AND(G10&lt;&gt;"",J10&lt;&gt;"",K10&lt;&gt;""),(K10-J10)*1440,"")</f>
        <v/>
      </c>
      <c r="R10" s="33" t="str">
        <f aca="false">IF(AND(G10&lt;&gt;"",K10&lt;&gt;"",L10&lt;&gt;""),(L10-K10)*1440,"")</f>
        <v/>
      </c>
      <c r="S10" s="33" t="str">
        <f aca="false">IF(AND(G10&lt;&gt;"",I10&lt;&gt;"",L10&lt;&gt;""),(L10-I10)*1440,"")</f>
        <v/>
      </c>
      <c r="T10" s="33" t="n">
        <f aca="false">IF(G10="","",IFERROR(INDEX(Settings!$B$5:$B$8,MATCH(G10,Settings!$A$5:$A$8,0)),""))</f>
        <v>240</v>
      </c>
      <c r="U10" s="25" t="str">
        <f aca="false">IF(G10="","",IF(S10="","No",IF(S10&lt;=T10,"Yes","No")))</f>
        <v>No</v>
      </c>
      <c r="V10" s="25" t="str">
        <f aca="false">IF(G10="","",IF(AND(J10="",K10="",L10=""),"Telemetry Blind Spot",IF(AND(K10="",L10=""),"Missed Alert",IF(L10="","Triage Delay",IF(S10&lt;=T10,"Detected - Within SLA",IF(AND(R10&lt;&gt;"",R10&gt;IFERROR(INDEX(Settings!$C$5:$C$8,MATCH(G10,Settings!$A$5:$A$8,0)),1E+099)),"Triage Delay","Detected - SLA Breach"))))))</f>
        <v>Telemetry Blind Spot</v>
      </c>
      <c r="W10" s="25" t="n">
        <f aca="false">IF(G10="","",IF(L10&lt;&gt;"",1,0))</f>
        <v>0</v>
      </c>
      <c r="X10" s="32"/>
      <c r="Y10" s="32"/>
      <c r="Z10" s="32"/>
      <c r="AA10" s="24"/>
      <c r="AB10" s="24"/>
      <c r="AC10" s="33" t="str">
        <f aca="false">IF(AND(G10&lt;&gt;"",L10&lt;&gt;"",X10&lt;&gt;""),(X10-L10)*1440,"")</f>
        <v/>
      </c>
      <c r="AD10" s="33" t="str">
        <f aca="false">IF(AND(G10&lt;&gt;"",X10&lt;&gt;"",Y10&lt;&gt;""),(Y10-X10)*1440,"")</f>
        <v/>
      </c>
      <c r="AE10" s="33" t="str">
        <f aca="false">IF(AND(G10&lt;&gt;"",Y10&lt;&gt;"",Z10&lt;&gt;""),(Z10-Y10)*1440,"")</f>
        <v/>
      </c>
      <c r="AF10" s="33" t="str">
        <f aca="false">IF(AND(G10&lt;&gt;"",L10&lt;&gt;"",Z10&lt;&gt;""),(Z10-L10)*1440,"")</f>
        <v/>
      </c>
      <c r="AG10" s="33" t="n">
        <f aca="false">IF(G10="","",IFERROR(INDEX(Settings!$D$5:$D$8,MATCH(G10,Settings!$A$5:$A$8,0)),""))</f>
        <v>1440</v>
      </c>
      <c r="AH10" s="25" t="str">
        <f aca="false">IF(G10="","",IF(AF10="","No",IF(AF10&lt;=AG10,"Yes","No")))</f>
        <v>No</v>
      </c>
      <c r="AI10" s="25" t="str">
        <f aca="false">IF(G10="","",IF(L10="","N/A - Not Detected",IF(AND(X10="",Y10="",Z10=""),"No Containment Action",IF(Z10="",IF(Y10&lt;&gt;"","C2 Persisted","Host Isolation Gap"),IF(AF10&lt;=AG10,"Contained - Within SLA","Contained - SLA Breach")))))</f>
        <v>N/A - Not Detected</v>
      </c>
      <c r="AJ10" s="25" t="n">
        <f aca="false">IF(G10="","",IF(Z10&lt;&gt;"",1,0))</f>
        <v>0</v>
      </c>
      <c r="AK10" s="34" t="s">
        <v>234</v>
      </c>
      <c r="AL10" s="34" t="s">
        <v>263</v>
      </c>
      <c r="AM10" s="35" t="s">
        <v>236</v>
      </c>
      <c r="AN10" s="34" t="s">
        <v>237</v>
      </c>
      <c r="AO10" s="34" t="s">
        <v>238</v>
      </c>
      <c r="AP10" s="35" t="s">
        <v>239</v>
      </c>
      <c r="AQ10" s="34" t="s">
        <v>161</v>
      </c>
      <c r="AR10" s="34" t="s">
        <v>240</v>
      </c>
      <c r="AS10" s="34" t="s">
        <v>161</v>
      </c>
      <c r="AT10" s="35"/>
      <c r="AU10" s="35" t="s">
        <v>241</v>
      </c>
    </row>
    <row r="11" customFormat="false" ht="15" hidden="false" customHeight="false" outlineLevel="0" collapsed="false">
      <c r="A11" s="24" t="s">
        <v>264</v>
      </c>
      <c r="B11" s="24" t="s">
        <v>151</v>
      </c>
      <c r="C11" s="24" t="s">
        <v>96</v>
      </c>
      <c r="D11" s="24" t="s">
        <v>184</v>
      </c>
      <c r="E11" s="24" t="s">
        <v>265</v>
      </c>
      <c r="F11" s="24" t="s">
        <v>266</v>
      </c>
      <c r="G11" s="24" t="s">
        <v>104</v>
      </c>
      <c r="H11" s="24" t="s">
        <v>110</v>
      </c>
      <c r="I11" s="32" t="n">
        <v>46154.5708333333</v>
      </c>
      <c r="J11" s="32" t="n">
        <v>46154.5729166667</v>
      </c>
      <c r="K11" s="32" t="n">
        <v>46154.5784722222</v>
      </c>
      <c r="L11" s="32" t="n">
        <v>46154.6680555556</v>
      </c>
      <c r="M11" s="24"/>
      <c r="N11" s="24" t="s">
        <v>150</v>
      </c>
      <c r="O11" s="24"/>
      <c r="P11" s="33" t="n">
        <f aca="false">IF(AND(G11&lt;&gt;"",I11&lt;&gt;"",J11&lt;&gt;""),(J11-I11)*1440,"")</f>
        <v>3</v>
      </c>
      <c r="Q11" s="33" t="n">
        <f aca="false">IF(AND(G11&lt;&gt;"",J11&lt;&gt;"",K11&lt;&gt;""),(K11-J11)*1440,"")</f>
        <v>8</v>
      </c>
      <c r="R11" s="33" t="n">
        <f aca="false">IF(AND(G11&lt;&gt;"",K11&lt;&gt;"",L11&lt;&gt;""),(L11-K11)*1440,"")</f>
        <v>129</v>
      </c>
      <c r="S11" s="33" t="n">
        <f aca="false">IF(AND(G11&lt;&gt;"",I11&lt;&gt;"",L11&lt;&gt;""),(L11-I11)*1440,"")</f>
        <v>140</v>
      </c>
      <c r="T11" s="33" t="n">
        <f aca="false">IF(G11="","",IFERROR(INDEX(Settings!$B$5:$B$8,MATCH(G11,Settings!$A$5:$A$8,0)),""))</f>
        <v>60</v>
      </c>
      <c r="U11" s="25" t="str">
        <f aca="false">IF(G11="","",IF(S11="","No",IF(S11&lt;=T11,"Yes","No")))</f>
        <v>No</v>
      </c>
      <c r="V11" s="25" t="str">
        <f aca="false">IF(G11="","",IF(AND(J11="",K11="",L11=""),"Telemetry Blind Spot",IF(AND(K11="",L11=""),"Missed Alert",IF(L11="","Triage Delay",IF(S11&lt;=T11,"Detected - Within SLA",IF(AND(R11&lt;&gt;"",R11&gt;IFERROR(INDEX(Settings!$C$5:$C$8,MATCH(G11,Settings!$A$5:$A$8,0)),1E+099)),"Triage Delay","Detected - SLA Breach"))))))</f>
        <v>Triage Delay</v>
      </c>
      <c r="W11" s="25" t="n">
        <f aca="false">IF(G11="","",IF(L11&lt;&gt;"",1,0))</f>
        <v>1</v>
      </c>
      <c r="X11" s="32" t="n">
        <v>46154.6819444444</v>
      </c>
      <c r="Y11" s="32" t="n">
        <v>46154.7027777778</v>
      </c>
      <c r="Z11" s="32" t="n">
        <v>46154.7513888889</v>
      </c>
      <c r="AA11" s="24" t="s">
        <v>233</v>
      </c>
      <c r="AB11" s="24"/>
      <c r="AC11" s="33" t="n">
        <f aca="false">IF(AND(G11&lt;&gt;"",L11&lt;&gt;"",X11&lt;&gt;""),(X11-L11)*1440,"")</f>
        <v>20</v>
      </c>
      <c r="AD11" s="33" t="n">
        <f aca="false">IF(AND(G11&lt;&gt;"",X11&lt;&gt;"",Y11&lt;&gt;""),(Y11-X11)*1440,"")</f>
        <v>30</v>
      </c>
      <c r="AE11" s="33" t="n">
        <f aca="false">IF(AND(G11&lt;&gt;"",Y11&lt;&gt;"",Z11&lt;&gt;""),(Z11-Y11)*1440,"")</f>
        <v>70</v>
      </c>
      <c r="AF11" s="33" t="n">
        <f aca="false">IF(AND(G11&lt;&gt;"",L11&lt;&gt;"",Z11&lt;&gt;""),(Z11-L11)*1440,"")</f>
        <v>120</v>
      </c>
      <c r="AG11" s="33" t="n">
        <f aca="false">IF(G11="","",IFERROR(INDEX(Settings!$D$5:$D$8,MATCH(G11,Settings!$A$5:$A$8,0)),""))</f>
        <v>240</v>
      </c>
      <c r="AH11" s="25" t="str">
        <f aca="false">IF(G11="","",IF(AF11="","No",IF(AF11&lt;=AG11,"Yes","No")))</f>
        <v>Yes</v>
      </c>
      <c r="AI11" s="25" t="str">
        <f aca="false">IF(G11="","",IF(L11="","N/A - Not Detected",IF(AND(X11="",Y11="",Z11=""),"No Containment Action",IF(Z11="",IF(Y11&lt;&gt;"","C2 Persisted","Host Isolation Gap"),IF(AF11&lt;=AG11,"Contained - Within SLA","Contained - SLA Breach")))))</f>
        <v>Contained - Within SLA</v>
      </c>
      <c r="AJ11" s="25" t="n">
        <f aca="false">IF(G11="","",IF(Z11&lt;&gt;"",1,0))</f>
        <v>1</v>
      </c>
      <c r="AK11" s="34" t="s">
        <v>234</v>
      </c>
      <c r="AL11" s="34" t="s">
        <v>267</v>
      </c>
      <c r="AM11" s="35" t="s">
        <v>236</v>
      </c>
      <c r="AN11" s="34" t="s">
        <v>237</v>
      </c>
      <c r="AO11" s="34" t="s">
        <v>238</v>
      </c>
      <c r="AP11" s="35" t="s">
        <v>239</v>
      </c>
      <c r="AQ11" s="34" t="s">
        <v>150</v>
      </c>
      <c r="AR11" s="34" t="s">
        <v>240</v>
      </c>
      <c r="AS11" s="34" t="s">
        <v>168</v>
      </c>
      <c r="AT11" s="35"/>
      <c r="AU11" s="35" t="s">
        <v>241</v>
      </c>
    </row>
    <row r="12" customFormat="false" ht="15" hidden="false" customHeight="false" outlineLevel="0" collapsed="false">
      <c r="A12" s="24" t="s">
        <v>268</v>
      </c>
      <c r="B12" s="24" t="s">
        <v>151</v>
      </c>
      <c r="C12" s="24" t="s">
        <v>98</v>
      </c>
      <c r="D12" s="24" t="s">
        <v>186</v>
      </c>
      <c r="E12" s="24" t="s">
        <v>269</v>
      </c>
      <c r="F12" s="24" t="s">
        <v>270</v>
      </c>
      <c r="G12" s="24" t="s">
        <v>104</v>
      </c>
      <c r="H12" s="24" t="s">
        <v>111</v>
      </c>
      <c r="I12" s="32" t="n">
        <v>46154.6034722222</v>
      </c>
      <c r="J12" s="32"/>
      <c r="K12" s="32"/>
      <c r="L12" s="32"/>
      <c r="M12" s="24" t="s">
        <v>271</v>
      </c>
      <c r="N12" s="24" t="s">
        <v>177</v>
      </c>
      <c r="O12" s="24"/>
      <c r="P12" s="33" t="str">
        <f aca="false">IF(AND(G12&lt;&gt;"",I12&lt;&gt;"",J12&lt;&gt;""),(J12-I12)*1440,"")</f>
        <v/>
      </c>
      <c r="Q12" s="33" t="str">
        <f aca="false">IF(AND(G12&lt;&gt;"",J12&lt;&gt;"",K12&lt;&gt;""),(K12-J12)*1440,"")</f>
        <v/>
      </c>
      <c r="R12" s="33" t="str">
        <f aca="false">IF(AND(G12&lt;&gt;"",K12&lt;&gt;"",L12&lt;&gt;""),(L12-K12)*1440,"")</f>
        <v/>
      </c>
      <c r="S12" s="33" t="str">
        <f aca="false">IF(AND(G12&lt;&gt;"",I12&lt;&gt;"",L12&lt;&gt;""),(L12-I12)*1440,"")</f>
        <v/>
      </c>
      <c r="T12" s="33" t="n">
        <f aca="false">IF(G12="","",IFERROR(INDEX(Settings!$B$5:$B$8,MATCH(G12,Settings!$A$5:$A$8,0)),""))</f>
        <v>60</v>
      </c>
      <c r="U12" s="25" t="str">
        <f aca="false">IF(G12="","",IF(S12="","No",IF(S12&lt;=T12,"Yes","No")))</f>
        <v>No</v>
      </c>
      <c r="V12" s="25" t="str">
        <f aca="false">IF(G12="","",IF(AND(J12="",K12="",L12=""),"Telemetry Blind Spot",IF(AND(K12="",L12=""),"Missed Alert",IF(L12="","Triage Delay",IF(S12&lt;=T12,"Detected - Within SLA",IF(AND(R12&lt;&gt;"",R12&gt;IFERROR(INDEX(Settings!$C$5:$C$8,MATCH(G12,Settings!$A$5:$A$8,0)),1E+099)),"Triage Delay","Detected - SLA Breach"))))))</f>
        <v>Telemetry Blind Spot</v>
      </c>
      <c r="W12" s="25" t="n">
        <f aca="false">IF(G12="","",IF(L12&lt;&gt;"",1,0))</f>
        <v>0</v>
      </c>
      <c r="X12" s="32"/>
      <c r="Y12" s="32"/>
      <c r="Z12" s="32"/>
      <c r="AA12" s="24"/>
      <c r="AB12" s="24"/>
      <c r="AC12" s="33" t="str">
        <f aca="false">IF(AND(G12&lt;&gt;"",L12&lt;&gt;"",X12&lt;&gt;""),(X12-L12)*1440,"")</f>
        <v/>
      </c>
      <c r="AD12" s="33" t="str">
        <f aca="false">IF(AND(G12&lt;&gt;"",X12&lt;&gt;"",Y12&lt;&gt;""),(Y12-X12)*1440,"")</f>
        <v/>
      </c>
      <c r="AE12" s="33" t="str">
        <f aca="false">IF(AND(G12&lt;&gt;"",Y12&lt;&gt;"",Z12&lt;&gt;""),(Z12-Y12)*1440,"")</f>
        <v/>
      </c>
      <c r="AF12" s="33" t="str">
        <f aca="false">IF(AND(G12&lt;&gt;"",L12&lt;&gt;"",Z12&lt;&gt;""),(Z12-L12)*1440,"")</f>
        <v/>
      </c>
      <c r="AG12" s="33" t="n">
        <f aca="false">IF(G12="","",IFERROR(INDEX(Settings!$D$5:$D$8,MATCH(G12,Settings!$A$5:$A$8,0)),""))</f>
        <v>240</v>
      </c>
      <c r="AH12" s="25" t="str">
        <f aca="false">IF(G12="","",IF(AF12="","No",IF(AF12&lt;=AG12,"Yes","No")))</f>
        <v>No</v>
      </c>
      <c r="AI12" s="25" t="str">
        <f aca="false">IF(G12="","",IF(L12="","N/A - Not Detected",IF(AND(X12="",Y12="",Z12=""),"No Containment Action",IF(Z12="",IF(Y12&lt;&gt;"","C2 Persisted","Host Isolation Gap"),IF(AF12&lt;=AG12,"Contained - Within SLA","Contained - SLA Breach")))))</f>
        <v>N/A - Not Detected</v>
      </c>
      <c r="AJ12" s="25" t="n">
        <f aca="false">IF(G12="","",IF(Z12&lt;&gt;"",1,0))</f>
        <v>0</v>
      </c>
      <c r="AK12" s="34" t="s">
        <v>234</v>
      </c>
      <c r="AL12" s="34" t="s">
        <v>272</v>
      </c>
      <c r="AM12" s="35" t="s">
        <v>236</v>
      </c>
      <c r="AN12" s="34" t="s">
        <v>237</v>
      </c>
      <c r="AO12" s="34" t="s">
        <v>238</v>
      </c>
      <c r="AP12" s="35" t="s">
        <v>239</v>
      </c>
      <c r="AQ12" s="34" t="s">
        <v>161</v>
      </c>
      <c r="AR12" s="34" t="s">
        <v>240</v>
      </c>
      <c r="AS12" s="34" t="s">
        <v>161</v>
      </c>
      <c r="AT12" s="35"/>
      <c r="AU12" s="35" t="s">
        <v>241</v>
      </c>
    </row>
    <row r="13" customFormat="false" ht="15" hidden="false" customHeight="false" outlineLevel="0" collapsed="false">
      <c r="A13" s="24" t="s">
        <v>273</v>
      </c>
      <c r="B13" s="24" t="s">
        <v>158</v>
      </c>
      <c r="C13" s="24" t="s">
        <v>89</v>
      </c>
      <c r="D13" s="24" t="s">
        <v>154</v>
      </c>
      <c r="E13" s="24" t="s">
        <v>274</v>
      </c>
      <c r="F13" s="24" t="s">
        <v>275</v>
      </c>
      <c r="G13" s="24" t="s">
        <v>104</v>
      </c>
      <c r="H13" s="24" t="s">
        <v>112</v>
      </c>
      <c r="I13" s="32" t="n">
        <v>46252.375</v>
      </c>
      <c r="J13" s="32" t="n">
        <v>46252.3756944445</v>
      </c>
      <c r="K13" s="32" t="n">
        <v>46252.3770833333</v>
      </c>
      <c r="L13" s="32" t="n">
        <v>46252.3895833333</v>
      </c>
      <c r="M13" s="24"/>
      <c r="N13" s="24" t="s">
        <v>150</v>
      </c>
      <c r="O13" s="24"/>
      <c r="P13" s="33" t="n">
        <f aca="false">IF(AND(G13&lt;&gt;"",I13&lt;&gt;"",J13&lt;&gt;""),(J13-I13)*1440,"")</f>
        <v>1</v>
      </c>
      <c r="Q13" s="33" t="n">
        <f aca="false">IF(AND(G13&lt;&gt;"",J13&lt;&gt;"",K13&lt;&gt;""),(K13-J13)*1440,"")</f>
        <v>2</v>
      </c>
      <c r="R13" s="33" t="n">
        <f aca="false">IF(AND(G13&lt;&gt;"",K13&lt;&gt;"",L13&lt;&gt;""),(L13-K13)*1440,"")</f>
        <v>18</v>
      </c>
      <c r="S13" s="33" t="n">
        <f aca="false">IF(AND(G13&lt;&gt;"",I13&lt;&gt;"",L13&lt;&gt;""),(L13-I13)*1440,"")</f>
        <v>21</v>
      </c>
      <c r="T13" s="33" t="n">
        <f aca="false">IF(G13="","",IFERROR(INDEX(Settings!$B$5:$B$8,MATCH(G13,Settings!$A$5:$A$8,0)),""))</f>
        <v>60</v>
      </c>
      <c r="U13" s="25" t="str">
        <f aca="false">IF(G13="","",IF(S13="","No",IF(S13&lt;=T13,"Yes","No")))</f>
        <v>Yes</v>
      </c>
      <c r="V13" s="25" t="str">
        <f aca="false">IF(G13="","",IF(AND(J13="",K13="",L13=""),"Telemetry Blind Spot",IF(AND(K13="",L13=""),"Missed Alert",IF(L13="","Triage Delay",IF(S13&lt;=T13,"Detected - Within SLA",IF(AND(R13&lt;&gt;"",R13&gt;IFERROR(INDEX(Settings!$C$5:$C$8,MATCH(G13,Settings!$A$5:$A$8,0)),1E+099)),"Triage Delay","Detected - SLA Breach"))))))</f>
        <v>Detected - Within SLA</v>
      </c>
      <c r="W13" s="25" t="n">
        <f aca="false">IF(G13="","",IF(L13&lt;&gt;"",1,0))</f>
        <v>1</v>
      </c>
      <c r="X13" s="32" t="n">
        <v>46252.3930555556</v>
      </c>
      <c r="Y13" s="32" t="n">
        <v>46252.4</v>
      </c>
      <c r="Z13" s="32" t="n">
        <v>46252.4104166667</v>
      </c>
      <c r="AA13" s="24" t="s">
        <v>233</v>
      </c>
      <c r="AB13" s="24"/>
      <c r="AC13" s="33" t="n">
        <f aca="false">IF(AND(G13&lt;&gt;"",L13&lt;&gt;"",X13&lt;&gt;""),(X13-L13)*1440,"")</f>
        <v>5</v>
      </c>
      <c r="AD13" s="33" t="n">
        <f aca="false">IF(AND(G13&lt;&gt;"",X13&lt;&gt;"",Y13&lt;&gt;""),(Y13-X13)*1440,"")</f>
        <v>10</v>
      </c>
      <c r="AE13" s="33" t="n">
        <f aca="false">IF(AND(G13&lt;&gt;"",Y13&lt;&gt;"",Z13&lt;&gt;""),(Z13-Y13)*1440,"")</f>
        <v>15</v>
      </c>
      <c r="AF13" s="33" t="n">
        <f aca="false">IF(AND(G13&lt;&gt;"",L13&lt;&gt;"",Z13&lt;&gt;""),(Z13-L13)*1440,"")</f>
        <v>30</v>
      </c>
      <c r="AG13" s="33" t="n">
        <f aca="false">IF(G13="","",IFERROR(INDEX(Settings!$D$5:$D$8,MATCH(G13,Settings!$A$5:$A$8,0)),""))</f>
        <v>240</v>
      </c>
      <c r="AH13" s="25" t="str">
        <f aca="false">IF(G13="","",IF(AF13="","No",IF(AF13&lt;=AG13,"Yes","No")))</f>
        <v>Yes</v>
      </c>
      <c r="AI13" s="25" t="str">
        <f aca="false">IF(G13="","",IF(L13="","N/A - Not Detected",IF(AND(X13="",Y13="",Z13=""),"No Containment Action",IF(Z13="",IF(Y13&lt;&gt;"","C2 Persisted","Host Isolation Gap"),IF(AF13&lt;=AG13,"Contained - Within SLA","Contained - SLA Breach")))))</f>
        <v>Contained - Within SLA</v>
      </c>
      <c r="AJ13" s="25" t="n">
        <f aca="false">IF(G13="","",IF(Z13&lt;&gt;"",1,0))</f>
        <v>1</v>
      </c>
      <c r="AK13" s="34" t="s">
        <v>234</v>
      </c>
      <c r="AL13" s="34" t="s">
        <v>276</v>
      </c>
      <c r="AM13" s="35" t="s">
        <v>236</v>
      </c>
      <c r="AN13" s="34" t="s">
        <v>237</v>
      </c>
      <c r="AO13" s="34" t="s">
        <v>238</v>
      </c>
      <c r="AP13" s="35" t="s">
        <v>239</v>
      </c>
      <c r="AQ13" s="34" t="s">
        <v>150</v>
      </c>
      <c r="AR13" s="34" t="s">
        <v>240</v>
      </c>
      <c r="AS13" s="34" t="s">
        <v>168</v>
      </c>
      <c r="AT13" s="35"/>
      <c r="AU13" s="35" t="s">
        <v>241</v>
      </c>
    </row>
    <row r="14" customFormat="false" ht="15" hidden="false" customHeight="false" outlineLevel="0" collapsed="false">
      <c r="A14" s="24" t="s">
        <v>277</v>
      </c>
      <c r="B14" s="24" t="s">
        <v>158</v>
      </c>
      <c r="C14" s="24" t="s">
        <v>90</v>
      </c>
      <c r="D14" s="24" t="s">
        <v>162</v>
      </c>
      <c r="E14" s="24" t="s">
        <v>278</v>
      </c>
      <c r="F14" s="24" t="s">
        <v>279</v>
      </c>
      <c r="G14" s="24" t="s">
        <v>103</v>
      </c>
      <c r="H14" s="24" t="s">
        <v>109</v>
      </c>
      <c r="I14" s="32" t="n">
        <v>46252.4076388889</v>
      </c>
      <c r="J14" s="32" t="n">
        <v>46252.4079861111</v>
      </c>
      <c r="K14" s="32" t="n">
        <v>46252.4086805556</v>
      </c>
      <c r="L14" s="32" t="n">
        <v>46252.4125</v>
      </c>
      <c r="M14" s="24"/>
      <c r="N14" s="24" t="s">
        <v>150</v>
      </c>
      <c r="O14" s="24"/>
      <c r="P14" s="33" t="n">
        <f aca="false">IF(AND(G14&lt;&gt;"",I14&lt;&gt;"",J14&lt;&gt;""),(J14-I14)*1440,"")</f>
        <v>0.5</v>
      </c>
      <c r="Q14" s="33" t="n">
        <f aca="false">IF(AND(G14&lt;&gt;"",J14&lt;&gt;"",K14&lt;&gt;""),(K14-J14)*1440,"")</f>
        <v>1</v>
      </c>
      <c r="R14" s="33" t="n">
        <f aca="false">IF(AND(G14&lt;&gt;"",K14&lt;&gt;"",L14&lt;&gt;""),(L14-K14)*1440,"")</f>
        <v>5.5</v>
      </c>
      <c r="S14" s="33" t="n">
        <f aca="false">IF(AND(G14&lt;&gt;"",I14&lt;&gt;"",L14&lt;&gt;""),(L14-I14)*1440,"")</f>
        <v>7</v>
      </c>
      <c r="T14" s="33" t="n">
        <f aca="false">IF(G14="","",IFERROR(INDEX(Settings!$B$5:$B$8,MATCH(G14,Settings!$A$5:$A$8,0)),""))</f>
        <v>15</v>
      </c>
      <c r="U14" s="25" t="str">
        <f aca="false">IF(G14="","",IF(S14="","No",IF(S14&lt;=T14,"Yes","No")))</f>
        <v>Yes</v>
      </c>
      <c r="V14" s="25" t="str">
        <f aca="false">IF(G14="","",IF(AND(J14="",K14="",L14=""),"Telemetry Blind Spot",IF(AND(K14="",L14=""),"Missed Alert",IF(L14="","Triage Delay",IF(S14&lt;=T14,"Detected - Within SLA",IF(AND(R14&lt;&gt;"",R14&gt;IFERROR(INDEX(Settings!$C$5:$C$8,MATCH(G14,Settings!$A$5:$A$8,0)),1E+099)),"Triage Delay","Detected - SLA Breach"))))))</f>
        <v>Detected - Within SLA</v>
      </c>
      <c r="W14" s="25" t="n">
        <f aca="false">IF(G14="","",IF(L14&lt;&gt;"",1,0))</f>
        <v>1</v>
      </c>
      <c r="X14" s="32" t="n">
        <v>46252.4138888889</v>
      </c>
      <c r="Y14" s="32" t="n">
        <v>46252.4180555556</v>
      </c>
      <c r="Z14" s="32" t="n">
        <v>46252.425</v>
      </c>
      <c r="AA14" s="24" t="s">
        <v>233</v>
      </c>
      <c r="AB14" s="24"/>
      <c r="AC14" s="33" t="n">
        <f aca="false">IF(AND(G14&lt;&gt;"",L14&lt;&gt;"",X14&lt;&gt;""),(X14-L14)*1440,"")</f>
        <v>2</v>
      </c>
      <c r="AD14" s="33" t="n">
        <f aca="false">IF(AND(G14&lt;&gt;"",X14&lt;&gt;"",Y14&lt;&gt;""),(Y14-X14)*1440,"")</f>
        <v>6</v>
      </c>
      <c r="AE14" s="33" t="n">
        <f aca="false">IF(AND(G14&lt;&gt;"",Y14&lt;&gt;"",Z14&lt;&gt;""),(Z14-Y14)*1440,"")</f>
        <v>10</v>
      </c>
      <c r="AF14" s="33" t="n">
        <f aca="false">IF(AND(G14&lt;&gt;"",L14&lt;&gt;"",Z14&lt;&gt;""),(Z14-L14)*1440,"")</f>
        <v>18</v>
      </c>
      <c r="AG14" s="33" t="n">
        <f aca="false">IF(G14="","",IFERROR(INDEX(Settings!$D$5:$D$8,MATCH(G14,Settings!$A$5:$A$8,0)),""))</f>
        <v>60</v>
      </c>
      <c r="AH14" s="25" t="str">
        <f aca="false">IF(G14="","",IF(AF14="","No",IF(AF14&lt;=AG14,"Yes","No")))</f>
        <v>Yes</v>
      </c>
      <c r="AI14" s="25" t="str">
        <f aca="false">IF(G14="","",IF(L14="","N/A - Not Detected",IF(AND(X14="",Y14="",Z14=""),"No Containment Action",IF(Z14="",IF(Y14&lt;&gt;"","C2 Persisted","Host Isolation Gap"),IF(AF14&lt;=AG14,"Contained - Within SLA","Contained - SLA Breach")))))</f>
        <v>Contained - Within SLA</v>
      </c>
      <c r="AJ14" s="25" t="n">
        <f aca="false">IF(G14="","",IF(Z14&lt;&gt;"",1,0))</f>
        <v>1</v>
      </c>
      <c r="AK14" s="34" t="s">
        <v>234</v>
      </c>
      <c r="AL14" s="34" t="s">
        <v>280</v>
      </c>
      <c r="AM14" s="35" t="s">
        <v>236</v>
      </c>
      <c r="AN14" s="34" t="s">
        <v>237</v>
      </c>
      <c r="AO14" s="34" t="s">
        <v>238</v>
      </c>
      <c r="AP14" s="35" t="s">
        <v>239</v>
      </c>
      <c r="AQ14" s="34" t="s">
        <v>150</v>
      </c>
      <c r="AR14" s="34" t="s">
        <v>240</v>
      </c>
      <c r="AS14" s="34" t="s">
        <v>168</v>
      </c>
      <c r="AT14" s="35"/>
      <c r="AU14" s="35" t="s">
        <v>241</v>
      </c>
    </row>
    <row r="15" customFormat="false" ht="15" hidden="false" customHeight="false" outlineLevel="0" collapsed="false">
      <c r="A15" s="24" t="s">
        <v>281</v>
      </c>
      <c r="B15" s="24" t="s">
        <v>158</v>
      </c>
      <c r="C15" s="24" t="s">
        <v>91</v>
      </c>
      <c r="D15" s="24" t="s">
        <v>169</v>
      </c>
      <c r="E15" s="24" t="s">
        <v>282</v>
      </c>
      <c r="F15" s="24" t="s">
        <v>283</v>
      </c>
      <c r="G15" s="24" t="s">
        <v>104</v>
      </c>
      <c r="H15" s="24" t="s">
        <v>109</v>
      </c>
      <c r="I15" s="32" t="n">
        <v>46252.4402777778</v>
      </c>
      <c r="J15" s="32" t="n">
        <v>46252.4409722222</v>
      </c>
      <c r="K15" s="32" t="n">
        <v>46252.4423611111</v>
      </c>
      <c r="L15" s="32" t="n">
        <v>46252.4576388889</v>
      </c>
      <c r="M15" s="24"/>
      <c r="N15" s="24" t="s">
        <v>150</v>
      </c>
      <c r="O15" s="24"/>
      <c r="P15" s="33" t="n">
        <f aca="false">IF(AND(G15&lt;&gt;"",I15&lt;&gt;"",J15&lt;&gt;""),(J15-I15)*1440,"")</f>
        <v>1</v>
      </c>
      <c r="Q15" s="33" t="n">
        <f aca="false">IF(AND(G15&lt;&gt;"",J15&lt;&gt;"",K15&lt;&gt;""),(K15-J15)*1440,"")</f>
        <v>2</v>
      </c>
      <c r="R15" s="33" t="n">
        <f aca="false">IF(AND(G15&lt;&gt;"",K15&lt;&gt;"",L15&lt;&gt;""),(L15-K15)*1440,"")</f>
        <v>22</v>
      </c>
      <c r="S15" s="33" t="n">
        <f aca="false">IF(AND(G15&lt;&gt;"",I15&lt;&gt;"",L15&lt;&gt;""),(L15-I15)*1440,"")</f>
        <v>25</v>
      </c>
      <c r="T15" s="33" t="n">
        <f aca="false">IF(G15="","",IFERROR(INDEX(Settings!$B$5:$B$8,MATCH(G15,Settings!$A$5:$A$8,0)),""))</f>
        <v>60</v>
      </c>
      <c r="U15" s="25" t="str">
        <f aca="false">IF(G15="","",IF(S15="","No",IF(S15&lt;=T15,"Yes","No")))</f>
        <v>Yes</v>
      </c>
      <c r="V15" s="25" t="str">
        <f aca="false">IF(G15="","",IF(AND(J15="",K15="",L15=""),"Telemetry Blind Spot",IF(AND(K15="",L15=""),"Missed Alert",IF(L15="","Triage Delay",IF(S15&lt;=T15,"Detected - Within SLA",IF(AND(R15&lt;&gt;"",R15&gt;IFERROR(INDEX(Settings!$C$5:$C$8,MATCH(G15,Settings!$A$5:$A$8,0)),1E+099)),"Triage Delay","Detected - SLA Breach"))))))</f>
        <v>Detected - Within SLA</v>
      </c>
      <c r="W15" s="25" t="n">
        <f aca="false">IF(G15="","",IF(L15&lt;&gt;"",1,0))</f>
        <v>1</v>
      </c>
      <c r="X15" s="32" t="n">
        <v>46252.4611111111</v>
      </c>
      <c r="Y15" s="32" t="n">
        <v>46252.4659722222</v>
      </c>
      <c r="Z15" s="32" t="n">
        <v>46252.4854166667</v>
      </c>
      <c r="AA15" s="24" t="s">
        <v>233</v>
      </c>
      <c r="AB15" s="24"/>
      <c r="AC15" s="33" t="n">
        <f aca="false">IF(AND(G15&lt;&gt;"",L15&lt;&gt;"",X15&lt;&gt;""),(X15-L15)*1440,"")</f>
        <v>5</v>
      </c>
      <c r="AD15" s="33" t="n">
        <f aca="false">IF(AND(G15&lt;&gt;"",X15&lt;&gt;"",Y15&lt;&gt;""),(Y15-X15)*1440,"")</f>
        <v>7</v>
      </c>
      <c r="AE15" s="33" t="n">
        <f aca="false">IF(AND(G15&lt;&gt;"",Y15&lt;&gt;"",Z15&lt;&gt;""),(Z15-Y15)*1440,"")</f>
        <v>28</v>
      </c>
      <c r="AF15" s="33" t="n">
        <f aca="false">IF(AND(G15&lt;&gt;"",L15&lt;&gt;"",Z15&lt;&gt;""),(Z15-L15)*1440,"")</f>
        <v>40</v>
      </c>
      <c r="AG15" s="33" t="n">
        <f aca="false">IF(G15="","",IFERROR(INDEX(Settings!$D$5:$D$8,MATCH(G15,Settings!$A$5:$A$8,0)),""))</f>
        <v>240</v>
      </c>
      <c r="AH15" s="25" t="str">
        <f aca="false">IF(G15="","",IF(AF15="","No",IF(AF15&lt;=AG15,"Yes","No")))</f>
        <v>Yes</v>
      </c>
      <c r="AI15" s="25" t="str">
        <f aca="false">IF(G15="","",IF(L15="","N/A - Not Detected",IF(AND(X15="",Y15="",Z15=""),"No Containment Action",IF(Z15="",IF(Y15&lt;&gt;"","C2 Persisted","Host Isolation Gap"),IF(AF15&lt;=AG15,"Contained - Within SLA","Contained - SLA Breach")))))</f>
        <v>Contained - Within SLA</v>
      </c>
      <c r="AJ15" s="25" t="n">
        <f aca="false">IF(G15="","",IF(Z15&lt;&gt;"",1,0))</f>
        <v>1</v>
      </c>
      <c r="AK15" s="34" t="s">
        <v>234</v>
      </c>
      <c r="AL15" s="34" t="s">
        <v>284</v>
      </c>
      <c r="AM15" s="35" t="s">
        <v>236</v>
      </c>
      <c r="AN15" s="34" t="s">
        <v>237</v>
      </c>
      <c r="AO15" s="34" t="s">
        <v>238</v>
      </c>
      <c r="AP15" s="35" t="s">
        <v>239</v>
      </c>
      <c r="AQ15" s="34" t="s">
        <v>150</v>
      </c>
      <c r="AR15" s="34" t="s">
        <v>240</v>
      </c>
      <c r="AS15" s="34" t="s">
        <v>168</v>
      </c>
      <c r="AT15" s="35"/>
      <c r="AU15" s="35" t="s">
        <v>241</v>
      </c>
    </row>
    <row r="16" customFormat="false" ht="15" hidden="false" customHeight="false" outlineLevel="0" collapsed="false">
      <c r="A16" s="24" t="s">
        <v>285</v>
      </c>
      <c r="B16" s="24" t="s">
        <v>158</v>
      </c>
      <c r="C16" s="24" t="s">
        <v>93</v>
      </c>
      <c r="D16" s="24" t="s">
        <v>175</v>
      </c>
      <c r="E16" s="24" t="s">
        <v>286</v>
      </c>
      <c r="F16" s="24" t="s">
        <v>287</v>
      </c>
      <c r="G16" s="24" t="s">
        <v>103</v>
      </c>
      <c r="H16" s="24" t="s">
        <v>109</v>
      </c>
      <c r="I16" s="32" t="n">
        <v>46252.4729166667</v>
      </c>
      <c r="J16" s="32" t="n">
        <v>46252.4732638889</v>
      </c>
      <c r="K16" s="32" t="n">
        <v>46252.4736111111</v>
      </c>
      <c r="L16" s="32" t="n">
        <v>46252.4770833333</v>
      </c>
      <c r="M16" s="24"/>
      <c r="N16" s="24" t="s">
        <v>150</v>
      </c>
      <c r="O16" s="24"/>
      <c r="P16" s="33" t="n">
        <f aca="false">IF(AND(G16&lt;&gt;"",I16&lt;&gt;"",J16&lt;&gt;""),(J16-I16)*1440,"")</f>
        <v>0.5</v>
      </c>
      <c r="Q16" s="33" t="n">
        <f aca="false">IF(AND(G16&lt;&gt;"",J16&lt;&gt;"",K16&lt;&gt;""),(K16-J16)*1440,"")</f>
        <v>0.5</v>
      </c>
      <c r="R16" s="33" t="n">
        <f aca="false">IF(AND(G16&lt;&gt;"",K16&lt;&gt;"",L16&lt;&gt;""),(L16-K16)*1440,"")</f>
        <v>5</v>
      </c>
      <c r="S16" s="33" t="n">
        <f aca="false">IF(AND(G16&lt;&gt;"",I16&lt;&gt;"",L16&lt;&gt;""),(L16-I16)*1440,"")</f>
        <v>6</v>
      </c>
      <c r="T16" s="33" t="n">
        <f aca="false">IF(G16="","",IFERROR(INDEX(Settings!$B$5:$B$8,MATCH(G16,Settings!$A$5:$A$8,0)),""))</f>
        <v>15</v>
      </c>
      <c r="U16" s="25" t="str">
        <f aca="false">IF(G16="","",IF(S16="","No",IF(S16&lt;=T16,"Yes","No")))</f>
        <v>Yes</v>
      </c>
      <c r="V16" s="25" t="str">
        <f aca="false">IF(G16="","",IF(AND(J16="",K16="",L16=""),"Telemetry Blind Spot",IF(AND(K16="",L16=""),"Missed Alert",IF(L16="","Triage Delay",IF(S16&lt;=T16,"Detected - Within SLA",IF(AND(R16&lt;&gt;"",R16&gt;IFERROR(INDEX(Settings!$C$5:$C$8,MATCH(G16,Settings!$A$5:$A$8,0)),1E+099)),"Triage Delay","Detected - SLA Breach"))))))</f>
        <v>Detected - Within SLA</v>
      </c>
      <c r="W16" s="25" t="n">
        <f aca="false">IF(G16="","",IF(L16&lt;&gt;"",1,0))</f>
        <v>1</v>
      </c>
      <c r="X16" s="32" t="n">
        <v>46252.4784722222</v>
      </c>
      <c r="Y16" s="32" t="n">
        <v>46252.48125</v>
      </c>
      <c r="Z16" s="32" t="n">
        <v>46252.4875</v>
      </c>
      <c r="AA16" s="24" t="s">
        <v>233</v>
      </c>
      <c r="AB16" s="24"/>
      <c r="AC16" s="33" t="n">
        <f aca="false">IF(AND(G16&lt;&gt;"",L16&lt;&gt;"",X16&lt;&gt;""),(X16-L16)*1440,"")</f>
        <v>2</v>
      </c>
      <c r="AD16" s="33" t="n">
        <f aca="false">IF(AND(G16&lt;&gt;"",X16&lt;&gt;"",Y16&lt;&gt;""),(Y16-X16)*1440,"")</f>
        <v>4</v>
      </c>
      <c r="AE16" s="33" t="n">
        <f aca="false">IF(AND(G16&lt;&gt;"",Y16&lt;&gt;"",Z16&lt;&gt;""),(Z16-Y16)*1440,"")</f>
        <v>9</v>
      </c>
      <c r="AF16" s="33" t="n">
        <f aca="false">IF(AND(G16&lt;&gt;"",L16&lt;&gt;"",Z16&lt;&gt;""),(Z16-L16)*1440,"")</f>
        <v>15</v>
      </c>
      <c r="AG16" s="33" t="n">
        <f aca="false">IF(G16="","",IFERROR(INDEX(Settings!$D$5:$D$8,MATCH(G16,Settings!$A$5:$A$8,0)),""))</f>
        <v>60</v>
      </c>
      <c r="AH16" s="25" t="str">
        <f aca="false">IF(G16="","",IF(AF16="","No",IF(AF16&lt;=AG16,"Yes","No")))</f>
        <v>Yes</v>
      </c>
      <c r="AI16" s="25" t="str">
        <f aca="false">IF(G16="","",IF(L16="","N/A - Not Detected",IF(AND(X16="",Y16="",Z16=""),"No Containment Action",IF(Z16="",IF(Y16&lt;&gt;"","C2 Persisted","Host Isolation Gap"),IF(AF16&lt;=AG16,"Contained - Within SLA","Contained - SLA Breach")))))</f>
        <v>Contained - Within SLA</v>
      </c>
      <c r="AJ16" s="25" t="n">
        <f aca="false">IF(G16="","",IF(Z16&lt;&gt;"",1,0))</f>
        <v>1</v>
      </c>
      <c r="AK16" s="34" t="s">
        <v>234</v>
      </c>
      <c r="AL16" s="34" t="s">
        <v>288</v>
      </c>
      <c r="AM16" s="35" t="s">
        <v>236</v>
      </c>
      <c r="AN16" s="34" t="s">
        <v>237</v>
      </c>
      <c r="AO16" s="34" t="s">
        <v>238</v>
      </c>
      <c r="AP16" s="35" t="s">
        <v>239</v>
      </c>
      <c r="AQ16" s="34" t="s">
        <v>150</v>
      </c>
      <c r="AR16" s="34" t="s">
        <v>240</v>
      </c>
      <c r="AS16" s="34" t="s">
        <v>168</v>
      </c>
      <c r="AT16" s="35"/>
      <c r="AU16" s="35" t="s">
        <v>241</v>
      </c>
    </row>
    <row r="17" customFormat="false" ht="15" hidden="false" customHeight="false" outlineLevel="0" collapsed="false">
      <c r="A17" s="24" t="s">
        <v>289</v>
      </c>
      <c r="B17" s="24" t="s">
        <v>158</v>
      </c>
      <c r="C17" s="24" t="s">
        <v>94</v>
      </c>
      <c r="D17" s="24" t="s">
        <v>178</v>
      </c>
      <c r="E17" s="24" t="s">
        <v>290</v>
      </c>
      <c r="F17" s="24" t="s">
        <v>291</v>
      </c>
      <c r="G17" s="24" t="s">
        <v>103</v>
      </c>
      <c r="H17" s="24" t="s">
        <v>113</v>
      </c>
      <c r="I17" s="32" t="n">
        <v>46252.5055555556</v>
      </c>
      <c r="J17" s="32" t="n">
        <v>46252.5069444445</v>
      </c>
      <c r="K17" s="32" t="n">
        <v>46252.5083333333</v>
      </c>
      <c r="L17" s="32" t="n">
        <v>46252.5145833333</v>
      </c>
      <c r="M17" s="24"/>
      <c r="N17" s="24" t="s">
        <v>150</v>
      </c>
      <c r="O17" s="24"/>
      <c r="P17" s="33" t="n">
        <f aca="false">IF(AND(G17&lt;&gt;"",I17&lt;&gt;"",J17&lt;&gt;""),(J17-I17)*1440,"")</f>
        <v>2</v>
      </c>
      <c r="Q17" s="33" t="n">
        <f aca="false">IF(AND(G17&lt;&gt;"",J17&lt;&gt;"",K17&lt;&gt;""),(K17-J17)*1440,"")</f>
        <v>2</v>
      </c>
      <c r="R17" s="33" t="n">
        <f aca="false">IF(AND(G17&lt;&gt;"",K17&lt;&gt;"",L17&lt;&gt;""),(L17-K17)*1440,"")</f>
        <v>9</v>
      </c>
      <c r="S17" s="33" t="n">
        <f aca="false">IF(AND(G17&lt;&gt;"",I17&lt;&gt;"",L17&lt;&gt;""),(L17-I17)*1440,"")</f>
        <v>13</v>
      </c>
      <c r="T17" s="33" t="n">
        <f aca="false">IF(G17="","",IFERROR(INDEX(Settings!$B$5:$B$8,MATCH(G17,Settings!$A$5:$A$8,0)),""))</f>
        <v>15</v>
      </c>
      <c r="U17" s="25" t="str">
        <f aca="false">IF(G17="","",IF(S17="","No",IF(S17&lt;=T17,"Yes","No")))</f>
        <v>Yes</v>
      </c>
      <c r="V17" s="25" t="str">
        <f aca="false">IF(G17="","",IF(AND(J17="",K17="",L17=""),"Telemetry Blind Spot",IF(AND(K17="",L17=""),"Missed Alert",IF(L17="","Triage Delay",IF(S17&lt;=T17,"Detected - Within SLA",IF(AND(R17&lt;&gt;"",R17&gt;IFERROR(INDEX(Settings!$C$5:$C$8,MATCH(G17,Settings!$A$5:$A$8,0)),1E+099)),"Triage Delay","Detected - SLA Breach"))))))</f>
        <v>Detected - Within SLA</v>
      </c>
      <c r="W17" s="25" t="n">
        <f aca="false">IF(G17="","",IF(L17&lt;&gt;"",1,0))</f>
        <v>1</v>
      </c>
      <c r="X17" s="32" t="n">
        <v>46252.5166666667</v>
      </c>
      <c r="Y17" s="32" t="n">
        <v>46252.5215277778</v>
      </c>
      <c r="Z17" s="32" t="n">
        <v>46252.5319444445</v>
      </c>
      <c r="AA17" s="24" t="s">
        <v>233</v>
      </c>
      <c r="AB17" s="24"/>
      <c r="AC17" s="33" t="n">
        <f aca="false">IF(AND(G17&lt;&gt;"",L17&lt;&gt;"",X17&lt;&gt;""),(X17-L17)*1440,"")</f>
        <v>3</v>
      </c>
      <c r="AD17" s="33" t="n">
        <f aca="false">IF(AND(G17&lt;&gt;"",X17&lt;&gt;"",Y17&lt;&gt;""),(Y17-X17)*1440,"")</f>
        <v>7</v>
      </c>
      <c r="AE17" s="33" t="n">
        <f aca="false">IF(AND(G17&lt;&gt;"",Y17&lt;&gt;"",Z17&lt;&gt;""),(Z17-Y17)*1440,"")</f>
        <v>15</v>
      </c>
      <c r="AF17" s="33" t="n">
        <f aca="false">IF(AND(G17&lt;&gt;"",L17&lt;&gt;"",Z17&lt;&gt;""),(Z17-L17)*1440,"")</f>
        <v>25</v>
      </c>
      <c r="AG17" s="33" t="n">
        <f aca="false">IF(G17="","",IFERROR(INDEX(Settings!$D$5:$D$8,MATCH(G17,Settings!$A$5:$A$8,0)),""))</f>
        <v>60</v>
      </c>
      <c r="AH17" s="25" t="str">
        <f aca="false">IF(G17="","",IF(AF17="","No",IF(AF17&lt;=AG17,"Yes","No")))</f>
        <v>Yes</v>
      </c>
      <c r="AI17" s="25" t="str">
        <f aca="false">IF(G17="","",IF(L17="","N/A - Not Detected",IF(AND(X17="",Y17="",Z17=""),"No Containment Action",IF(Z17="",IF(Y17&lt;&gt;"","C2 Persisted","Host Isolation Gap"),IF(AF17&lt;=AG17,"Contained - Within SLA","Contained - SLA Breach")))))</f>
        <v>Contained - Within SLA</v>
      </c>
      <c r="AJ17" s="25" t="n">
        <f aca="false">IF(G17="","",IF(Z17&lt;&gt;"",1,0))</f>
        <v>1</v>
      </c>
      <c r="AK17" s="34" t="s">
        <v>234</v>
      </c>
      <c r="AL17" s="34" t="s">
        <v>292</v>
      </c>
      <c r="AM17" s="35" t="s">
        <v>236</v>
      </c>
      <c r="AN17" s="34" t="s">
        <v>237</v>
      </c>
      <c r="AO17" s="34" t="s">
        <v>238</v>
      </c>
      <c r="AP17" s="35" t="s">
        <v>239</v>
      </c>
      <c r="AQ17" s="34" t="s">
        <v>150</v>
      </c>
      <c r="AR17" s="34" t="s">
        <v>240</v>
      </c>
      <c r="AS17" s="34" t="s">
        <v>168</v>
      </c>
      <c r="AT17" s="35"/>
      <c r="AU17" s="35" t="s">
        <v>241</v>
      </c>
    </row>
    <row r="18" customFormat="false" ht="15" hidden="false" customHeight="false" outlineLevel="0" collapsed="false">
      <c r="A18" s="24" t="s">
        <v>293</v>
      </c>
      <c r="B18" s="24" t="s">
        <v>158</v>
      </c>
      <c r="C18" s="24" t="s">
        <v>95</v>
      </c>
      <c r="D18" s="24" t="s">
        <v>180</v>
      </c>
      <c r="E18" s="24" t="s">
        <v>294</v>
      </c>
      <c r="F18" s="24" t="s">
        <v>295</v>
      </c>
      <c r="G18" s="24" t="s">
        <v>105</v>
      </c>
      <c r="H18" s="24" t="s">
        <v>110</v>
      </c>
      <c r="I18" s="32" t="n">
        <v>46252.5381944445</v>
      </c>
      <c r="J18" s="32" t="n">
        <v>46252.5409722222</v>
      </c>
      <c r="K18" s="32" t="n">
        <v>46252.5486111111</v>
      </c>
      <c r="L18" s="32" t="n">
        <v>46252.5868055556</v>
      </c>
      <c r="M18" s="24"/>
      <c r="N18" s="24" t="s">
        <v>150</v>
      </c>
      <c r="O18" s="24"/>
      <c r="P18" s="33" t="n">
        <f aca="false">IF(AND(G18&lt;&gt;"",I18&lt;&gt;"",J18&lt;&gt;""),(J18-I18)*1440,"")</f>
        <v>3.9999999816</v>
      </c>
      <c r="Q18" s="33" t="n">
        <f aca="false">IF(AND(G18&lt;&gt;"",J18&lt;&gt;"",K18&lt;&gt;""),(K18-J18)*1440,"")</f>
        <v>11</v>
      </c>
      <c r="R18" s="33" t="n">
        <f aca="false">IF(AND(G18&lt;&gt;"",K18&lt;&gt;"",L18&lt;&gt;""),(L18-K18)*1440,"")</f>
        <v>55</v>
      </c>
      <c r="S18" s="33" t="n">
        <f aca="false">IF(AND(G18&lt;&gt;"",I18&lt;&gt;"",L18&lt;&gt;""),(L18-I18)*1440,"")</f>
        <v>69.9999999767167</v>
      </c>
      <c r="T18" s="33" t="n">
        <f aca="false">IF(G18="","",IFERROR(INDEX(Settings!$B$5:$B$8,MATCH(G18,Settings!$A$5:$A$8,0)),""))</f>
        <v>240</v>
      </c>
      <c r="U18" s="25" t="str">
        <f aca="false">IF(G18="","",IF(S18="","No",IF(S18&lt;=T18,"Yes","No")))</f>
        <v>Yes</v>
      </c>
      <c r="V18" s="25" t="str">
        <f aca="false">IF(G18="","",IF(AND(J18="",K18="",L18=""),"Telemetry Blind Spot",IF(AND(K18="",L18=""),"Missed Alert",IF(L18="","Triage Delay",IF(S18&lt;=T18,"Detected - Within SLA",IF(AND(R18&lt;&gt;"",R18&gt;IFERROR(INDEX(Settings!$C$5:$C$8,MATCH(G18,Settings!$A$5:$A$8,0)),1E+099)),"Triage Delay","Detected - SLA Breach"))))))</f>
        <v>Detected - Within SLA</v>
      </c>
      <c r="W18" s="25" t="n">
        <f aca="false">IF(G18="","",IF(L18&lt;&gt;"",1,0))</f>
        <v>1</v>
      </c>
      <c r="X18" s="32" t="n">
        <v>46252.59375</v>
      </c>
      <c r="Y18" s="32" t="n">
        <v>46252.6076388889</v>
      </c>
      <c r="Z18" s="32"/>
      <c r="AA18" s="24" t="s">
        <v>233</v>
      </c>
      <c r="AB18" s="24"/>
      <c r="AC18" s="33" t="n">
        <f aca="false">IF(AND(G18&lt;&gt;"",L18&lt;&gt;"",X18&lt;&gt;""),(X18-L18)*1440,"")</f>
        <v>10</v>
      </c>
      <c r="AD18" s="33" t="n">
        <f aca="false">IF(AND(G18&lt;&gt;"",X18&lt;&gt;"",Y18&lt;&gt;""),(Y18-X18)*1440,"")</f>
        <v>20</v>
      </c>
      <c r="AE18" s="33" t="str">
        <f aca="false">IF(AND(G18&lt;&gt;"",Y18&lt;&gt;"",Z18&lt;&gt;""),(Z18-Y18)*1440,"")</f>
        <v/>
      </c>
      <c r="AF18" s="33" t="str">
        <f aca="false">IF(AND(G18&lt;&gt;"",L18&lt;&gt;"",Z18&lt;&gt;""),(Z18-L18)*1440,"")</f>
        <v/>
      </c>
      <c r="AG18" s="33" t="n">
        <f aca="false">IF(G18="","",IFERROR(INDEX(Settings!$D$5:$D$8,MATCH(G18,Settings!$A$5:$A$8,0)),""))</f>
        <v>1440</v>
      </c>
      <c r="AH18" s="25" t="str">
        <f aca="false">IF(G18="","",IF(AF18="","No",IF(AF18&lt;=AG18,"Yes","No")))</f>
        <v>No</v>
      </c>
      <c r="AI18" s="25" t="str">
        <f aca="false">IF(G18="","",IF(L18="","N/A - Not Detected",IF(AND(X18="",Y18="",Z18=""),"No Containment Action",IF(Z18="",IF(Y18&lt;&gt;"","C2 Persisted","Host Isolation Gap"),IF(AF18&lt;=AG18,"Contained - Within SLA","Contained - SLA Breach")))))</f>
        <v>C2 Persisted</v>
      </c>
      <c r="AJ18" s="25" t="n">
        <f aca="false">IF(G18="","",IF(Z18&lt;&gt;"",1,0))</f>
        <v>0</v>
      </c>
      <c r="AK18" s="34" t="s">
        <v>234</v>
      </c>
      <c r="AL18" s="34" t="s">
        <v>296</v>
      </c>
      <c r="AM18" s="35" t="s">
        <v>236</v>
      </c>
      <c r="AN18" s="34" t="s">
        <v>237</v>
      </c>
      <c r="AO18" s="34" t="s">
        <v>238</v>
      </c>
      <c r="AP18" s="35" t="s">
        <v>239</v>
      </c>
      <c r="AQ18" s="34" t="s">
        <v>150</v>
      </c>
      <c r="AR18" s="34" t="s">
        <v>240</v>
      </c>
      <c r="AS18" s="34" t="s">
        <v>168</v>
      </c>
      <c r="AT18" s="35"/>
      <c r="AU18" s="35" t="s">
        <v>241</v>
      </c>
    </row>
    <row r="19" customFormat="false" ht="15" hidden="false" customHeight="false" outlineLevel="0" collapsed="false">
      <c r="A19" s="24" t="s">
        <v>297</v>
      </c>
      <c r="B19" s="24" t="s">
        <v>158</v>
      </c>
      <c r="C19" s="24" t="s">
        <v>96</v>
      </c>
      <c r="D19" s="24" t="s">
        <v>184</v>
      </c>
      <c r="E19" s="24" t="s">
        <v>298</v>
      </c>
      <c r="F19" s="24" t="s">
        <v>299</v>
      </c>
      <c r="G19" s="24" t="s">
        <v>104</v>
      </c>
      <c r="H19" s="24" t="s">
        <v>110</v>
      </c>
      <c r="I19" s="32" t="n">
        <v>46252.5708333333</v>
      </c>
      <c r="J19" s="32" t="n">
        <v>46252.5722222222</v>
      </c>
      <c r="K19" s="32" t="n">
        <v>46252.5756944444</v>
      </c>
      <c r="L19" s="32" t="n">
        <v>46252.6041666667</v>
      </c>
      <c r="M19" s="24"/>
      <c r="N19" s="24" t="s">
        <v>150</v>
      </c>
      <c r="O19" s="24"/>
      <c r="P19" s="33" t="n">
        <f aca="false">IF(AND(G19&lt;&gt;"",I19&lt;&gt;"",J19&lt;&gt;""),(J19-I19)*1440,"")</f>
        <v>2</v>
      </c>
      <c r="Q19" s="33" t="n">
        <f aca="false">IF(AND(G19&lt;&gt;"",J19&lt;&gt;"",K19&lt;&gt;""),(K19-J19)*1440,"")</f>
        <v>5</v>
      </c>
      <c r="R19" s="33" t="n">
        <f aca="false">IF(AND(G19&lt;&gt;"",K19&lt;&gt;"",L19&lt;&gt;""),(L19-K19)*1440,"")</f>
        <v>41</v>
      </c>
      <c r="S19" s="33" t="n">
        <f aca="false">IF(AND(G19&lt;&gt;"",I19&lt;&gt;"",L19&lt;&gt;""),(L19-I19)*1440,"")</f>
        <v>48</v>
      </c>
      <c r="T19" s="33" t="n">
        <f aca="false">IF(G19="","",IFERROR(INDEX(Settings!$B$5:$B$8,MATCH(G19,Settings!$A$5:$A$8,0)),""))</f>
        <v>60</v>
      </c>
      <c r="U19" s="25" t="str">
        <f aca="false">IF(G19="","",IF(S19="","No",IF(S19&lt;=T19,"Yes","No")))</f>
        <v>Yes</v>
      </c>
      <c r="V19" s="25" t="str">
        <f aca="false">IF(G19="","",IF(AND(J19="",K19="",L19=""),"Telemetry Blind Spot",IF(AND(K19="",L19=""),"Missed Alert",IF(L19="","Triage Delay",IF(S19&lt;=T19,"Detected - Within SLA",IF(AND(R19&lt;&gt;"",R19&gt;IFERROR(INDEX(Settings!$C$5:$C$8,MATCH(G19,Settings!$A$5:$A$8,0)),1E+099)),"Triage Delay","Detected - SLA Breach"))))))</f>
        <v>Detected - Within SLA</v>
      </c>
      <c r="W19" s="25" t="n">
        <f aca="false">IF(G19="","",IF(L19&lt;&gt;"",1,0))</f>
        <v>1</v>
      </c>
      <c r="X19" s="32" t="n">
        <v>46252.6097222222</v>
      </c>
      <c r="Y19" s="32" t="n">
        <v>46252.6180555556</v>
      </c>
      <c r="Z19" s="32" t="n">
        <v>46252.6423611111</v>
      </c>
      <c r="AA19" s="24" t="s">
        <v>233</v>
      </c>
      <c r="AB19" s="24"/>
      <c r="AC19" s="33" t="n">
        <f aca="false">IF(AND(G19&lt;&gt;"",L19&lt;&gt;"",X19&lt;&gt;""),(X19-L19)*1440,"")</f>
        <v>8</v>
      </c>
      <c r="AD19" s="33" t="n">
        <f aca="false">IF(AND(G19&lt;&gt;"",X19&lt;&gt;"",Y19&lt;&gt;""),(Y19-X19)*1440,"")</f>
        <v>12</v>
      </c>
      <c r="AE19" s="33" t="n">
        <f aca="false">IF(AND(G19&lt;&gt;"",Y19&lt;&gt;"",Z19&lt;&gt;""),(Z19-Y19)*1440,"")</f>
        <v>35</v>
      </c>
      <c r="AF19" s="33" t="n">
        <f aca="false">IF(AND(G19&lt;&gt;"",L19&lt;&gt;"",Z19&lt;&gt;""),(Z19-L19)*1440,"")</f>
        <v>55</v>
      </c>
      <c r="AG19" s="33" t="n">
        <f aca="false">IF(G19="","",IFERROR(INDEX(Settings!$D$5:$D$8,MATCH(G19,Settings!$A$5:$A$8,0)),""))</f>
        <v>240</v>
      </c>
      <c r="AH19" s="25" t="str">
        <f aca="false">IF(G19="","",IF(AF19="","No",IF(AF19&lt;=AG19,"Yes","No")))</f>
        <v>Yes</v>
      </c>
      <c r="AI19" s="25" t="str">
        <f aca="false">IF(G19="","",IF(L19="","N/A - Not Detected",IF(AND(X19="",Y19="",Z19=""),"No Containment Action",IF(Z19="",IF(Y19&lt;&gt;"","C2 Persisted","Host Isolation Gap"),IF(AF19&lt;=AG19,"Contained - Within SLA","Contained - SLA Breach")))))</f>
        <v>Contained - Within SLA</v>
      </c>
      <c r="AJ19" s="25" t="n">
        <f aca="false">IF(G19="","",IF(Z19&lt;&gt;"",1,0))</f>
        <v>1</v>
      </c>
      <c r="AK19" s="34" t="s">
        <v>234</v>
      </c>
      <c r="AL19" s="34" t="s">
        <v>300</v>
      </c>
      <c r="AM19" s="35" t="s">
        <v>236</v>
      </c>
      <c r="AN19" s="34" t="s">
        <v>237</v>
      </c>
      <c r="AO19" s="34" t="s">
        <v>238</v>
      </c>
      <c r="AP19" s="35" t="s">
        <v>239</v>
      </c>
      <c r="AQ19" s="34" t="s">
        <v>150</v>
      </c>
      <c r="AR19" s="34" t="s">
        <v>240</v>
      </c>
      <c r="AS19" s="34" t="s">
        <v>168</v>
      </c>
      <c r="AT19" s="35"/>
      <c r="AU19" s="35" t="s">
        <v>241</v>
      </c>
    </row>
    <row r="20" customFormat="false" ht="15" hidden="false" customHeight="false" outlineLevel="0" collapsed="false">
      <c r="A20" s="24" t="s">
        <v>301</v>
      </c>
      <c r="B20" s="24" t="s">
        <v>158</v>
      </c>
      <c r="C20" s="24" t="s">
        <v>98</v>
      </c>
      <c r="D20" s="24" t="s">
        <v>186</v>
      </c>
      <c r="E20" s="24" t="s">
        <v>302</v>
      </c>
      <c r="F20" s="24" t="s">
        <v>303</v>
      </c>
      <c r="G20" s="24" t="s">
        <v>104</v>
      </c>
      <c r="H20" s="24" t="s">
        <v>111</v>
      </c>
      <c r="I20" s="32" t="n">
        <v>46252.6034722222</v>
      </c>
      <c r="J20" s="32" t="n">
        <v>46252.6069444444</v>
      </c>
      <c r="K20" s="32"/>
      <c r="L20" s="32"/>
      <c r="M20" s="24" t="s">
        <v>304</v>
      </c>
      <c r="N20" s="24" t="s">
        <v>157</v>
      </c>
      <c r="O20" s="24"/>
      <c r="P20" s="33" t="n">
        <f aca="false">IF(AND(G20&lt;&gt;"",I20&lt;&gt;"",J20&lt;&gt;""),(J20-I20)*1440,"")</f>
        <v>5</v>
      </c>
      <c r="Q20" s="33" t="str">
        <f aca="false">IF(AND(G20&lt;&gt;"",J20&lt;&gt;"",K20&lt;&gt;""),(K20-J20)*1440,"")</f>
        <v/>
      </c>
      <c r="R20" s="33" t="str">
        <f aca="false">IF(AND(G20&lt;&gt;"",K20&lt;&gt;"",L20&lt;&gt;""),(L20-K20)*1440,"")</f>
        <v/>
      </c>
      <c r="S20" s="33" t="str">
        <f aca="false">IF(AND(G20&lt;&gt;"",I20&lt;&gt;"",L20&lt;&gt;""),(L20-I20)*1440,"")</f>
        <v/>
      </c>
      <c r="T20" s="33" t="n">
        <f aca="false">IF(G20="","",IFERROR(INDEX(Settings!$B$5:$B$8,MATCH(G20,Settings!$A$5:$A$8,0)),""))</f>
        <v>60</v>
      </c>
      <c r="U20" s="25" t="str">
        <f aca="false">IF(G20="","",IF(S20="","No",IF(S20&lt;=T20,"Yes","No")))</f>
        <v>No</v>
      </c>
      <c r="V20" s="25" t="str">
        <f aca="false">IF(G20="","",IF(AND(J20="",K20="",L20=""),"Telemetry Blind Spot",IF(AND(K20="",L20=""),"Missed Alert",IF(L20="","Triage Delay",IF(S20&lt;=T20,"Detected - Within SLA",IF(AND(R20&lt;&gt;"",R20&gt;IFERROR(INDEX(Settings!$C$5:$C$8,MATCH(G20,Settings!$A$5:$A$8,0)),1E+099)),"Triage Delay","Detected - SLA Breach"))))))</f>
        <v>Missed Alert</v>
      </c>
      <c r="W20" s="25" t="n">
        <f aca="false">IF(G20="","",IF(L20&lt;&gt;"",1,0))</f>
        <v>0</v>
      </c>
      <c r="X20" s="32"/>
      <c r="Y20" s="32"/>
      <c r="Z20" s="32"/>
      <c r="AA20" s="24"/>
      <c r="AB20" s="24"/>
      <c r="AC20" s="33" t="str">
        <f aca="false">IF(AND(G20&lt;&gt;"",L20&lt;&gt;"",X20&lt;&gt;""),(X20-L20)*1440,"")</f>
        <v/>
      </c>
      <c r="AD20" s="33" t="str">
        <f aca="false">IF(AND(G20&lt;&gt;"",X20&lt;&gt;"",Y20&lt;&gt;""),(Y20-X20)*1440,"")</f>
        <v/>
      </c>
      <c r="AE20" s="33" t="str">
        <f aca="false">IF(AND(G20&lt;&gt;"",Y20&lt;&gt;"",Z20&lt;&gt;""),(Z20-Y20)*1440,"")</f>
        <v/>
      </c>
      <c r="AF20" s="33" t="str">
        <f aca="false">IF(AND(G20&lt;&gt;"",L20&lt;&gt;"",Z20&lt;&gt;""),(Z20-L20)*1440,"")</f>
        <v/>
      </c>
      <c r="AG20" s="33" t="n">
        <f aca="false">IF(G20="","",IFERROR(INDEX(Settings!$D$5:$D$8,MATCH(G20,Settings!$A$5:$A$8,0)),""))</f>
        <v>240</v>
      </c>
      <c r="AH20" s="25" t="str">
        <f aca="false">IF(G20="","",IF(AF20="","No",IF(AF20&lt;=AG20,"Yes","No")))</f>
        <v>No</v>
      </c>
      <c r="AI20" s="25" t="str">
        <f aca="false">IF(G20="","",IF(L20="","N/A - Not Detected",IF(AND(X20="",Y20="",Z20=""),"No Containment Action",IF(Z20="",IF(Y20&lt;&gt;"","C2 Persisted","Host Isolation Gap"),IF(AF20&lt;=AG20,"Contained - Within SLA","Contained - SLA Breach")))))</f>
        <v>N/A - Not Detected</v>
      </c>
      <c r="AJ20" s="25" t="n">
        <f aca="false">IF(G20="","",IF(Z20&lt;&gt;"",1,0))</f>
        <v>0</v>
      </c>
      <c r="AK20" s="34" t="s">
        <v>234</v>
      </c>
      <c r="AL20" s="34" t="s">
        <v>305</v>
      </c>
      <c r="AM20" s="35" t="s">
        <v>236</v>
      </c>
      <c r="AN20" s="34" t="s">
        <v>237</v>
      </c>
      <c r="AO20" s="34" t="s">
        <v>238</v>
      </c>
      <c r="AP20" s="35" t="s">
        <v>239</v>
      </c>
      <c r="AQ20" s="34" t="s">
        <v>161</v>
      </c>
      <c r="AR20" s="34" t="s">
        <v>240</v>
      </c>
      <c r="AS20" s="34" t="s">
        <v>161</v>
      </c>
      <c r="AT20" s="35"/>
      <c r="AU20" s="35" t="s">
        <v>241</v>
      </c>
    </row>
    <row r="21" customFormat="false" ht="15" hidden="false" customHeight="false" outlineLevel="0" collapsed="false">
      <c r="A21" s="24"/>
      <c r="B21" s="24"/>
      <c r="C21" s="24"/>
      <c r="D21" s="24"/>
      <c r="E21" s="24"/>
      <c r="F21" s="24"/>
      <c r="G21" s="24"/>
      <c r="H21" s="24"/>
      <c r="I21" s="32"/>
      <c r="J21" s="32"/>
      <c r="K21" s="32"/>
      <c r="L21" s="32"/>
      <c r="M21" s="24"/>
      <c r="N21" s="24"/>
      <c r="O21" s="24"/>
      <c r="P21" s="33" t="str">
        <f aca="false">IF(AND(G21&lt;&gt;"",I21&lt;&gt;"",J21&lt;&gt;""),(J21-I21)*1440,"")</f>
        <v/>
      </c>
      <c r="Q21" s="33" t="str">
        <f aca="false">IF(AND(G21&lt;&gt;"",J21&lt;&gt;"",K21&lt;&gt;""),(K21-J21)*1440,"")</f>
        <v/>
      </c>
      <c r="R21" s="33" t="str">
        <f aca="false">IF(AND(G21&lt;&gt;"",K21&lt;&gt;"",L21&lt;&gt;""),(L21-K21)*1440,"")</f>
        <v/>
      </c>
      <c r="S21" s="33" t="str">
        <f aca="false">IF(AND(G21&lt;&gt;"",I21&lt;&gt;"",L21&lt;&gt;""),(L21-I21)*1440,"")</f>
        <v/>
      </c>
      <c r="T21" s="33" t="str">
        <f aca="false">IF(G21="","",IFERROR(INDEX(Settings!$B$5:$B$8,MATCH(G21,Settings!$A$5:$A$8,0)),""))</f>
        <v/>
      </c>
      <c r="U21" s="25" t="str">
        <f aca="false">IF(G21="","",IF(S21="","No",IF(S21&lt;=T21,"Yes","No")))</f>
        <v/>
      </c>
      <c r="V21" s="25" t="str">
        <f aca="false">IF(G21="","",IF(AND(J21="",K21="",L21=""),"Telemetry Blind Spot",IF(AND(K21="",L21=""),"Missed Alert",IF(L21="","Triage Delay",IF(S21&lt;=T21,"Detected - Within SLA",IF(AND(R21&lt;&gt;"",R21&gt;IFERROR(INDEX(Settings!$C$5:$C$8,MATCH(G21,Settings!$A$5:$A$8,0)),1E+099)),"Triage Delay","Detected - SLA Breach"))))))</f>
        <v/>
      </c>
      <c r="W21" s="25" t="str">
        <f aca="false">IF(G21="","",IF(L21&lt;&gt;"",1,0))</f>
        <v/>
      </c>
      <c r="X21" s="32"/>
      <c r="Y21" s="32"/>
      <c r="Z21" s="32"/>
      <c r="AA21" s="24"/>
      <c r="AB21" s="24"/>
      <c r="AC21" s="33" t="str">
        <f aca="false">IF(AND(G21&lt;&gt;"",L21&lt;&gt;"",X21&lt;&gt;""),(X21-L21)*1440,"")</f>
        <v/>
      </c>
      <c r="AD21" s="33" t="str">
        <f aca="false">IF(AND(G21&lt;&gt;"",X21&lt;&gt;"",Y21&lt;&gt;""),(Y21-X21)*1440,"")</f>
        <v/>
      </c>
      <c r="AE21" s="33" t="str">
        <f aca="false">IF(AND(G21&lt;&gt;"",Y21&lt;&gt;"",Z21&lt;&gt;""),(Z21-Y21)*1440,"")</f>
        <v/>
      </c>
      <c r="AF21" s="33" t="str">
        <f aca="false">IF(AND(G21&lt;&gt;"",L21&lt;&gt;"",Z21&lt;&gt;""),(Z21-L21)*1440,"")</f>
        <v/>
      </c>
      <c r="AG21" s="33" t="str">
        <f aca="false">IF(G21="","",IFERROR(INDEX(Settings!$D$5:$D$8,MATCH(G21,Settings!$A$5:$A$8,0)),""))</f>
        <v/>
      </c>
      <c r="AH21" s="25" t="str">
        <f aca="false">IF(G21="","",IF(AF21="","No",IF(AF21&lt;=AG21,"Yes","No")))</f>
        <v/>
      </c>
      <c r="AI21" s="25" t="str">
        <f aca="false">IF(G21="","",IF(L21="","N/A - Not Detected",IF(AND(X21="",Y21="",Z21=""),"No Containment Action",IF(Z21="",IF(Y21&lt;&gt;"","C2 Persisted","Host Isolation Gap"),IF(AF21&lt;=AG21,"Contained - Within SLA","Contained - SLA Breach")))))</f>
        <v/>
      </c>
      <c r="AJ21" s="25" t="str">
        <f aca="false">IF(G21="","",IF(Z21&lt;&gt;"",1,0))</f>
        <v/>
      </c>
      <c r="AK21" s="34"/>
      <c r="AL21" s="34"/>
      <c r="AM21" s="35"/>
      <c r="AN21" s="34"/>
      <c r="AO21" s="34"/>
      <c r="AP21" s="35"/>
      <c r="AQ21" s="34"/>
      <c r="AR21" s="34"/>
      <c r="AS21" s="34"/>
      <c r="AT21" s="35"/>
      <c r="AU21" s="35"/>
    </row>
    <row r="22" customFormat="false" ht="15" hidden="false" customHeight="false" outlineLevel="0" collapsed="false">
      <c r="A22" s="24"/>
      <c r="B22" s="24"/>
      <c r="C22" s="24"/>
      <c r="D22" s="24"/>
      <c r="E22" s="24"/>
      <c r="F22" s="24"/>
      <c r="G22" s="24"/>
      <c r="H22" s="24"/>
      <c r="I22" s="32"/>
      <c r="J22" s="32"/>
      <c r="K22" s="32"/>
      <c r="L22" s="32"/>
      <c r="M22" s="24"/>
      <c r="N22" s="24"/>
      <c r="O22" s="24"/>
      <c r="P22" s="33" t="str">
        <f aca="false">IF(AND(G22&lt;&gt;"",I22&lt;&gt;"",J22&lt;&gt;""),(J22-I22)*1440,"")</f>
        <v/>
      </c>
      <c r="Q22" s="33" t="str">
        <f aca="false">IF(AND(G22&lt;&gt;"",J22&lt;&gt;"",K22&lt;&gt;""),(K22-J22)*1440,"")</f>
        <v/>
      </c>
      <c r="R22" s="33" t="str">
        <f aca="false">IF(AND(G22&lt;&gt;"",K22&lt;&gt;"",L22&lt;&gt;""),(L22-K22)*1440,"")</f>
        <v/>
      </c>
      <c r="S22" s="33" t="str">
        <f aca="false">IF(AND(G22&lt;&gt;"",I22&lt;&gt;"",L22&lt;&gt;""),(L22-I22)*1440,"")</f>
        <v/>
      </c>
      <c r="T22" s="33" t="str">
        <f aca="false">IF(G22="","",IFERROR(INDEX(Settings!$B$5:$B$8,MATCH(G22,Settings!$A$5:$A$8,0)),""))</f>
        <v/>
      </c>
      <c r="U22" s="25" t="str">
        <f aca="false">IF(G22="","",IF(S22="","No",IF(S22&lt;=T22,"Yes","No")))</f>
        <v/>
      </c>
      <c r="V22" s="25" t="str">
        <f aca="false">IF(G22="","",IF(AND(J22="",K22="",L22=""),"Telemetry Blind Spot",IF(AND(K22="",L22=""),"Missed Alert",IF(L22="","Triage Delay",IF(S22&lt;=T22,"Detected - Within SLA",IF(AND(R22&lt;&gt;"",R22&gt;IFERROR(INDEX(Settings!$C$5:$C$8,MATCH(G22,Settings!$A$5:$A$8,0)),1E+099)),"Triage Delay","Detected - SLA Breach"))))))</f>
        <v/>
      </c>
      <c r="W22" s="25" t="str">
        <f aca="false">IF(G22="","",IF(L22&lt;&gt;"",1,0))</f>
        <v/>
      </c>
      <c r="X22" s="32"/>
      <c r="Y22" s="32"/>
      <c r="Z22" s="32"/>
      <c r="AA22" s="24"/>
      <c r="AB22" s="24"/>
      <c r="AC22" s="33" t="str">
        <f aca="false">IF(AND(G22&lt;&gt;"",L22&lt;&gt;"",X22&lt;&gt;""),(X22-L22)*1440,"")</f>
        <v/>
      </c>
      <c r="AD22" s="33" t="str">
        <f aca="false">IF(AND(G22&lt;&gt;"",X22&lt;&gt;"",Y22&lt;&gt;""),(Y22-X22)*1440,"")</f>
        <v/>
      </c>
      <c r="AE22" s="33" t="str">
        <f aca="false">IF(AND(G22&lt;&gt;"",Y22&lt;&gt;"",Z22&lt;&gt;""),(Z22-Y22)*1440,"")</f>
        <v/>
      </c>
      <c r="AF22" s="33" t="str">
        <f aca="false">IF(AND(G22&lt;&gt;"",L22&lt;&gt;"",Z22&lt;&gt;""),(Z22-L22)*1440,"")</f>
        <v/>
      </c>
      <c r="AG22" s="33" t="str">
        <f aca="false">IF(G22="","",IFERROR(INDEX(Settings!$D$5:$D$8,MATCH(G22,Settings!$A$5:$A$8,0)),""))</f>
        <v/>
      </c>
      <c r="AH22" s="25" t="str">
        <f aca="false">IF(G22="","",IF(AF22="","No",IF(AF22&lt;=AG22,"Yes","No")))</f>
        <v/>
      </c>
      <c r="AI22" s="25" t="str">
        <f aca="false">IF(G22="","",IF(L22="","N/A - Not Detected",IF(AND(X22="",Y22="",Z22=""),"No Containment Action",IF(Z22="",IF(Y22&lt;&gt;"","C2 Persisted","Host Isolation Gap"),IF(AF22&lt;=AG22,"Contained - Within SLA","Contained - SLA Breach")))))</f>
        <v/>
      </c>
      <c r="AJ22" s="25" t="str">
        <f aca="false">IF(G22="","",IF(Z22&lt;&gt;"",1,0))</f>
        <v/>
      </c>
      <c r="AK22" s="34"/>
      <c r="AL22" s="34"/>
      <c r="AM22" s="35"/>
      <c r="AN22" s="34"/>
      <c r="AO22" s="34"/>
      <c r="AP22" s="35"/>
      <c r="AQ22" s="34"/>
      <c r="AR22" s="34"/>
      <c r="AS22" s="34"/>
      <c r="AT22" s="35"/>
      <c r="AU22" s="35"/>
    </row>
    <row r="23" customFormat="false" ht="15" hidden="false" customHeight="false" outlineLevel="0" collapsed="false">
      <c r="A23" s="24"/>
      <c r="B23" s="24"/>
      <c r="C23" s="24"/>
      <c r="D23" s="24"/>
      <c r="E23" s="24"/>
      <c r="F23" s="24"/>
      <c r="G23" s="24"/>
      <c r="H23" s="24"/>
      <c r="I23" s="32"/>
      <c r="J23" s="32"/>
      <c r="K23" s="32"/>
      <c r="L23" s="32"/>
      <c r="M23" s="24"/>
      <c r="N23" s="24"/>
      <c r="O23" s="24"/>
      <c r="P23" s="33" t="str">
        <f aca="false">IF(AND(G23&lt;&gt;"",I23&lt;&gt;"",J23&lt;&gt;""),(J23-I23)*1440,"")</f>
        <v/>
      </c>
      <c r="Q23" s="33" t="str">
        <f aca="false">IF(AND(G23&lt;&gt;"",J23&lt;&gt;"",K23&lt;&gt;""),(K23-J23)*1440,"")</f>
        <v/>
      </c>
      <c r="R23" s="33" t="str">
        <f aca="false">IF(AND(G23&lt;&gt;"",K23&lt;&gt;"",L23&lt;&gt;""),(L23-K23)*1440,"")</f>
        <v/>
      </c>
      <c r="S23" s="33" t="str">
        <f aca="false">IF(AND(G23&lt;&gt;"",I23&lt;&gt;"",L23&lt;&gt;""),(L23-I23)*1440,"")</f>
        <v/>
      </c>
      <c r="T23" s="33" t="str">
        <f aca="false">IF(G23="","",IFERROR(INDEX(Settings!$B$5:$B$8,MATCH(G23,Settings!$A$5:$A$8,0)),""))</f>
        <v/>
      </c>
      <c r="U23" s="25" t="str">
        <f aca="false">IF(G23="","",IF(S23="","No",IF(S23&lt;=T23,"Yes","No")))</f>
        <v/>
      </c>
      <c r="V23" s="25" t="str">
        <f aca="false">IF(G23="","",IF(AND(J23="",K23="",L23=""),"Telemetry Blind Spot",IF(AND(K23="",L23=""),"Missed Alert",IF(L23="","Triage Delay",IF(S23&lt;=T23,"Detected - Within SLA",IF(AND(R23&lt;&gt;"",R23&gt;IFERROR(INDEX(Settings!$C$5:$C$8,MATCH(G23,Settings!$A$5:$A$8,0)),1E+099)),"Triage Delay","Detected - SLA Breach"))))))</f>
        <v/>
      </c>
      <c r="W23" s="25" t="str">
        <f aca="false">IF(G23="","",IF(L23&lt;&gt;"",1,0))</f>
        <v/>
      </c>
      <c r="X23" s="32"/>
      <c r="Y23" s="32"/>
      <c r="Z23" s="32"/>
      <c r="AA23" s="24"/>
      <c r="AB23" s="24"/>
      <c r="AC23" s="33" t="str">
        <f aca="false">IF(AND(G23&lt;&gt;"",L23&lt;&gt;"",X23&lt;&gt;""),(X23-L23)*1440,"")</f>
        <v/>
      </c>
      <c r="AD23" s="33" t="str">
        <f aca="false">IF(AND(G23&lt;&gt;"",X23&lt;&gt;"",Y23&lt;&gt;""),(Y23-X23)*1440,"")</f>
        <v/>
      </c>
      <c r="AE23" s="33" t="str">
        <f aca="false">IF(AND(G23&lt;&gt;"",Y23&lt;&gt;"",Z23&lt;&gt;""),(Z23-Y23)*1440,"")</f>
        <v/>
      </c>
      <c r="AF23" s="33" t="str">
        <f aca="false">IF(AND(G23&lt;&gt;"",L23&lt;&gt;"",Z23&lt;&gt;""),(Z23-L23)*1440,"")</f>
        <v/>
      </c>
      <c r="AG23" s="33" t="str">
        <f aca="false">IF(G23="","",IFERROR(INDEX(Settings!$D$5:$D$8,MATCH(G23,Settings!$A$5:$A$8,0)),""))</f>
        <v/>
      </c>
      <c r="AH23" s="25" t="str">
        <f aca="false">IF(G23="","",IF(AF23="","No",IF(AF23&lt;=AG23,"Yes","No")))</f>
        <v/>
      </c>
      <c r="AI23" s="25" t="str">
        <f aca="false">IF(G23="","",IF(L23="","N/A - Not Detected",IF(AND(X23="",Y23="",Z23=""),"No Containment Action",IF(Z23="",IF(Y23&lt;&gt;"","C2 Persisted","Host Isolation Gap"),IF(AF23&lt;=AG23,"Contained - Within SLA","Contained - SLA Breach")))))</f>
        <v/>
      </c>
      <c r="AJ23" s="25" t="str">
        <f aca="false">IF(G23="","",IF(Z23&lt;&gt;"",1,0))</f>
        <v/>
      </c>
      <c r="AK23" s="34"/>
      <c r="AL23" s="34"/>
      <c r="AM23" s="35"/>
      <c r="AN23" s="34"/>
      <c r="AO23" s="34"/>
      <c r="AP23" s="35"/>
      <c r="AQ23" s="34"/>
      <c r="AR23" s="34"/>
      <c r="AS23" s="34"/>
      <c r="AT23" s="35"/>
      <c r="AU23" s="35"/>
    </row>
    <row r="24" customFormat="false" ht="15" hidden="false" customHeight="false" outlineLevel="0" collapsed="false">
      <c r="A24" s="24"/>
      <c r="B24" s="24"/>
      <c r="C24" s="24"/>
      <c r="D24" s="24"/>
      <c r="E24" s="24"/>
      <c r="F24" s="24"/>
      <c r="G24" s="24"/>
      <c r="H24" s="24"/>
      <c r="I24" s="32"/>
      <c r="J24" s="32"/>
      <c r="K24" s="32"/>
      <c r="L24" s="32"/>
      <c r="M24" s="24"/>
      <c r="N24" s="24"/>
      <c r="O24" s="24"/>
      <c r="P24" s="33" t="str">
        <f aca="false">IF(AND(G24&lt;&gt;"",I24&lt;&gt;"",J24&lt;&gt;""),(J24-I24)*1440,"")</f>
        <v/>
      </c>
      <c r="Q24" s="33" t="str">
        <f aca="false">IF(AND(G24&lt;&gt;"",J24&lt;&gt;"",K24&lt;&gt;""),(K24-J24)*1440,"")</f>
        <v/>
      </c>
      <c r="R24" s="33" t="str">
        <f aca="false">IF(AND(G24&lt;&gt;"",K24&lt;&gt;"",L24&lt;&gt;""),(L24-K24)*1440,"")</f>
        <v/>
      </c>
      <c r="S24" s="33" t="str">
        <f aca="false">IF(AND(G24&lt;&gt;"",I24&lt;&gt;"",L24&lt;&gt;""),(L24-I24)*1440,"")</f>
        <v/>
      </c>
      <c r="T24" s="33" t="str">
        <f aca="false">IF(G24="","",IFERROR(INDEX(Settings!$B$5:$B$8,MATCH(G24,Settings!$A$5:$A$8,0)),""))</f>
        <v/>
      </c>
      <c r="U24" s="25" t="str">
        <f aca="false">IF(G24="","",IF(S24="","No",IF(S24&lt;=T24,"Yes","No")))</f>
        <v/>
      </c>
      <c r="V24" s="25" t="str">
        <f aca="false">IF(G24="","",IF(AND(J24="",K24="",L24=""),"Telemetry Blind Spot",IF(AND(K24="",L24=""),"Missed Alert",IF(L24="","Triage Delay",IF(S24&lt;=T24,"Detected - Within SLA",IF(AND(R24&lt;&gt;"",R24&gt;IFERROR(INDEX(Settings!$C$5:$C$8,MATCH(G24,Settings!$A$5:$A$8,0)),1E+099)),"Triage Delay","Detected - SLA Breach"))))))</f>
        <v/>
      </c>
      <c r="W24" s="25" t="str">
        <f aca="false">IF(G24="","",IF(L24&lt;&gt;"",1,0))</f>
        <v/>
      </c>
      <c r="X24" s="32"/>
      <c r="Y24" s="32"/>
      <c r="Z24" s="32"/>
      <c r="AA24" s="24"/>
      <c r="AB24" s="24"/>
      <c r="AC24" s="33" t="str">
        <f aca="false">IF(AND(G24&lt;&gt;"",L24&lt;&gt;"",X24&lt;&gt;""),(X24-L24)*1440,"")</f>
        <v/>
      </c>
      <c r="AD24" s="33" t="str">
        <f aca="false">IF(AND(G24&lt;&gt;"",X24&lt;&gt;"",Y24&lt;&gt;""),(Y24-X24)*1440,"")</f>
        <v/>
      </c>
      <c r="AE24" s="33" t="str">
        <f aca="false">IF(AND(G24&lt;&gt;"",Y24&lt;&gt;"",Z24&lt;&gt;""),(Z24-Y24)*1440,"")</f>
        <v/>
      </c>
      <c r="AF24" s="33" t="str">
        <f aca="false">IF(AND(G24&lt;&gt;"",L24&lt;&gt;"",Z24&lt;&gt;""),(Z24-L24)*1440,"")</f>
        <v/>
      </c>
      <c r="AG24" s="33" t="str">
        <f aca="false">IF(G24="","",IFERROR(INDEX(Settings!$D$5:$D$8,MATCH(G24,Settings!$A$5:$A$8,0)),""))</f>
        <v/>
      </c>
      <c r="AH24" s="25" t="str">
        <f aca="false">IF(G24="","",IF(AF24="","No",IF(AF24&lt;=AG24,"Yes","No")))</f>
        <v/>
      </c>
      <c r="AI24" s="25" t="str">
        <f aca="false">IF(G24="","",IF(L24="","N/A - Not Detected",IF(AND(X24="",Y24="",Z24=""),"No Containment Action",IF(Z24="",IF(Y24&lt;&gt;"","C2 Persisted","Host Isolation Gap"),IF(AF24&lt;=AG24,"Contained - Within SLA","Contained - SLA Breach")))))</f>
        <v/>
      </c>
      <c r="AJ24" s="25" t="str">
        <f aca="false">IF(G24="","",IF(Z24&lt;&gt;"",1,0))</f>
        <v/>
      </c>
      <c r="AK24" s="34"/>
      <c r="AL24" s="34"/>
      <c r="AM24" s="35"/>
      <c r="AN24" s="34"/>
      <c r="AO24" s="34"/>
      <c r="AP24" s="35"/>
      <c r="AQ24" s="34"/>
      <c r="AR24" s="34"/>
      <c r="AS24" s="34"/>
      <c r="AT24" s="35"/>
      <c r="AU24" s="35"/>
    </row>
    <row r="25" customFormat="false" ht="15" hidden="false" customHeight="false" outlineLevel="0" collapsed="false">
      <c r="A25" s="24"/>
      <c r="B25" s="24"/>
      <c r="C25" s="24"/>
      <c r="D25" s="24"/>
      <c r="E25" s="24"/>
      <c r="F25" s="24"/>
      <c r="G25" s="24"/>
      <c r="H25" s="24"/>
      <c r="I25" s="32"/>
      <c r="J25" s="32"/>
      <c r="K25" s="32"/>
      <c r="L25" s="32"/>
      <c r="M25" s="24"/>
      <c r="N25" s="24"/>
      <c r="O25" s="24"/>
      <c r="P25" s="33" t="str">
        <f aca="false">IF(AND(G25&lt;&gt;"",I25&lt;&gt;"",J25&lt;&gt;""),(J25-I25)*1440,"")</f>
        <v/>
      </c>
      <c r="Q25" s="33" t="str">
        <f aca="false">IF(AND(G25&lt;&gt;"",J25&lt;&gt;"",K25&lt;&gt;""),(K25-J25)*1440,"")</f>
        <v/>
      </c>
      <c r="R25" s="33" t="str">
        <f aca="false">IF(AND(G25&lt;&gt;"",K25&lt;&gt;"",L25&lt;&gt;""),(L25-K25)*1440,"")</f>
        <v/>
      </c>
      <c r="S25" s="33" t="str">
        <f aca="false">IF(AND(G25&lt;&gt;"",I25&lt;&gt;"",L25&lt;&gt;""),(L25-I25)*1440,"")</f>
        <v/>
      </c>
      <c r="T25" s="33" t="str">
        <f aca="false">IF(G25="","",IFERROR(INDEX(Settings!$B$5:$B$8,MATCH(G25,Settings!$A$5:$A$8,0)),""))</f>
        <v/>
      </c>
      <c r="U25" s="25" t="str">
        <f aca="false">IF(G25="","",IF(S25="","No",IF(S25&lt;=T25,"Yes","No")))</f>
        <v/>
      </c>
      <c r="V25" s="25" t="str">
        <f aca="false">IF(G25="","",IF(AND(J25="",K25="",L25=""),"Telemetry Blind Spot",IF(AND(K25="",L25=""),"Missed Alert",IF(L25="","Triage Delay",IF(S25&lt;=T25,"Detected - Within SLA",IF(AND(R25&lt;&gt;"",R25&gt;IFERROR(INDEX(Settings!$C$5:$C$8,MATCH(G25,Settings!$A$5:$A$8,0)),1E+099)),"Triage Delay","Detected - SLA Breach"))))))</f>
        <v/>
      </c>
      <c r="W25" s="25" t="str">
        <f aca="false">IF(G25="","",IF(L25&lt;&gt;"",1,0))</f>
        <v/>
      </c>
      <c r="X25" s="32"/>
      <c r="Y25" s="32"/>
      <c r="Z25" s="32"/>
      <c r="AA25" s="24"/>
      <c r="AB25" s="24"/>
      <c r="AC25" s="33" t="str">
        <f aca="false">IF(AND(G25&lt;&gt;"",L25&lt;&gt;"",X25&lt;&gt;""),(X25-L25)*1440,"")</f>
        <v/>
      </c>
      <c r="AD25" s="33" t="str">
        <f aca="false">IF(AND(G25&lt;&gt;"",X25&lt;&gt;"",Y25&lt;&gt;""),(Y25-X25)*1440,"")</f>
        <v/>
      </c>
      <c r="AE25" s="33" t="str">
        <f aca="false">IF(AND(G25&lt;&gt;"",Y25&lt;&gt;"",Z25&lt;&gt;""),(Z25-Y25)*1440,"")</f>
        <v/>
      </c>
      <c r="AF25" s="33" t="str">
        <f aca="false">IF(AND(G25&lt;&gt;"",L25&lt;&gt;"",Z25&lt;&gt;""),(Z25-L25)*1440,"")</f>
        <v/>
      </c>
      <c r="AG25" s="33" t="str">
        <f aca="false">IF(G25="","",IFERROR(INDEX(Settings!$D$5:$D$8,MATCH(G25,Settings!$A$5:$A$8,0)),""))</f>
        <v/>
      </c>
      <c r="AH25" s="25" t="str">
        <f aca="false">IF(G25="","",IF(AF25="","No",IF(AF25&lt;=AG25,"Yes","No")))</f>
        <v/>
      </c>
      <c r="AI25" s="25" t="str">
        <f aca="false">IF(G25="","",IF(L25="","N/A - Not Detected",IF(AND(X25="",Y25="",Z25=""),"No Containment Action",IF(Z25="",IF(Y25&lt;&gt;"","C2 Persisted","Host Isolation Gap"),IF(AF25&lt;=AG25,"Contained - Within SLA","Contained - SLA Breach")))))</f>
        <v/>
      </c>
      <c r="AJ25" s="25" t="str">
        <f aca="false">IF(G25="","",IF(Z25&lt;&gt;"",1,0))</f>
        <v/>
      </c>
      <c r="AK25" s="34"/>
      <c r="AL25" s="34"/>
      <c r="AM25" s="35"/>
      <c r="AN25" s="34"/>
      <c r="AO25" s="34"/>
      <c r="AP25" s="35"/>
      <c r="AQ25" s="34"/>
      <c r="AR25" s="34"/>
      <c r="AS25" s="34"/>
      <c r="AT25" s="35"/>
      <c r="AU25" s="35"/>
    </row>
    <row r="26" customFormat="false" ht="15" hidden="false" customHeight="false" outlineLevel="0" collapsed="false">
      <c r="A26" s="24"/>
      <c r="B26" s="24"/>
      <c r="C26" s="24"/>
      <c r="D26" s="24"/>
      <c r="E26" s="24"/>
      <c r="F26" s="24"/>
      <c r="G26" s="24"/>
      <c r="H26" s="24"/>
      <c r="I26" s="32"/>
      <c r="J26" s="32"/>
      <c r="K26" s="32"/>
      <c r="L26" s="32"/>
      <c r="M26" s="24"/>
      <c r="N26" s="24"/>
      <c r="O26" s="24"/>
      <c r="P26" s="33" t="str">
        <f aca="false">IF(AND(G26&lt;&gt;"",I26&lt;&gt;"",J26&lt;&gt;""),(J26-I26)*1440,"")</f>
        <v/>
      </c>
      <c r="Q26" s="33" t="str">
        <f aca="false">IF(AND(G26&lt;&gt;"",J26&lt;&gt;"",K26&lt;&gt;""),(K26-J26)*1440,"")</f>
        <v/>
      </c>
      <c r="R26" s="33" t="str">
        <f aca="false">IF(AND(G26&lt;&gt;"",K26&lt;&gt;"",L26&lt;&gt;""),(L26-K26)*1440,"")</f>
        <v/>
      </c>
      <c r="S26" s="33" t="str">
        <f aca="false">IF(AND(G26&lt;&gt;"",I26&lt;&gt;"",L26&lt;&gt;""),(L26-I26)*1440,"")</f>
        <v/>
      </c>
      <c r="T26" s="33" t="str">
        <f aca="false">IF(G26="","",IFERROR(INDEX(Settings!$B$5:$B$8,MATCH(G26,Settings!$A$5:$A$8,0)),""))</f>
        <v/>
      </c>
      <c r="U26" s="25" t="str">
        <f aca="false">IF(G26="","",IF(S26="","No",IF(S26&lt;=T26,"Yes","No")))</f>
        <v/>
      </c>
      <c r="V26" s="25" t="str">
        <f aca="false">IF(G26="","",IF(AND(J26="",K26="",L26=""),"Telemetry Blind Spot",IF(AND(K26="",L26=""),"Missed Alert",IF(L26="","Triage Delay",IF(S26&lt;=T26,"Detected - Within SLA",IF(AND(R26&lt;&gt;"",R26&gt;IFERROR(INDEX(Settings!$C$5:$C$8,MATCH(G26,Settings!$A$5:$A$8,0)),1E+099)),"Triage Delay","Detected - SLA Breach"))))))</f>
        <v/>
      </c>
      <c r="W26" s="25" t="str">
        <f aca="false">IF(G26="","",IF(L26&lt;&gt;"",1,0))</f>
        <v/>
      </c>
      <c r="X26" s="32"/>
      <c r="Y26" s="32"/>
      <c r="Z26" s="32"/>
      <c r="AA26" s="24"/>
      <c r="AB26" s="24"/>
      <c r="AC26" s="33" t="str">
        <f aca="false">IF(AND(G26&lt;&gt;"",L26&lt;&gt;"",X26&lt;&gt;""),(X26-L26)*1440,"")</f>
        <v/>
      </c>
      <c r="AD26" s="33" t="str">
        <f aca="false">IF(AND(G26&lt;&gt;"",X26&lt;&gt;"",Y26&lt;&gt;""),(Y26-X26)*1440,"")</f>
        <v/>
      </c>
      <c r="AE26" s="33" t="str">
        <f aca="false">IF(AND(G26&lt;&gt;"",Y26&lt;&gt;"",Z26&lt;&gt;""),(Z26-Y26)*1440,"")</f>
        <v/>
      </c>
      <c r="AF26" s="33" t="str">
        <f aca="false">IF(AND(G26&lt;&gt;"",L26&lt;&gt;"",Z26&lt;&gt;""),(Z26-L26)*1440,"")</f>
        <v/>
      </c>
      <c r="AG26" s="33" t="str">
        <f aca="false">IF(G26="","",IFERROR(INDEX(Settings!$D$5:$D$8,MATCH(G26,Settings!$A$5:$A$8,0)),""))</f>
        <v/>
      </c>
      <c r="AH26" s="25" t="str">
        <f aca="false">IF(G26="","",IF(AF26="","No",IF(AF26&lt;=AG26,"Yes","No")))</f>
        <v/>
      </c>
      <c r="AI26" s="25" t="str">
        <f aca="false">IF(G26="","",IF(L26="","N/A - Not Detected",IF(AND(X26="",Y26="",Z26=""),"No Containment Action",IF(Z26="",IF(Y26&lt;&gt;"","C2 Persisted","Host Isolation Gap"),IF(AF26&lt;=AG26,"Contained - Within SLA","Contained - SLA Breach")))))</f>
        <v/>
      </c>
      <c r="AJ26" s="25" t="str">
        <f aca="false">IF(G26="","",IF(Z26&lt;&gt;"",1,0))</f>
        <v/>
      </c>
      <c r="AK26" s="34"/>
      <c r="AL26" s="34"/>
      <c r="AM26" s="35"/>
      <c r="AN26" s="34"/>
      <c r="AO26" s="34"/>
      <c r="AP26" s="35"/>
      <c r="AQ26" s="34"/>
      <c r="AR26" s="34"/>
      <c r="AS26" s="34"/>
      <c r="AT26" s="35"/>
      <c r="AU26" s="35"/>
    </row>
    <row r="27" customFormat="false" ht="15" hidden="false" customHeight="false" outlineLevel="0" collapsed="false">
      <c r="A27" s="24"/>
      <c r="B27" s="24"/>
      <c r="C27" s="24"/>
      <c r="D27" s="24"/>
      <c r="E27" s="24"/>
      <c r="F27" s="24"/>
      <c r="G27" s="24"/>
      <c r="H27" s="24"/>
      <c r="I27" s="32"/>
      <c r="J27" s="32"/>
      <c r="K27" s="32"/>
      <c r="L27" s="32"/>
      <c r="M27" s="24"/>
      <c r="N27" s="24"/>
      <c r="O27" s="24"/>
      <c r="P27" s="33" t="str">
        <f aca="false">IF(AND(G27&lt;&gt;"",I27&lt;&gt;"",J27&lt;&gt;""),(J27-I27)*1440,"")</f>
        <v/>
      </c>
      <c r="Q27" s="33" t="str">
        <f aca="false">IF(AND(G27&lt;&gt;"",J27&lt;&gt;"",K27&lt;&gt;""),(K27-J27)*1440,"")</f>
        <v/>
      </c>
      <c r="R27" s="33" t="str">
        <f aca="false">IF(AND(G27&lt;&gt;"",K27&lt;&gt;"",L27&lt;&gt;""),(L27-K27)*1440,"")</f>
        <v/>
      </c>
      <c r="S27" s="33" t="str">
        <f aca="false">IF(AND(G27&lt;&gt;"",I27&lt;&gt;"",L27&lt;&gt;""),(L27-I27)*1440,"")</f>
        <v/>
      </c>
      <c r="T27" s="33" t="str">
        <f aca="false">IF(G27="","",IFERROR(INDEX(Settings!$B$5:$B$8,MATCH(G27,Settings!$A$5:$A$8,0)),""))</f>
        <v/>
      </c>
      <c r="U27" s="25" t="str">
        <f aca="false">IF(G27="","",IF(S27="","No",IF(S27&lt;=T27,"Yes","No")))</f>
        <v/>
      </c>
      <c r="V27" s="25" t="str">
        <f aca="false">IF(G27="","",IF(AND(J27="",K27="",L27=""),"Telemetry Blind Spot",IF(AND(K27="",L27=""),"Missed Alert",IF(L27="","Triage Delay",IF(S27&lt;=T27,"Detected - Within SLA",IF(AND(R27&lt;&gt;"",R27&gt;IFERROR(INDEX(Settings!$C$5:$C$8,MATCH(G27,Settings!$A$5:$A$8,0)),1E+099)),"Triage Delay","Detected - SLA Breach"))))))</f>
        <v/>
      </c>
      <c r="W27" s="25" t="str">
        <f aca="false">IF(G27="","",IF(L27&lt;&gt;"",1,0))</f>
        <v/>
      </c>
      <c r="X27" s="32"/>
      <c r="Y27" s="32"/>
      <c r="Z27" s="32"/>
      <c r="AA27" s="24"/>
      <c r="AB27" s="24"/>
      <c r="AC27" s="33" t="str">
        <f aca="false">IF(AND(G27&lt;&gt;"",L27&lt;&gt;"",X27&lt;&gt;""),(X27-L27)*1440,"")</f>
        <v/>
      </c>
      <c r="AD27" s="33" t="str">
        <f aca="false">IF(AND(G27&lt;&gt;"",X27&lt;&gt;"",Y27&lt;&gt;""),(Y27-X27)*1440,"")</f>
        <v/>
      </c>
      <c r="AE27" s="33" t="str">
        <f aca="false">IF(AND(G27&lt;&gt;"",Y27&lt;&gt;"",Z27&lt;&gt;""),(Z27-Y27)*1440,"")</f>
        <v/>
      </c>
      <c r="AF27" s="33" t="str">
        <f aca="false">IF(AND(G27&lt;&gt;"",L27&lt;&gt;"",Z27&lt;&gt;""),(Z27-L27)*1440,"")</f>
        <v/>
      </c>
      <c r="AG27" s="33" t="str">
        <f aca="false">IF(G27="","",IFERROR(INDEX(Settings!$D$5:$D$8,MATCH(G27,Settings!$A$5:$A$8,0)),""))</f>
        <v/>
      </c>
      <c r="AH27" s="25" t="str">
        <f aca="false">IF(G27="","",IF(AF27="","No",IF(AF27&lt;=AG27,"Yes","No")))</f>
        <v/>
      </c>
      <c r="AI27" s="25" t="str">
        <f aca="false">IF(G27="","",IF(L27="","N/A - Not Detected",IF(AND(X27="",Y27="",Z27=""),"No Containment Action",IF(Z27="",IF(Y27&lt;&gt;"","C2 Persisted","Host Isolation Gap"),IF(AF27&lt;=AG27,"Contained - Within SLA","Contained - SLA Breach")))))</f>
        <v/>
      </c>
      <c r="AJ27" s="25" t="str">
        <f aca="false">IF(G27="","",IF(Z27&lt;&gt;"",1,0))</f>
        <v/>
      </c>
      <c r="AK27" s="34"/>
      <c r="AL27" s="34"/>
      <c r="AM27" s="35"/>
      <c r="AN27" s="34"/>
      <c r="AO27" s="34"/>
      <c r="AP27" s="35"/>
      <c r="AQ27" s="34"/>
      <c r="AR27" s="34"/>
      <c r="AS27" s="34"/>
      <c r="AT27" s="35"/>
      <c r="AU27" s="35"/>
    </row>
    <row r="28" customFormat="false" ht="15" hidden="false" customHeight="false" outlineLevel="0" collapsed="false">
      <c r="A28" s="24"/>
      <c r="B28" s="24"/>
      <c r="C28" s="24"/>
      <c r="D28" s="24"/>
      <c r="E28" s="24"/>
      <c r="F28" s="24"/>
      <c r="G28" s="24"/>
      <c r="H28" s="24"/>
      <c r="I28" s="32"/>
      <c r="J28" s="32"/>
      <c r="K28" s="32"/>
      <c r="L28" s="32"/>
      <c r="M28" s="24"/>
      <c r="N28" s="24"/>
      <c r="O28" s="24"/>
      <c r="P28" s="33" t="str">
        <f aca="false">IF(AND(G28&lt;&gt;"",I28&lt;&gt;"",J28&lt;&gt;""),(J28-I28)*1440,"")</f>
        <v/>
      </c>
      <c r="Q28" s="33" t="str">
        <f aca="false">IF(AND(G28&lt;&gt;"",J28&lt;&gt;"",K28&lt;&gt;""),(K28-J28)*1440,"")</f>
        <v/>
      </c>
      <c r="R28" s="33" t="str">
        <f aca="false">IF(AND(G28&lt;&gt;"",K28&lt;&gt;"",L28&lt;&gt;""),(L28-K28)*1440,"")</f>
        <v/>
      </c>
      <c r="S28" s="33" t="str">
        <f aca="false">IF(AND(G28&lt;&gt;"",I28&lt;&gt;"",L28&lt;&gt;""),(L28-I28)*1440,"")</f>
        <v/>
      </c>
      <c r="T28" s="33" t="str">
        <f aca="false">IF(G28="","",IFERROR(INDEX(Settings!$B$5:$B$8,MATCH(G28,Settings!$A$5:$A$8,0)),""))</f>
        <v/>
      </c>
      <c r="U28" s="25" t="str">
        <f aca="false">IF(G28="","",IF(S28="","No",IF(S28&lt;=T28,"Yes","No")))</f>
        <v/>
      </c>
      <c r="V28" s="25" t="str">
        <f aca="false">IF(G28="","",IF(AND(J28="",K28="",L28=""),"Telemetry Blind Spot",IF(AND(K28="",L28=""),"Missed Alert",IF(L28="","Triage Delay",IF(S28&lt;=T28,"Detected - Within SLA",IF(AND(R28&lt;&gt;"",R28&gt;IFERROR(INDEX(Settings!$C$5:$C$8,MATCH(G28,Settings!$A$5:$A$8,0)),1E+099)),"Triage Delay","Detected - SLA Breach"))))))</f>
        <v/>
      </c>
      <c r="W28" s="25" t="str">
        <f aca="false">IF(G28="","",IF(L28&lt;&gt;"",1,0))</f>
        <v/>
      </c>
      <c r="X28" s="32"/>
      <c r="Y28" s="32"/>
      <c r="Z28" s="32"/>
      <c r="AA28" s="24"/>
      <c r="AB28" s="24"/>
      <c r="AC28" s="33" t="str">
        <f aca="false">IF(AND(G28&lt;&gt;"",L28&lt;&gt;"",X28&lt;&gt;""),(X28-L28)*1440,"")</f>
        <v/>
      </c>
      <c r="AD28" s="33" t="str">
        <f aca="false">IF(AND(G28&lt;&gt;"",X28&lt;&gt;"",Y28&lt;&gt;""),(Y28-X28)*1440,"")</f>
        <v/>
      </c>
      <c r="AE28" s="33" t="str">
        <f aca="false">IF(AND(G28&lt;&gt;"",Y28&lt;&gt;"",Z28&lt;&gt;""),(Z28-Y28)*1440,"")</f>
        <v/>
      </c>
      <c r="AF28" s="33" t="str">
        <f aca="false">IF(AND(G28&lt;&gt;"",L28&lt;&gt;"",Z28&lt;&gt;""),(Z28-L28)*1440,"")</f>
        <v/>
      </c>
      <c r="AG28" s="33" t="str">
        <f aca="false">IF(G28="","",IFERROR(INDEX(Settings!$D$5:$D$8,MATCH(G28,Settings!$A$5:$A$8,0)),""))</f>
        <v/>
      </c>
      <c r="AH28" s="25" t="str">
        <f aca="false">IF(G28="","",IF(AF28="","No",IF(AF28&lt;=AG28,"Yes","No")))</f>
        <v/>
      </c>
      <c r="AI28" s="25" t="str">
        <f aca="false">IF(G28="","",IF(L28="","N/A - Not Detected",IF(AND(X28="",Y28="",Z28=""),"No Containment Action",IF(Z28="",IF(Y28&lt;&gt;"","C2 Persisted","Host Isolation Gap"),IF(AF28&lt;=AG28,"Contained - Within SLA","Contained - SLA Breach")))))</f>
        <v/>
      </c>
      <c r="AJ28" s="25" t="str">
        <f aca="false">IF(G28="","",IF(Z28&lt;&gt;"",1,0))</f>
        <v/>
      </c>
      <c r="AK28" s="34"/>
      <c r="AL28" s="34"/>
      <c r="AM28" s="35"/>
      <c r="AN28" s="34"/>
      <c r="AO28" s="34"/>
      <c r="AP28" s="35"/>
      <c r="AQ28" s="34"/>
      <c r="AR28" s="34"/>
      <c r="AS28" s="34"/>
      <c r="AT28" s="35"/>
      <c r="AU28" s="35"/>
    </row>
    <row r="29" customFormat="false" ht="15" hidden="false" customHeight="false" outlineLevel="0" collapsed="false">
      <c r="A29" s="24"/>
      <c r="B29" s="24"/>
      <c r="C29" s="24"/>
      <c r="D29" s="24"/>
      <c r="E29" s="24"/>
      <c r="F29" s="24"/>
      <c r="G29" s="24"/>
      <c r="H29" s="24"/>
      <c r="I29" s="32"/>
      <c r="J29" s="32"/>
      <c r="K29" s="32"/>
      <c r="L29" s="32"/>
      <c r="M29" s="24"/>
      <c r="N29" s="24"/>
      <c r="O29" s="24"/>
      <c r="P29" s="33" t="str">
        <f aca="false">IF(AND(G29&lt;&gt;"",I29&lt;&gt;"",J29&lt;&gt;""),(J29-I29)*1440,"")</f>
        <v/>
      </c>
      <c r="Q29" s="33" t="str">
        <f aca="false">IF(AND(G29&lt;&gt;"",J29&lt;&gt;"",K29&lt;&gt;""),(K29-J29)*1440,"")</f>
        <v/>
      </c>
      <c r="R29" s="33" t="str">
        <f aca="false">IF(AND(G29&lt;&gt;"",K29&lt;&gt;"",L29&lt;&gt;""),(L29-K29)*1440,"")</f>
        <v/>
      </c>
      <c r="S29" s="33" t="str">
        <f aca="false">IF(AND(G29&lt;&gt;"",I29&lt;&gt;"",L29&lt;&gt;""),(L29-I29)*1440,"")</f>
        <v/>
      </c>
      <c r="T29" s="33" t="str">
        <f aca="false">IF(G29="","",IFERROR(INDEX(Settings!$B$5:$B$8,MATCH(G29,Settings!$A$5:$A$8,0)),""))</f>
        <v/>
      </c>
      <c r="U29" s="25" t="str">
        <f aca="false">IF(G29="","",IF(S29="","No",IF(S29&lt;=T29,"Yes","No")))</f>
        <v/>
      </c>
      <c r="V29" s="25" t="str">
        <f aca="false">IF(G29="","",IF(AND(J29="",K29="",L29=""),"Telemetry Blind Spot",IF(AND(K29="",L29=""),"Missed Alert",IF(L29="","Triage Delay",IF(S29&lt;=T29,"Detected - Within SLA",IF(AND(R29&lt;&gt;"",R29&gt;IFERROR(INDEX(Settings!$C$5:$C$8,MATCH(G29,Settings!$A$5:$A$8,0)),1E+099)),"Triage Delay","Detected - SLA Breach"))))))</f>
        <v/>
      </c>
      <c r="W29" s="25" t="str">
        <f aca="false">IF(G29="","",IF(L29&lt;&gt;"",1,0))</f>
        <v/>
      </c>
      <c r="X29" s="32"/>
      <c r="Y29" s="32"/>
      <c r="Z29" s="32"/>
      <c r="AA29" s="24"/>
      <c r="AB29" s="24"/>
      <c r="AC29" s="33" t="str">
        <f aca="false">IF(AND(G29&lt;&gt;"",L29&lt;&gt;"",X29&lt;&gt;""),(X29-L29)*1440,"")</f>
        <v/>
      </c>
      <c r="AD29" s="33" t="str">
        <f aca="false">IF(AND(G29&lt;&gt;"",X29&lt;&gt;"",Y29&lt;&gt;""),(Y29-X29)*1440,"")</f>
        <v/>
      </c>
      <c r="AE29" s="33" t="str">
        <f aca="false">IF(AND(G29&lt;&gt;"",Y29&lt;&gt;"",Z29&lt;&gt;""),(Z29-Y29)*1440,"")</f>
        <v/>
      </c>
      <c r="AF29" s="33" t="str">
        <f aca="false">IF(AND(G29&lt;&gt;"",L29&lt;&gt;"",Z29&lt;&gt;""),(Z29-L29)*1440,"")</f>
        <v/>
      </c>
      <c r="AG29" s="33" t="str">
        <f aca="false">IF(G29="","",IFERROR(INDEX(Settings!$D$5:$D$8,MATCH(G29,Settings!$A$5:$A$8,0)),""))</f>
        <v/>
      </c>
      <c r="AH29" s="25" t="str">
        <f aca="false">IF(G29="","",IF(AF29="","No",IF(AF29&lt;=AG29,"Yes","No")))</f>
        <v/>
      </c>
      <c r="AI29" s="25" t="str">
        <f aca="false">IF(G29="","",IF(L29="","N/A - Not Detected",IF(AND(X29="",Y29="",Z29=""),"No Containment Action",IF(Z29="",IF(Y29&lt;&gt;"","C2 Persisted","Host Isolation Gap"),IF(AF29&lt;=AG29,"Contained - Within SLA","Contained - SLA Breach")))))</f>
        <v/>
      </c>
      <c r="AJ29" s="25" t="str">
        <f aca="false">IF(G29="","",IF(Z29&lt;&gt;"",1,0))</f>
        <v/>
      </c>
      <c r="AK29" s="34"/>
      <c r="AL29" s="34"/>
      <c r="AM29" s="35"/>
      <c r="AN29" s="34"/>
      <c r="AO29" s="34"/>
      <c r="AP29" s="35"/>
      <c r="AQ29" s="34"/>
      <c r="AR29" s="34"/>
      <c r="AS29" s="34"/>
      <c r="AT29" s="35"/>
      <c r="AU29" s="35"/>
    </row>
    <row r="30" customFormat="false" ht="15" hidden="false" customHeight="false" outlineLevel="0" collapsed="false">
      <c r="A30" s="24"/>
      <c r="B30" s="24"/>
      <c r="C30" s="24"/>
      <c r="D30" s="24"/>
      <c r="E30" s="24"/>
      <c r="F30" s="24"/>
      <c r="G30" s="24"/>
      <c r="H30" s="24"/>
      <c r="I30" s="32"/>
      <c r="J30" s="32"/>
      <c r="K30" s="32"/>
      <c r="L30" s="32"/>
      <c r="M30" s="24"/>
      <c r="N30" s="24"/>
      <c r="O30" s="24"/>
      <c r="P30" s="33" t="str">
        <f aca="false">IF(AND(G30&lt;&gt;"",I30&lt;&gt;"",J30&lt;&gt;""),(J30-I30)*1440,"")</f>
        <v/>
      </c>
      <c r="Q30" s="33" t="str">
        <f aca="false">IF(AND(G30&lt;&gt;"",J30&lt;&gt;"",K30&lt;&gt;""),(K30-J30)*1440,"")</f>
        <v/>
      </c>
      <c r="R30" s="33" t="str">
        <f aca="false">IF(AND(G30&lt;&gt;"",K30&lt;&gt;"",L30&lt;&gt;""),(L30-K30)*1440,"")</f>
        <v/>
      </c>
      <c r="S30" s="33" t="str">
        <f aca="false">IF(AND(G30&lt;&gt;"",I30&lt;&gt;"",L30&lt;&gt;""),(L30-I30)*1440,"")</f>
        <v/>
      </c>
      <c r="T30" s="33" t="str">
        <f aca="false">IF(G30="","",IFERROR(INDEX(Settings!$B$5:$B$8,MATCH(G30,Settings!$A$5:$A$8,0)),""))</f>
        <v/>
      </c>
      <c r="U30" s="25" t="str">
        <f aca="false">IF(G30="","",IF(S30="","No",IF(S30&lt;=T30,"Yes","No")))</f>
        <v/>
      </c>
      <c r="V30" s="25" t="str">
        <f aca="false">IF(G30="","",IF(AND(J30="",K30="",L30=""),"Telemetry Blind Spot",IF(AND(K30="",L30=""),"Missed Alert",IF(L30="","Triage Delay",IF(S30&lt;=T30,"Detected - Within SLA",IF(AND(R30&lt;&gt;"",R30&gt;IFERROR(INDEX(Settings!$C$5:$C$8,MATCH(G30,Settings!$A$5:$A$8,0)),1E+099)),"Triage Delay","Detected - SLA Breach"))))))</f>
        <v/>
      </c>
      <c r="W30" s="25" t="str">
        <f aca="false">IF(G30="","",IF(L30&lt;&gt;"",1,0))</f>
        <v/>
      </c>
      <c r="X30" s="32"/>
      <c r="Y30" s="32"/>
      <c r="Z30" s="32"/>
      <c r="AA30" s="24"/>
      <c r="AB30" s="24"/>
      <c r="AC30" s="33" t="str">
        <f aca="false">IF(AND(G30&lt;&gt;"",L30&lt;&gt;"",X30&lt;&gt;""),(X30-L30)*1440,"")</f>
        <v/>
      </c>
      <c r="AD30" s="33" t="str">
        <f aca="false">IF(AND(G30&lt;&gt;"",X30&lt;&gt;"",Y30&lt;&gt;""),(Y30-X30)*1440,"")</f>
        <v/>
      </c>
      <c r="AE30" s="33" t="str">
        <f aca="false">IF(AND(G30&lt;&gt;"",Y30&lt;&gt;"",Z30&lt;&gt;""),(Z30-Y30)*1440,"")</f>
        <v/>
      </c>
      <c r="AF30" s="33" t="str">
        <f aca="false">IF(AND(G30&lt;&gt;"",L30&lt;&gt;"",Z30&lt;&gt;""),(Z30-L30)*1440,"")</f>
        <v/>
      </c>
      <c r="AG30" s="33" t="str">
        <f aca="false">IF(G30="","",IFERROR(INDEX(Settings!$D$5:$D$8,MATCH(G30,Settings!$A$5:$A$8,0)),""))</f>
        <v/>
      </c>
      <c r="AH30" s="25" t="str">
        <f aca="false">IF(G30="","",IF(AF30="","No",IF(AF30&lt;=AG30,"Yes","No")))</f>
        <v/>
      </c>
      <c r="AI30" s="25" t="str">
        <f aca="false">IF(G30="","",IF(L30="","N/A - Not Detected",IF(AND(X30="",Y30="",Z30=""),"No Containment Action",IF(Z30="",IF(Y30&lt;&gt;"","C2 Persisted","Host Isolation Gap"),IF(AF30&lt;=AG30,"Contained - Within SLA","Contained - SLA Breach")))))</f>
        <v/>
      </c>
      <c r="AJ30" s="25" t="str">
        <f aca="false">IF(G30="","",IF(Z30&lt;&gt;"",1,0))</f>
        <v/>
      </c>
      <c r="AK30" s="34"/>
      <c r="AL30" s="34"/>
      <c r="AM30" s="35"/>
      <c r="AN30" s="34"/>
      <c r="AO30" s="34"/>
      <c r="AP30" s="35"/>
      <c r="AQ30" s="34"/>
      <c r="AR30" s="34"/>
      <c r="AS30" s="34"/>
      <c r="AT30" s="35"/>
      <c r="AU30" s="35"/>
    </row>
    <row r="31" customFormat="false" ht="15" hidden="false" customHeight="false" outlineLevel="0" collapsed="false">
      <c r="A31" s="24"/>
      <c r="B31" s="24"/>
      <c r="C31" s="24"/>
      <c r="D31" s="24"/>
      <c r="E31" s="24"/>
      <c r="F31" s="24"/>
      <c r="G31" s="24"/>
      <c r="H31" s="24"/>
      <c r="I31" s="32"/>
      <c r="J31" s="32"/>
      <c r="K31" s="32"/>
      <c r="L31" s="32"/>
      <c r="M31" s="24"/>
      <c r="N31" s="24"/>
      <c r="O31" s="24"/>
      <c r="P31" s="33" t="str">
        <f aca="false">IF(AND(G31&lt;&gt;"",I31&lt;&gt;"",J31&lt;&gt;""),(J31-I31)*1440,"")</f>
        <v/>
      </c>
      <c r="Q31" s="33" t="str">
        <f aca="false">IF(AND(G31&lt;&gt;"",J31&lt;&gt;"",K31&lt;&gt;""),(K31-J31)*1440,"")</f>
        <v/>
      </c>
      <c r="R31" s="33" t="str">
        <f aca="false">IF(AND(G31&lt;&gt;"",K31&lt;&gt;"",L31&lt;&gt;""),(L31-K31)*1440,"")</f>
        <v/>
      </c>
      <c r="S31" s="33" t="str">
        <f aca="false">IF(AND(G31&lt;&gt;"",I31&lt;&gt;"",L31&lt;&gt;""),(L31-I31)*1440,"")</f>
        <v/>
      </c>
      <c r="T31" s="33" t="str">
        <f aca="false">IF(G31="","",IFERROR(INDEX(Settings!$B$5:$B$8,MATCH(G31,Settings!$A$5:$A$8,0)),""))</f>
        <v/>
      </c>
      <c r="U31" s="25" t="str">
        <f aca="false">IF(G31="","",IF(S31="","No",IF(S31&lt;=T31,"Yes","No")))</f>
        <v/>
      </c>
      <c r="V31" s="25" t="str">
        <f aca="false">IF(G31="","",IF(AND(J31="",K31="",L31=""),"Telemetry Blind Spot",IF(AND(K31="",L31=""),"Missed Alert",IF(L31="","Triage Delay",IF(S31&lt;=T31,"Detected - Within SLA",IF(AND(R31&lt;&gt;"",R31&gt;IFERROR(INDEX(Settings!$C$5:$C$8,MATCH(G31,Settings!$A$5:$A$8,0)),1E+099)),"Triage Delay","Detected - SLA Breach"))))))</f>
        <v/>
      </c>
      <c r="W31" s="25" t="str">
        <f aca="false">IF(G31="","",IF(L31&lt;&gt;"",1,0))</f>
        <v/>
      </c>
      <c r="X31" s="32"/>
      <c r="Y31" s="32"/>
      <c r="Z31" s="32"/>
      <c r="AA31" s="24"/>
      <c r="AB31" s="24"/>
      <c r="AC31" s="33" t="str">
        <f aca="false">IF(AND(G31&lt;&gt;"",L31&lt;&gt;"",X31&lt;&gt;""),(X31-L31)*1440,"")</f>
        <v/>
      </c>
      <c r="AD31" s="33" t="str">
        <f aca="false">IF(AND(G31&lt;&gt;"",X31&lt;&gt;"",Y31&lt;&gt;""),(Y31-X31)*1440,"")</f>
        <v/>
      </c>
      <c r="AE31" s="33" t="str">
        <f aca="false">IF(AND(G31&lt;&gt;"",Y31&lt;&gt;"",Z31&lt;&gt;""),(Z31-Y31)*1440,"")</f>
        <v/>
      </c>
      <c r="AF31" s="33" t="str">
        <f aca="false">IF(AND(G31&lt;&gt;"",L31&lt;&gt;"",Z31&lt;&gt;""),(Z31-L31)*1440,"")</f>
        <v/>
      </c>
      <c r="AG31" s="33" t="str">
        <f aca="false">IF(G31="","",IFERROR(INDEX(Settings!$D$5:$D$8,MATCH(G31,Settings!$A$5:$A$8,0)),""))</f>
        <v/>
      </c>
      <c r="AH31" s="25" t="str">
        <f aca="false">IF(G31="","",IF(AF31="","No",IF(AF31&lt;=AG31,"Yes","No")))</f>
        <v/>
      </c>
      <c r="AI31" s="25" t="str">
        <f aca="false">IF(G31="","",IF(L31="","N/A - Not Detected",IF(AND(X31="",Y31="",Z31=""),"No Containment Action",IF(Z31="",IF(Y31&lt;&gt;"","C2 Persisted","Host Isolation Gap"),IF(AF31&lt;=AG31,"Contained - Within SLA","Contained - SLA Breach")))))</f>
        <v/>
      </c>
      <c r="AJ31" s="25" t="str">
        <f aca="false">IF(G31="","",IF(Z31&lt;&gt;"",1,0))</f>
        <v/>
      </c>
      <c r="AK31" s="34"/>
      <c r="AL31" s="34"/>
      <c r="AM31" s="35"/>
      <c r="AN31" s="34"/>
      <c r="AO31" s="34"/>
      <c r="AP31" s="35"/>
      <c r="AQ31" s="34"/>
      <c r="AR31" s="34"/>
      <c r="AS31" s="34"/>
      <c r="AT31" s="35"/>
      <c r="AU31" s="35"/>
    </row>
    <row r="32" customFormat="false" ht="15" hidden="false" customHeight="false" outlineLevel="0" collapsed="false">
      <c r="A32" s="24"/>
      <c r="B32" s="24"/>
      <c r="C32" s="24"/>
      <c r="D32" s="24"/>
      <c r="E32" s="24"/>
      <c r="F32" s="24"/>
      <c r="G32" s="24"/>
      <c r="H32" s="24"/>
      <c r="I32" s="32"/>
      <c r="J32" s="32"/>
      <c r="K32" s="32"/>
      <c r="L32" s="32"/>
      <c r="M32" s="24"/>
      <c r="N32" s="24"/>
      <c r="O32" s="24"/>
      <c r="P32" s="33" t="str">
        <f aca="false">IF(AND(G32&lt;&gt;"",I32&lt;&gt;"",J32&lt;&gt;""),(J32-I32)*1440,"")</f>
        <v/>
      </c>
      <c r="Q32" s="33" t="str">
        <f aca="false">IF(AND(G32&lt;&gt;"",J32&lt;&gt;"",K32&lt;&gt;""),(K32-J32)*1440,"")</f>
        <v/>
      </c>
      <c r="R32" s="33" t="str">
        <f aca="false">IF(AND(G32&lt;&gt;"",K32&lt;&gt;"",L32&lt;&gt;""),(L32-K32)*1440,"")</f>
        <v/>
      </c>
      <c r="S32" s="33" t="str">
        <f aca="false">IF(AND(G32&lt;&gt;"",I32&lt;&gt;"",L32&lt;&gt;""),(L32-I32)*1440,"")</f>
        <v/>
      </c>
      <c r="T32" s="33" t="str">
        <f aca="false">IF(G32="","",IFERROR(INDEX(Settings!$B$5:$B$8,MATCH(G32,Settings!$A$5:$A$8,0)),""))</f>
        <v/>
      </c>
      <c r="U32" s="25" t="str">
        <f aca="false">IF(G32="","",IF(S32="","No",IF(S32&lt;=T32,"Yes","No")))</f>
        <v/>
      </c>
      <c r="V32" s="25" t="str">
        <f aca="false">IF(G32="","",IF(AND(J32="",K32="",L32=""),"Telemetry Blind Spot",IF(AND(K32="",L32=""),"Missed Alert",IF(L32="","Triage Delay",IF(S32&lt;=T32,"Detected - Within SLA",IF(AND(R32&lt;&gt;"",R32&gt;IFERROR(INDEX(Settings!$C$5:$C$8,MATCH(G32,Settings!$A$5:$A$8,0)),1E+099)),"Triage Delay","Detected - SLA Breach"))))))</f>
        <v/>
      </c>
      <c r="W32" s="25" t="str">
        <f aca="false">IF(G32="","",IF(L32&lt;&gt;"",1,0))</f>
        <v/>
      </c>
      <c r="X32" s="32"/>
      <c r="Y32" s="32"/>
      <c r="Z32" s="32"/>
      <c r="AA32" s="24"/>
      <c r="AB32" s="24"/>
      <c r="AC32" s="33" t="str">
        <f aca="false">IF(AND(G32&lt;&gt;"",L32&lt;&gt;"",X32&lt;&gt;""),(X32-L32)*1440,"")</f>
        <v/>
      </c>
      <c r="AD32" s="33" t="str">
        <f aca="false">IF(AND(G32&lt;&gt;"",X32&lt;&gt;"",Y32&lt;&gt;""),(Y32-X32)*1440,"")</f>
        <v/>
      </c>
      <c r="AE32" s="33" t="str">
        <f aca="false">IF(AND(G32&lt;&gt;"",Y32&lt;&gt;"",Z32&lt;&gt;""),(Z32-Y32)*1440,"")</f>
        <v/>
      </c>
      <c r="AF32" s="33" t="str">
        <f aca="false">IF(AND(G32&lt;&gt;"",L32&lt;&gt;"",Z32&lt;&gt;""),(Z32-L32)*1440,"")</f>
        <v/>
      </c>
      <c r="AG32" s="33" t="str">
        <f aca="false">IF(G32="","",IFERROR(INDEX(Settings!$D$5:$D$8,MATCH(G32,Settings!$A$5:$A$8,0)),""))</f>
        <v/>
      </c>
      <c r="AH32" s="25" t="str">
        <f aca="false">IF(G32="","",IF(AF32="","No",IF(AF32&lt;=AG32,"Yes","No")))</f>
        <v/>
      </c>
      <c r="AI32" s="25" t="str">
        <f aca="false">IF(G32="","",IF(L32="","N/A - Not Detected",IF(AND(X32="",Y32="",Z32=""),"No Containment Action",IF(Z32="",IF(Y32&lt;&gt;"","C2 Persisted","Host Isolation Gap"),IF(AF32&lt;=AG32,"Contained - Within SLA","Contained - SLA Breach")))))</f>
        <v/>
      </c>
      <c r="AJ32" s="25" t="str">
        <f aca="false">IF(G32="","",IF(Z32&lt;&gt;"",1,0))</f>
        <v/>
      </c>
      <c r="AK32" s="34"/>
      <c r="AL32" s="34"/>
      <c r="AM32" s="35"/>
      <c r="AN32" s="34"/>
      <c r="AO32" s="34"/>
      <c r="AP32" s="35"/>
      <c r="AQ32" s="34"/>
      <c r="AR32" s="34"/>
      <c r="AS32" s="34"/>
      <c r="AT32" s="35"/>
      <c r="AU32" s="35"/>
    </row>
    <row r="33" customFormat="false" ht="15" hidden="false" customHeight="false" outlineLevel="0" collapsed="false">
      <c r="A33" s="24"/>
      <c r="B33" s="24"/>
      <c r="C33" s="24"/>
      <c r="D33" s="24"/>
      <c r="E33" s="24"/>
      <c r="F33" s="24"/>
      <c r="G33" s="24"/>
      <c r="H33" s="24"/>
      <c r="I33" s="32"/>
      <c r="J33" s="32"/>
      <c r="K33" s="32"/>
      <c r="L33" s="32"/>
      <c r="M33" s="24"/>
      <c r="N33" s="24"/>
      <c r="O33" s="24"/>
      <c r="P33" s="33" t="str">
        <f aca="false">IF(AND(G33&lt;&gt;"",I33&lt;&gt;"",J33&lt;&gt;""),(J33-I33)*1440,"")</f>
        <v/>
      </c>
      <c r="Q33" s="33" t="str">
        <f aca="false">IF(AND(G33&lt;&gt;"",J33&lt;&gt;"",K33&lt;&gt;""),(K33-J33)*1440,"")</f>
        <v/>
      </c>
      <c r="R33" s="33" t="str">
        <f aca="false">IF(AND(G33&lt;&gt;"",K33&lt;&gt;"",L33&lt;&gt;""),(L33-K33)*1440,"")</f>
        <v/>
      </c>
      <c r="S33" s="33" t="str">
        <f aca="false">IF(AND(G33&lt;&gt;"",I33&lt;&gt;"",L33&lt;&gt;""),(L33-I33)*1440,"")</f>
        <v/>
      </c>
      <c r="T33" s="33" t="str">
        <f aca="false">IF(G33="","",IFERROR(INDEX(Settings!$B$5:$B$8,MATCH(G33,Settings!$A$5:$A$8,0)),""))</f>
        <v/>
      </c>
      <c r="U33" s="25" t="str">
        <f aca="false">IF(G33="","",IF(S33="","No",IF(S33&lt;=T33,"Yes","No")))</f>
        <v/>
      </c>
      <c r="V33" s="25" t="str">
        <f aca="false">IF(G33="","",IF(AND(J33="",K33="",L33=""),"Telemetry Blind Spot",IF(AND(K33="",L33=""),"Missed Alert",IF(L33="","Triage Delay",IF(S33&lt;=T33,"Detected - Within SLA",IF(AND(R33&lt;&gt;"",R33&gt;IFERROR(INDEX(Settings!$C$5:$C$8,MATCH(G33,Settings!$A$5:$A$8,0)),1E+099)),"Triage Delay","Detected - SLA Breach"))))))</f>
        <v/>
      </c>
      <c r="W33" s="25" t="str">
        <f aca="false">IF(G33="","",IF(L33&lt;&gt;"",1,0))</f>
        <v/>
      </c>
      <c r="X33" s="32"/>
      <c r="Y33" s="32"/>
      <c r="Z33" s="32"/>
      <c r="AA33" s="24"/>
      <c r="AB33" s="24"/>
      <c r="AC33" s="33" t="str">
        <f aca="false">IF(AND(G33&lt;&gt;"",L33&lt;&gt;"",X33&lt;&gt;""),(X33-L33)*1440,"")</f>
        <v/>
      </c>
      <c r="AD33" s="33" t="str">
        <f aca="false">IF(AND(G33&lt;&gt;"",X33&lt;&gt;"",Y33&lt;&gt;""),(Y33-X33)*1440,"")</f>
        <v/>
      </c>
      <c r="AE33" s="33" t="str">
        <f aca="false">IF(AND(G33&lt;&gt;"",Y33&lt;&gt;"",Z33&lt;&gt;""),(Z33-Y33)*1440,"")</f>
        <v/>
      </c>
      <c r="AF33" s="33" t="str">
        <f aca="false">IF(AND(G33&lt;&gt;"",L33&lt;&gt;"",Z33&lt;&gt;""),(Z33-L33)*1440,"")</f>
        <v/>
      </c>
      <c r="AG33" s="33" t="str">
        <f aca="false">IF(G33="","",IFERROR(INDEX(Settings!$D$5:$D$8,MATCH(G33,Settings!$A$5:$A$8,0)),""))</f>
        <v/>
      </c>
      <c r="AH33" s="25" t="str">
        <f aca="false">IF(G33="","",IF(AF33="","No",IF(AF33&lt;=AG33,"Yes","No")))</f>
        <v/>
      </c>
      <c r="AI33" s="25" t="str">
        <f aca="false">IF(G33="","",IF(L33="","N/A - Not Detected",IF(AND(X33="",Y33="",Z33=""),"No Containment Action",IF(Z33="",IF(Y33&lt;&gt;"","C2 Persisted","Host Isolation Gap"),IF(AF33&lt;=AG33,"Contained - Within SLA","Contained - SLA Breach")))))</f>
        <v/>
      </c>
      <c r="AJ33" s="25" t="str">
        <f aca="false">IF(G33="","",IF(Z33&lt;&gt;"",1,0))</f>
        <v/>
      </c>
      <c r="AK33" s="34"/>
      <c r="AL33" s="34"/>
      <c r="AM33" s="35"/>
      <c r="AN33" s="34"/>
      <c r="AO33" s="34"/>
      <c r="AP33" s="35"/>
      <c r="AQ33" s="34"/>
      <c r="AR33" s="34"/>
      <c r="AS33" s="34"/>
      <c r="AT33" s="35"/>
      <c r="AU33" s="35"/>
    </row>
    <row r="34" customFormat="false" ht="15" hidden="false" customHeight="false" outlineLevel="0" collapsed="false">
      <c r="A34" s="24"/>
      <c r="B34" s="24"/>
      <c r="C34" s="24"/>
      <c r="D34" s="24"/>
      <c r="E34" s="24"/>
      <c r="F34" s="24"/>
      <c r="G34" s="24"/>
      <c r="H34" s="24"/>
      <c r="I34" s="32"/>
      <c r="J34" s="32"/>
      <c r="K34" s="32"/>
      <c r="L34" s="32"/>
      <c r="M34" s="24"/>
      <c r="N34" s="24"/>
      <c r="O34" s="24"/>
      <c r="P34" s="33" t="str">
        <f aca="false">IF(AND(G34&lt;&gt;"",I34&lt;&gt;"",J34&lt;&gt;""),(J34-I34)*1440,"")</f>
        <v/>
      </c>
      <c r="Q34" s="33" t="str">
        <f aca="false">IF(AND(G34&lt;&gt;"",J34&lt;&gt;"",K34&lt;&gt;""),(K34-J34)*1440,"")</f>
        <v/>
      </c>
      <c r="R34" s="33" t="str">
        <f aca="false">IF(AND(G34&lt;&gt;"",K34&lt;&gt;"",L34&lt;&gt;""),(L34-K34)*1440,"")</f>
        <v/>
      </c>
      <c r="S34" s="33" t="str">
        <f aca="false">IF(AND(G34&lt;&gt;"",I34&lt;&gt;"",L34&lt;&gt;""),(L34-I34)*1440,"")</f>
        <v/>
      </c>
      <c r="T34" s="33" t="str">
        <f aca="false">IF(G34="","",IFERROR(INDEX(Settings!$B$5:$B$8,MATCH(G34,Settings!$A$5:$A$8,0)),""))</f>
        <v/>
      </c>
      <c r="U34" s="25" t="str">
        <f aca="false">IF(G34="","",IF(S34="","No",IF(S34&lt;=T34,"Yes","No")))</f>
        <v/>
      </c>
      <c r="V34" s="25" t="str">
        <f aca="false">IF(G34="","",IF(AND(J34="",K34="",L34=""),"Telemetry Blind Spot",IF(AND(K34="",L34=""),"Missed Alert",IF(L34="","Triage Delay",IF(S34&lt;=T34,"Detected - Within SLA",IF(AND(R34&lt;&gt;"",R34&gt;IFERROR(INDEX(Settings!$C$5:$C$8,MATCH(G34,Settings!$A$5:$A$8,0)),1E+099)),"Triage Delay","Detected - SLA Breach"))))))</f>
        <v/>
      </c>
      <c r="W34" s="25" t="str">
        <f aca="false">IF(G34="","",IF(L34&lt;&gt;"",1,0))</f>
        <v/>
      </c>
      <c r="X34" s="32"/>
      <c r="Y34" s="32"/>
      <c r="Z34" s="32"/>
      <c r="AA34" s="24"/>
      <c r="AB34" s="24"/>
      <c r="AC34" s="33" t="str">
        <f aca="false">IF(AND(G34&lt;&gt;"",L34&lt;&gt;"",X34&lt;&gt;""),(X34-L34)*1440,"")</f>
        <v/>
      </c>
      <c r="AD34" s="33" t="str">
        <f aca="false">IF(AND(G34&lt;&gt;"",X34&lt;&gt;"",Y34&lt;&gt;""),(Y34-X34)*1440,"")</f>
        <v/>
      </c>
      <c r="AE34" s="33" t="str">
        <f aca="false">IF(AND(G34&lt;&gt;"",Y34&lt;&gt;"",Z34&lt;&gt;""),(Z34-Y34)*1440,"")</f>
        <v/>
      </c>
      <c r="AF34" s="33" t="str">
        <f aca="false">IF(AND(G34&lt;&gt;"",L34&lt;&gt;"",Z34&lt;&gt;""),(Z34-L34)*1440,"")</f>
        <v/>
      </c>
      <c r="AG34" s="33" t="str">
        <f aca="false">IF(G34="","",IFERROR(INDEX(Settings!$D$5:$D$8,MATCH(G34,Settings!$A$5:$A$8,0)),""))</f>
        <v/>
      </c>
      <c r="AH34" s="25" t="str">
        <f aca="false">IF(G34="","",IF(AF34="","No",IF(AF34&lt;=AG34,"Yes","No")))</f>
        <v/>
      </c>
      <c r="AI34" s="25" t="str">
        <f aca="false">IF(G34="","",IF(L34="","N/A - Not Detected",IF(AND(X34="",Y34="",Z34=""),"No Containment Action",IF(Z34="",IF(Y34&lt;&gt;"","C2 Persisted","Host Isolation Gap"),IF(AF34&lt;=AG34,"Contained - Within SLA","Contained - SLA Breach")))))</f>
        <v/>
      </c>
      <c r="AJ34" s="25" t="str">
        <f aca="false">IF(G34="","",IF(Z34&lt;&gt;"",1,0))</f>
        <v/>
      </c>
      <c r="AK34" s="34"/>
      <c r="AL34" s="34"/>
      <c r="AM34" s="35"/>
      <c r="AN34" s="34"/>
      <c r="AO34" s="34"/>
      <c r="AP34" s="35"/>
      <c r="AQ34" s="34"/>
      <c r="AR34" s="34"/>
      <c r="AS34" s="34"/>
      <c r="AT34" s="35"/>
      <c r="AU34" s="35"/>
    </row>
    <row r="35" customFormat="false" ht="15" hidden="false" customHeight="false" outlineLevel="0" collapsed="false">
      <c r="A35" s="24"/>
      <c r="B35" s="24"/>
      <c r="C35" s="24"/>
      <c r="D35" s="24"/>
      <c r="E35" s="24"/>
      <c r="F35" s="24"/>
      <c r="G35" s="24"/>
      <c r="H35" s="24"/>
      <c r="I35" s="32"/>
      <c r="J35" s="32"/>
      <c r="K35" s="32"/>
      <c r="L35" s="32"/>
      <c r="M35" s="24"/>
      <c r="N35" s="24"/>
      <c r="O35" s="24"/>
      <c r="P35" s="33" t="str">
        <f aca="false">IF(AND(G35&lt;&gt;"",I35&lt;&gt;"",J35&lt;&gt;""),(J35-I35)*1440,"")</f>
        <v/>
      </c>
      <c r="Q35" s="33" t="str">
        <f aca="false">IF(AND(G35&lt;&gt;"",J35&lt;&gt;"",K35&lt;&gt;""),(K35-J35)*1440,"")</f>
        <v/>
      </c>
      <c r="R35" s="33" t="str">
        <f aca="false">IF(AND(G35&lt;&gt;"",K35&lt;&gt;"",L35&lt;&gt;""),(L35-K35)*1440,"")</f>
        <v/>
      </c>
      <c r="S35" s="33" t="str">
        <f aca="false">IF(AND(G35&lt;&gt;"",I35&lt;&gt;"",L35&lt;&gt;""),(L35-I35)*1440,"")</f>
        <v/>
      </c>
      <c r="T35" s="33" t="str">
        <f aca="false">IF(G35="","",IFERROR(INDEX(Settings!$B$5:$B$8,MATCH(G35,Settings!$A$5:$A$8,0)),""))</f>
        <v/>
      </c>
      <c r="U35" s="25" t="str">
        <f aca="false">IF(G35="","",IF(S35="","No",IF(S35&lt;=T35,"Yes","No")))</f>
        <v/>
      </c>
      <c r="V35" s="25" t="str">
        <f aca="false">IF(G35="","",IF(AND(J35="",K35="",L35=""),"Telemetry Blind Spot",IF(AND(K35="",L35=""),"Missed Alert",IF(L35="","Triage Delay",IF(S35&lt;=T35,"Detected - Within SLA",IF(AND(R35&lt;&gt;"",R35&gt;IFERROR(INDEX(Settings!$C$5:$C$8,MATCH(G35,Settings!$A$5:$A$8,0)),1E+099)),"Triage Delay","Detected - SLA Breach"))))))</f>
        <v/>
      </c>
      <c r="W35" s="25" t="str">
        <f aca="false">IF(G35="","",IF(L35&lt;&gt;"",1,0))</f>
        <v/>
      </c>
      <c r="X35" s="32"/>
      <c r="Y35" s="32"/>
      <c r="Z35" s="32"/>
      <c r="AA35" s="24"/>
      <c r="AB35" s="24"/>
      <c r="AC35" s="33" t="str">
        <f aca="false">IF(AND(G35&lt;&gt;"",L35&lt;&gt;"",X35&lt;&gt;""),(X35-L35)*1440,"")</f>
        <v/>
      </c>
      <c r="AD35" s="33" t="str">
        <f aca="false">IF(AND(G35&lt;&gt;"",X35&lt;&gt;"",Y35&lt;&gt;""),(Y35-X35)*1440,"")</f>
        <v/>
      </c>
      <c r="AE35" s="33" t="str">
        <f aca="false">IF(AND(G35&lt;&gt;"",Y35&lt;&gt;"",Z35&lt;&gt;""),(Z35-Y35)*1440,"")</f>
        <v/>
      </c>
      <c r="AF35" s="33" t="str">
        <f aca="false">IF(AND(G35&lt;&gt;"",L35&lt;&gt;"",Z35&lt;&gt;""),(Z35-L35)*1440,"")</f>
        <v/>
      </c>
      <c r="AG35" s="33" t="str">
        <f aca="false">IF(G35="","",IFERROR(INDEX(Settings!$D$5:$D$8,MATCH(G35,Settings!$A$5:$A$8,0)),""))</f>
        <v/>
      </c>
      <c r="AH35" s="25" t="str">
        <f aca="false">IF(G35="","",IF(AF35="","No",IF(AF35&lt;=AG35,"Yes","No")))</f>
        <v/>
      </c>
      <c r="AI35" s="25" t="str">
        <f aca="false">IF(G35="","",IF(L35="","N/A - Not Detected",IF(AND(X35="",Y35="",Z35=""),"No Containment Action",IF(Z35="",IF(Y35&lt;&gt;"","C2 Persisted","Host Isolation Gap"),IF(AF35&lt;=AG35,"Contained - Within SLA","Contained - SLA Breach")))))</f>
        <v/>
      </c>
      <c r="AJ35" s="25" t="str">
        <f aca="false">IF(G35="","",IF(Z35&lt;&gt;"",1,0))</f>
        <v/>
      </c>
      <c r="AK35" s="34"/>
      <c r="AL35" s="34"/>
      <c r="AM35" s="35"/>
      <c r="AN35" s="34"/>
      <c r="AO35" s="34"/>
      <c r="AP35" s="35"/>
      <c r="AQ35" s="34"/>
      <c r="AR35" s="34"/>
      <c r="AS35" s="34"/>
      <c r="AT35" s="35"/>
      <c r="AU35" s="35"/>
    </row>
    <row r="36" customFormat="false" ht="15" hidden="false" customHeight="false" outlineLevel="0" collapsed="false">
      <c r="A36" s="24"/>
      <c r="B36" s="24"/>
      <c r="C36" s="24"/>
      <c r="D36" s="24"/>
      <c r="E36" s="24"/>
      <c r="F36" s="24"/>
      <c r="G36" s="24"/>
      <c r="H36" s="24"/>
      <c r="I36" s="32"/>
      <c r="J36" s="32"/>
      <c r="K36" s="32"/>
      <c r="L36" s="32"/>
      <c r="M36" s="24"/>
      <c r="N36" s="24"/>
      <c r="O36" s="24"/>
      <c r="P36" s="33" t="str">
        <f aca="false">IF(AND(G36&lt;&gt;"",I36&lt;&gt;"",J36&lt;&gt;""),(J36-I36)*1440,"")</f>
        <v/>
      </c>
      <c r="Q36" s="33" t="str">
        <f aca="false">IF(AND(G36&lt;&gt;"",J36&lt;&gt;"",K36&lt;&gt;""),(K36-J36)*1440,"")</f>
        <v/>
      </c>
      <c r="R36" s="33" t="str">
        <f aca="false">IF(AND(G36&lt;&gt;"",K36&lt;&gt;"",L36&lt;&gt;""),(L36-K36)*1440,"")</f>
        <v/>
      </c>
      <c r="S36" s="33" t="str">
        <f aca="false">IF(AND(G36&lt;&gt;"",I36&lt;&gt;"",L36&lt;&gt;""),(L36-I36)*1440,"")</f>
        <v/>
      </c>
      <c r="T36" s="33" t="str">
        <f aca="false">IF(G36="","",IFERROR(INDEX(Settings!$B$5:$B$8,MATCH(G36,Settings!$A$5:$A$8,0)),""))</f>
        <v/>
      </c>
      <c r="U36" s="25" t="str">
        <f aca="false">IF(G36="","",IF(S36="","No",IF(S36&lt;=T36,"Yes","No")))</f>
        <v/>
      </c>
      <c r="V36" s="25" t="str">
        <f aca="false">IF(G36="","",IF(AND(J36="",K36="",L36=""),"Telemetry Blind Spot",IF(AND(K36="",L36=""),"Missed Alert",IF(L36="","Triage Delay",IF(S36&lt;=T36,"Detected - Within SLA",IF(AND(R36&lt;&gt;"",R36&gt;IFERROR(INDEX(Settings!$C$5:$C$8,MATCH(G36,Settings!$A$5:$A$8,0)),1E+099)),"Triage Delay","Detected - SLA Breach"))))))</f>
        <v/>
      </c>
      <c r="W36" s="25" t="str">
        <f aca="false">IF(G36="","",IF(L36&lt;&gt;"",1,0))</f>
        <v/>
      </c>
      <c r="X36" s="32"/>
      <c r="Y36" s="32"/>
      <c r="Z36" s="32"/>
      <c r="AA36" s="24"/>
      <c r="AB36" s="24"/>
      <c r="AC36" s="33" t="str">
        <f aca="false">IF(AND(G36&lt;&gt;"",L36&lt;&gt;"",X36&lt;&gt;""),(X36-L36)*1440,"")</f>
        <v/>
      </c>
      <c r="AD36" s="33" t="str">
        <f aca="false">IF(AND(G36&lt;&gt;"",X36&lt;&gt;"",Y36&lt;&gt;""),(Y36-X36)*1440,"")</f>
        <v/>
      </c>
      <c r="AE36" s="33" t="str">
        <f aca="false">IF(AND(G36&lt;&gt;"",Y36&lt;&gt;"",Z36&lt;&gt;""),(Z36-Y36)*1440,"")</f>
        <v/>
      </c>
      <c r="AF36" s="33" t="str">
        <f aca="false">IF(AND(G36&lt;&gt;"",L36&lt;&gt;"",Z36&lt;&gt;""),(Z36-L36)*1440,"")</f>
        <v/>
      </c>
      <c r="AG36" s="33" t="str">
        <f aca="false">IF(G36="","",IFERROR(INDEX(Settings!$D$5:$D$8,MATCH(G36,Settings!$A$5:$A$8,0)),""))</f>
        <v/>
      </c>
      <c r="AH36" s="25" t="str">
        <f aca="false">IF(G36="","",IF(AF36="","No",IF(AF36&lt;=AG36,"Yes","No")))</f>
        <v/>
      </c>
      <c r="AI36" s="25" t="str">
        <f aca="false">IF(G36="","",IF(L36="","N/A - Not Detected",IF(AND(X36="",Y36="",Z36=""),"No Containment Action",IF(Z36="",IF(Y36&lt;&gt;"","C2 Persisted","Host Isolation Gap"),IF(AF36&lt;=AG36,"Contained - Within SLA","Contained - SLA Breach")))))</f>
        <v/>
      </c>
      <c r="AJ36" s="25" t="str">
        <f aca="false">IF(G36="","",IF(Z36&lt;&gt;"",1,0))</f>
        <v/>
      </c>
      <c r="AK36" s="34"/>
      <c r="AL36" s="34"/>
      <c r="AM36" s="35"/>
      <c r="AN36" s="34"/>
      <c r="AO36" s="34"/>
      <c r="AP36" s="35"/>
      <c r="AQ36" s="34"/>
      <c r="AR36" s="34"/>
      <c r="AS36" s="34"/>
      <c r="AT36" s="35"/>
      <c r="AU36" s="35"/>
    </row>
    <row r="37" customFormat="false" ht="15" hidden="false" customHeight="false" outlineLevel="0" collapsed="false">
      <c r="A37" s="24"/>
      <c r="B37" s="24"/>
      <c r="C37" s="24"/>
      <c r="D37" s="24"/>
      <c r="E37" s="24"/>
      <c r="F37" s="24"/>
      <c r="G37" s="24"/>
      <c r="H37" s="24"/>
      <c r="I37" s="32"/>
      <c r="J37" s="32"/>
      <c r="K37" s="32"/>
      <c r="L37" s="32"/>
      <c r="M37" s="24"/>
      <c r="N37" s="24"/>
      <c r="O37" s="24"/>
      <c r="P37" s="33" t="str">
        <f aca="false">IF(AND(G37&lt;&gt;"",I37&lt;&gt;"",J37&lt;&gt;""),(J37-I37)*1440,"")</f>
        <v/>
      </c>
      <c r="Q37" s="33" t="str">
        <f aca="false">IF(AND(G37&lt;&gt;"",J37&lt;&gt;"",K37&lt;&gt;""),(K37-J37)*1440,"")</f>
        <v/>
      </c>
      <c r="R37" s="33" t="str">
        <f aca="false">IF(AND(G37&lt;&gt;"",K37&lt;&gt;"",L37&lt;&gt;""),(L37-K37)*1440,"")</f>
        <v/>
      </c>
      <c r="S37" s="33" t="str">
        <f aca="false">IF(AND(G37&lt;&gt;"",I37&lt;&gt;"",L37&lt;&gt;""),(L37-I37)*1440,"")</f>
        <v/>
      </c>
      <c r="T37" s="33" t="str">
        <f aca="false">IF(G37="","",IFERROR(INDEX(Settings!$B$5:$B$8,MATCH(G37,Settings!$A$5:$A$8,0)),""))</f>
        <v/>
      </c>
      <c r="U37" s="25" t="str">
        <f aca="false">IF(G37="","",IF(S37="","No",IF(S37&lt;=T37,"Yes","No")))</f>
        <v/>
      </c>
      <c r="V37" s="25" t="str">
        <f aca="false">IF(G37="","",IF(AND(J37="",K37="",L37=""),"Telemetry Blind Spot",IF(AND(K37="",L37=""),"Missed Alert",IF(L37="","Triage Delay",IF(S37&lt;=T37,"Detected - Within SLA",IF(AND(R37&lt;&gt;"",R37&gt;IFERROR(INDEX(Settings!$C$5:$C$8,MATCH(G37,Settings!$A$5:$A$8,0)),1E+099)),"Triage Delay","Detected - SLA Breach"))))))</f>
        <v/>
      </c>
      <c r="W37" s="25" t="str">
        <f aca="false">IF(G37="","",IF(L37&lt;&gt;"",1,0))</f>
        <v/>
      </c>
      <c r="X37" s="32"/>
      <c r="Y37" s="32"/>
      <c r="Z37" s="32"/>
      <c r="AA37" s="24"/>
      <c r="AB37" s="24"/>
      <c r="AC37" s="33" t="str">
        <f aca="false">IF(AND(G37&lt;&gt;"",L37&lt;&gt;"",X37&lt;&gt;""),(X37-L37)*1440,"")</f>
        <v/>
      </c>
      <c r="AD37" s="33" t="str">
        <f aca="false">IF(AND(G37&lt;&gt;"",X37&lt;&gt;"",Y37&lt;&gt;""),(Y37-X37)*1440,"")</f>
        <v/>
      </c>
      <c r="AE37" s="33" t="str">
        <f aca="false">IF(AND(G37&lt;&gt;"",Y37&lt;&gt;"",Z37&lt;&gt;""),(Z37-Y37)*1440,"")</f>
        <v/>
      </c>
      <c r="AF37" s="33" t="str">
        <f aca="false">IF(AND(G37&lt;&gt;"",L37&lt;&gt;"",Z37&lt;&gt;""),(Z37-L37)*1440,"")</f>
        <v/>
      </c>
      <c r="AG37" s="33" t="str">
        <f aca="false">IF(G37="","",IFERROR(INDEX(Settings!$D$5:$D$8,MATCH(G37,Settings!$A$5:$A$8,0)),""))</f>
        <v/>
      </c>
      <c r="AH37" s="25" t="str">
        <f aca="false">IF(G37="","",IF(AF37="","No",IF(AF37&lt;=AG37,"Yes","No")))</f>
        <v/>
      </c>
      <c r="AI37" s="25" t="str">
        <f aca="false">IF(G37="","",IF(L37="","N/A - Not Detected",IF(AND(X37="",Y37="",Z37=""),"No Containment Action",IF(Z37="",IF(Y37&lt;&gt;"","C2 Persisted","Host Isolation Gap"),IF(AF37&lt;=AG37,"Contained - Within SLA","Contained - SLA Breach")))))</f>
        <v/>
      </c>
      <c r="AJ37" s="25" t="str">
        <f aca="false">IF(G37="","",IF(Z37&lt;&gt;"",1,0))</f>
        <v/>
      </c>
      <c r="AK37" s="34"/>
      <c r="AL37" s="34"/>
      <c r="AM37" s="35"/>
      <c r="AN37" s="34"/>
      <c r="AO37" s="34"/>
      <c r="AP37" s="35"/>
      <c r="AQ37" s="34"/>
      <c r="AR37" s="34"/>
      <c r="AS37" s="34"/>
      <c r="AT37" s="35"/>
      <c r="AU37" s="35"/>
    </row>
    <row r="38" customFormat="false" ht="15" hidden="false" customHeight="false" outlineLevel="0" collapsed="false">
      <c r="A38" s="24"/>
      <c r="B38" s="24"/>
      <c r="C38" s="24"/>
      <c r="D38" s="24"/>
      <c r="E38" s="24"/>
      <c r="F38" s="24"/>
      <c r="G38" s="24"/>
      <c r="H38" s="24"/>
      <c r="I38" s="32"/>
      <c r="J38" s="32"/>
      <c r="K38" s="32"/>
      <c r="L38" s="32"/>
      <c r="M38" s="24"/>
      <c r="N38" s="24"/>
      <c r="O38" s="24"/>
      <c r="P38" s="33" t="str">
        <f aca="false">IF(AND(G38&lt;&gt;"",I38&lt;&gt;"",J38&lt;&gt;""),(J38-I38)*1440,"")</f>
        <v/>
      </c>
      <c r="Q38" s="33" t="str">
        <f aca="false">IF(AND(G38&lt;&gt;"",J38&lt;&gt;"",K38&lt;&gt;""),(K38-J38)*1440,"")</f>
        <v/>
      </c>
      <c r="R38" s="33" t="str">
        <f aca="false">IF(AND(G38&lt;&gt;"",K38&lt;&gt;"",L38&lt;&gt;""),(L38-K38)*1440,"")</f>
        <v/>
      </c>
      <c r="S38" s="33" t="str">
        <f aca="false">IF(AND(G38&lt;&gt;"",I38&lt;&gt;"",L38&lt;&gt;""),(L38-I38)*1440,"")</f>
        <v/>
      </c>
      <c r="T38" s="33" t="str">
        <f aca="false">IF(G38="","",IFERROR(INDEX(Settings!$B$5:$B$8,MATCH(G38,Settings!$A$5:$A$8,0)),""))</f>
        <v/>
      </c>
      <c r="U38" s="25" t="str">
        <f aca="false">IF(G38="","",IF(S38="","No",IF(S38&lt;=T38,"Yes","No")))</f>
        <v/>
      </c>
      <c r="V38" s="25" t="str">
        <f aca="false">IF(G38="","",IF(AND(J38="",K38="",L38=""),"Telemetry Blind Spot",IF(AND(K38="",L38=""),"Missed Alert",IF(L38="","Triage Delay",IF(S38&lt;=T38,"Detected - Within SLA",IF(AND(R38&lt;&gt;"",R38&gt;IFERROR(INDEX(Settings!$C$5:$C$8,MATCH(G38,Settings!$A$5:$A$8,0)),1E+099)),"Triage Delay","Detected - SLA Breach"))))))</f>
        <v/>
      </c>
      <c r="W38" s="25" t="str">
        <f aca="false">IF(G38="","",IF(L38&lt;&gt;"",1,0))</f>
        <v/>
      </c>
      <c r="X38" s="32"/>
      <c r="Y38" s="32"/>
      <c r="Z38" s="32"/>
      <c r="AA38" s="24"/>
      <c r="AB38" s="24"/>
      <c r="AC38" s="33" t="str">
        <f aca="false">IF(AND(G38&lt;&gt;"",L38&lt;&gt;"",X38&lt;&gt;""),(X38-L38)*1440,"")</f>
        <v/>
      </c>
      <c r="AD38" s="33" t="str">
        <f aca="false">IF(AND(G38&lt;&gt;"",X38&lt;&gt;"",Y38&lt;&gt;""),(Y38-X38)*1440,"")</f>
        <v/>
      </c>
      <c r="AE38" s="33" t="str">
        <f aca="false">IF(AND(G38&lt;&gt;"",Y38&lt;&gt;"",Z38&lt;&gt;""),(Z38-Y38)*1440,"")</f>
        <v/>
      </c>
      <c r="AF38" s="33" t="str">
        <f aca="false">IF(AND(G38&lt;&gt;"",L38&lt;&gt;"",Z38&lt;&gt;""),(Z38-L38)*1440,"")</f>
        <v/>
      </c>
      <c r="AG38" s="33" t="str">
        <f aca="false">IF(G38="","",IFERROR(INDEX(Settings!$D$5:$D$8,MATCH(G38,Settings!$A$5:$A$8,0)),""))</f>
        <v/>
      </c>
      <c r="AH38" s="25" t="str">
        <f aca="false">IF(G38="","",IF(AF38="","No",IF(AF38&lt;=AG38,"Yes","No")))</f>
        <v/>
      </c>
      <c r="AI38" s="25" t="str">
        <f aca="false">IF(G38="","",IF(L38="","N/A - Not Detected",IF(AND(X38="",Y38="",Z38=""),"No Containment Action",IF(Z38="",IF(Y38&lt;&gt;"","C2 Persisted","Host Isolation Gap"),IF(AF38&lt;=AG38,"Contained - Within SLA","Contained - SLA Breach")))))</f>
        <v/>
      </c>
      <c r="AJ38" s="25" t="str">
        <f aca="false">IF(G38="","",IF(Z38&lt;&gt;"",1,0))</f>
        <v/>
      </c>
      <c r="AK38" s="34"/>
      <c r="AL38" s="34"/>
      <c r="AM38" s="35"/>
      <c r="AN38" s="34"/>
      <c r="AO38" s="34"/>
      <c r="AP38" s="35"/>
      <c r="AQ38" s="34"/>
      <c r="AR38" s="34"/>
      <c r="AS38" s="34"/>
      <c r="AT38" s="35"/>
      <c r="AU38" s="35"/>
    </row>
    <row r="39" customFormat="false" ht="15" hidden="false" customHeight="false" outlineLevel="0" collapsed="false">
      <c r="A39" s="24"/>
      <c r="B39" s="24"/>
      <c r="C39" s="24"/>
      <c r="D39" s="24"/>
      <c r="E39" s="24"/>
      <c r="F39" s="24"/>
      <c r="G39" s="24"/>
      <c r="H39" s="24"/>
      <c r="I39" s="32"/>
      <c r="J39" s="32"/>
      <c r="K39" s="32"/>
      <c r="L39" s="32"/>
      <c r="M39" s="24"/>
      <c r="N39" s="24"/>
      <c r="O39" s="24"/>
      <c r="P39" s="33" t="str">
        <f aca="false">IF(AND(G39&lt;&gt;"",I39&lt;&gt;"",J39&lt;&gt;""),(J39-I39)*1440,"")</f>
        <v/>
      </c>
      <c r="Q39" s="33" t="str">
        <f aca="false">IF(AND(G39&lt;&gt;"",J39&lt;&gt;"",K39&lt;&gt;""),(K39-J39)*1440,"")</f>
        <v/>
      </c>
      <c r="R39" s="33" t="str">
        <f aca="false">IF(AND(G39&lt;&gt;"",K39&lt;&gt;"",L39&lt;&gt;""),(L39-K39)*1440,"")</f>
        <v/>
      </c>
      <c r="S39" s="33" t="str">
        <f aca="false">IF(AND(G39&lt;&gt;"",I39&lt;&gt;"",L39&lt;&gt;""),(L39-I39)*1440,"")</f>
        <v/>
      </c>
      <c r="T39" s="33" t="str">
        <f aca="false">IF(G39="","",IFERROR(INDEX(Settings!$B$5:$B$8,MATCH(G39,Settings!$A$5:$A$8,0)),""))</f>
        <v/>
      </c>
      <c r="U39" s="25" t="str">
        <f aca="false">IF(G39="","",IF(S39="","No",IF(S39&lt;=T39,"Yes","No")))</f>
        <v/>
      </c>
      <c r="V39" s="25" t="str">
        <f aca="false">IF(G39="","",IF(AND(J39="",K39="",L39=""),"Telemetry Blind Spot",IF(AND(K39="",L39=""),"Missed Alert",IF(L39="","Triage Delay",IF(S39&lt;=T39,"Detected - Within SLA",IF(AND(R39&lt;&gt;"",R39&gt;IFERROR(INDEX(Settings!$C$5:$C$8,MATCH(G39,Settings!$A$5:$A$8,0)),1E+099)),"Triage Delay","Detected - SLA Breach"))))))</f>
        <v/>
      </c>
      <c r="W39" s="25" t="str">
        <f aca="false">IF(G39="","",IF(L39&lt;&gt;"",1,0))</f>
        <v/>
      </c>
      <c r="X39" s="32"/>
      <c r="Y39" s="32"/>
      <c r="Z39" s="32"/>
      <c r="AA39" s="24"/>
      <c r="AB39" s="24"/>
      <c r="AC39" s="33" t="str">
        <f aca="false">IF(AND(G39&lt;&gt;"",L39&lt;&gt;"",X39&lt;&gt;""),(X39-L39)*1440,"")</f>
        <v/>
      </c>
      <c r="AD39" s="33" t="str">
        <f aca="false">IF(AND(G39&lt;&gt;"",X39&lt;&gt;"",Y39&lt;&gt;""),(Y39-X39)*1440,"")</f>
        <v/>
      </c>
      <c r="AE39" s="33" t="str">
        <f aca="false">IF(AND(G39&lt;&gt;"",Y39&lt;&gt;"",Z39&lt;&gt;""),(Z39-Y39)*1440,"")</f>
        <v/>
      </c>
      <c r="AF39" s="33" t="str">
        <f aca="false">IF(AND(G39&lt;&gt;"",L39&lt;&gt;"",Z39&lt;&gt;""),(Z39-L39)*1440,"")</f>
        <v/>
      </c>
      <c r="AG39" s="33" t="str">
        <f aca="false">IF(G39="","",IFERROR(INDEX(Settings!$D$5:$D$8,MATCH(G39,Settings!$A$5:$A$8,0)),""))</f>
        <v/>
      </c>
      <c r="AH39" s="25" t="str">
        <f aca="false">IF(G39="","",IF(AF39="","No",IF(AF39&lt;=AG39,"Yes","No")))</f>
        <v/>
      </c>
      <c r="AI39" s="25" t="str">
        <f aca="false">IF(G39="","",IF(L39="","N/A - Not Detected",IF(AND(X39="",Y39="",Z39=""),"No Containment Action",IF(Z39="",IF(Y39&lt;&gt;"","C2 Persisted","Host Isolation Gap"),IF(AF39&lt;=AG39,"Contained - Within SLA","Contained - SLA Breach")))))</f>
        <v/>
      </c>
      <c r="AJ39" s="25" t="str">
        <f aca="false">IF(G39="","",IF(Z39&lt;&gt;"",1,0))</f>
        <v/>
      </c>
      <c r="AK39" s="34"/>
      <c r="AL39" s="34"/>
      <c r="AM39" s="35"/>
      <c r="AN39" s="34"/>
      <c r="AO39" s="34"/>
      <c r="AP39" s="35"/>
      <c r="AQ39" s="34"/>
      <c r="AR39" s="34"/>
      <c r="AS39" s="34"/>
      <c r="AT39" s="35"/>
      <c r="AU39" s="35"/>
    </row>
    <row r="40" customFormat="false" ht="15" hidden="false" customHeight="false" outlineLevel="0" collapsed="false">
      <c r="A40" s="24"/>
      <c r="B40" s="24"/>
      <c r="C40" s="24"/>
      <c r="D40" s="24"/>
      <c r="E40" s="24"/>
      <c r="F40" s="24"/>
      <c r="G40" s="24"/>
      <c r="H40" s="24"/>
      <c r="I40" s="32"/>
      <c r="J40" s="32"/>
      <c r="K40" s="32"/>
      <c r="L40" s="32"/>
      <c r="M40" s="24"/>
      <c r="N40" s="24"/>
      <c r="O40" s="24"/>
      <c r="P40" s="33" t="str">
        <f aca="false">IF(AND(G40&lt;&gt;"",I40&lt;&gt;"",J40&lt;&gt;""),(J40-I40)*1440,"")</f>
        <v/>
      </c>
      <c r="Q40" s="33" t="str">
        <f aca="false">IF(AND(G40&lt;&gt;"",J40&lt;&gt;"",K40&lt;&gt;""),(K40-J40)*1440,"")</f>
        <v/>
      </c>
      <c r="R40" s="33" t="str">
        <f aca="false">IF(AND(G40&lt;&gt;"",K40&lt;&gt;"",L40&lt;&gt;""),(L40-K40)*1440,"")</f>
        <v/>
      </c>
      <c r="S40" s="33" t="str">
        <f aca="false">IF(AND(G40&lt;&gt;"",I40&lt;&gt;"",L40&lt;&gt;""),(L40-I40)*1440,"")</f>
        <v/>
      </c>
      <c r="T40" s="33" t="str">
        <f aca="false">IF(G40="","",IFERROR(INDEX(Settings!$B$5:$B$8,MATCH(G40,Settings!$A$5:$A$8,0)),""))</f>
        <v/>
      </c>
      <c r="U40" s="25" t="str">
        <f aca="false">IF(G40="","",IF(S40="","No",IF(S40&lt;=T40,"Yes","No")))</f>
        <v/>
      </c>
      <c r="V40" s="25" t="str">
        <f aca="false">IF(G40="","",IF(AND(J40="",K40="",L40=""),"Telemetry Blind Spot",IF(AND(K40="",L40=""),"Missed Alert",IF(L40="","Triage Delay",IF(S40&lt;=T40,"Detected - Within SLA",IF(AND(R40&lt;&gt;"",R40&gt;IFERROR(INDEX(Settings!$C$5:$C$8,MATCH(G40,Settings!$A$5:$A$8,0)),1E+099)),"Triage Delay","Detected - SLA Breach"))))))</f>
        <v/>
      </c>
      <c r="W40" s="25" t="str">
        <f aca="false">IF(G40="","",IF(L40&lt;&gt;"",1,0))</f>
        <v/>
      </c>
      <c r="X40" s="32"/>
      <c r="Y40" s="32"/>
      <c r="Z40" s="32"/>
      <c r="AA40" s="24"/>
      <c r="AB40" s="24"/>
      <c r="AC40" s="33" t="str">
        <f aca="false">IF(AND(G40&lt;&gt;"",L40&lt;&gt;"",X40&lt;&gt;""),(X40-L40)*1440,"")</f>
        <v/>
      </c>
      <c r="AD40" s="33" t="str">
        <f aca="false">IF(AND(G40&lt;&gt;"",X40&lt;&gt;"",Y40&lt;&gt;""),(Y40-X40)*1440,"")</f>
        <v/>
      </c>
      <c r="AE40" s="33" t="str">
        <f aca="false">IF(AND(G40&lt;&gt;"",Y40&lt;&gt;"",Z40&lt;&gt;""),(Z40-Y40)*1440,"")</f>
        <v/>
      </c>
      <c r="AF40" s="33" t="str">
        <f aca="false">IF(AND(G40&lt;&gt;"",L40&lt;&gt;"",Z40&lt;&gt;""),(Z40-L40)*1440,"")</f>
        <v/>
      </c>
      <c r="AG40" s="33" t="str">
        <f aca="false">IF(G40="","",IFERROR(INDEX(Settings!$D$5:$D$8,MATCH(G40,Settings!$A$5:$A$8,0)),""))</f>
        <v/>
      </c>
      <c r="AH40" s="25" t="str">
        <f aca="false">IF(G40="","",IF(AF40="","No",IF(AF40&lt;=AG40,"Yes","No")))</f>
        <v/>
      </c>
      <c r="AI40" s="25" t="str">
        <f aca="false">IF(G40="","",IF(L40="","N/A - Not Detected",IF(AND(X40="",Y40="",Z40=""),"No Containment Action",IF(Z40="",IF(Y40&lt;&gt;"","C2 Persisted","Host Isolation Gap"),IF(AF40&lt;=AG40,"Contained - Within SLA","Contained - SLA Breach")))))</f>
        <v/>
      </c>
      <c r="AJ40" s="25" t="str">
        <f aca="false">IF(G40="","",IF(Z40&lt;&gt;"",1,0))</f>
        <v/>
      </c>
      <c r="AK40" s="34"/>
      <c r="AL40" s="34"/>
      <c r="AM40" s="35"/>
      <c r="AN40" s="34"/>
      <c r="AO40" s="34"/>
      <c r="AP40" s="35"/>
      <c r="AQ40" s="34"/>
      <c r="AR40" s="34"/>
      <c r="AS40" s="34"/>
      <c r="AT40" s="35"/>
      <c r="AU40" s="35"/>
    </row>
    <row r="41" customFormat="false" ht="15" hidden="false" customHeight="false" outlineLevel="0" collapsed="false">
      <c r="A41" s="24"/>
      <c r="B41" s="24"/>
      <c r="C41" s="24"/>
      <c r="D41" s="24"/>
      <c r="E41" s="24"/>
      <c r="F41" s="24"/>
      <c r="G41" s="24"/>
      <c r="H41" s="24"/>
      <c r="I41" s="32"/>
      <c r="J41" s="32"/>
      <c r="K41" s="32"/>
      <c r="L41" s="32"/>
      <c r="M41" s="24"/>
      <c r="N41" s="24"/>
      <c r="O41" s="24"/>
      <c r="P41" s="33" t="str">
        <f aca="false">IF(AND(G41&lt;&gt;"",I41&lt;&gt;"",J41&lt;&gt;""),(J41-I41)*1440,"")</f>
        <v/>
      </c>
      <c r="Q41" s="33" t="str">
        <f aca="false">IF(AND(G41&lt;&gt;"",J41&lt;&gt;"",K41&lt;&gt;""),(K41-J41)*1440,"")</f>
        <v/>
      </c>
      <c r="R41" s="33" t="str">
        <f aca="false">IF(AND(G41&lt;&gt;"",K41&lt;&gt;"",L41&lt;&gt;""),(L41-K41)*1440,"")</f>
        <v/>
      </c>
      <c r="S41" s="33" t="str">
        <f aca="false">IF(AND(G41&lt;&gt;"",I41&lt;&gt;"",L41&lt;&gt;""),(L41-I41)*1440,"")</f>
        <v/>
      </c>
      <c r="T41" s="33" t="str">
        <f aca="false">IF(G41="","",IFERROR(INDEX(Settings!$B$5:$B$8,MATCH(G41,Settings!$A$5:$A$8,0)),""))</f>
        <v/>
      </c>
      <c r="U41" s="25" t="str">
        <f aca="false">IF(G41="","",IF(S41="","No",IF(S41&lt;=T41,"Yes","No")))</f>
        <v/>
      </c>
      <c r="V41" s="25" t="str">
        <f aca="false">IF(G41="","",IF(AND(J41="",K41="",L41=""),"Telemetry Blind Spot",IF(AND(K41="",L41=""),"Missed Alert",IF(L41="","Triage Delay",IF(S41&lt;=T41,"Detected - Within SLA",IF(AND(R41&lt;&gt;"",R41&gt;IFERROR(INDEX(Settings!$C$5:$C$8,MATCH(G41,Settings!$A$5:$A$8,0)),1E+099)),"Triage Delay","Detected - SLA Breach"))))))</f>
        <v/>
      </c>
      <c r="W41" s="25" t="str">
        <f aca="false">IF(G41="","",IF(L41&lt;&gt;"",1,0))</f>
        <v/>
      </c>
      <c r="X41" s="32"/>
      <c r="Y41" s="32"/>
      <c r="Z41" s="32"/>
      <c r="AA41" s="24"/>
      <c r="AB41" s="24"/>
      <c r="AC41" s="33" t="str">
        <f aca="false">IF(AND(G41&lt;&gt;"",L41&lt;&gt;"",X41&lt;&gt;""),(X41-L41)*1440,"")</f>
        <v/>
      </c>
      <c r="AD41" s="33" t="str">
        <f aca="false">IF(AND(G41&lt;&gt;"",X41&lt;&gt;"",Y41&lt;&gt;""),(Y41-X41)*1440,"")</f>
        <v/>
      </c>
      <c r="AE41" s="33" t="str">
        <f aca="false">IF(AND(G41&lt;&gt;"",Y41&lt;&gt;"",Z41&lt;&gt;""),(Z41-Y41)*1440,"")</f>
        <v/>
      </c>
      <c r="AF41" s="33" t="str">
        <f aca="false">IF(AND(G41&lt;&gt;"",L41&lt;&gt;"",Z41&lt;&gt;""),(Z41-L41)*1440,"")</f>
        <v/>
      </c>
      <c r="AG41" s="33" t="str">
        <f aca="false">IF(G41="","",IFERROR(INDEX(Settings!$D$5:$D$8,MATCH(G41,Settings!$A$5:$A$8,0)),""))</f>
        <v/>
      </c>
      <c r="AH41" s="25" t="str">
        <f aca="false">IF(G41="","",IF(AF41="","No",IF(AF41&lt;=AG41,"Yes","No")))</f>
        <v/>
      </c>
      <c r="AI41" s="25" t="str">
        <f aca="false">IF(G41="","",IF(L41="","N/A - Not Detected",IF(AND(X41="",Y41="",Z41=""),"No Containment Action",IF(Z41="",IF(Y41&lt;&gt;"","C2 Persisted","Host Isolation Gap"),IF(AF41&lt;=AG41,"Contained - Within SLA","Contained - SLA Breach")))))</f>
        <v/>
      </c>
      <c r="AJ41" s="25" t="str">
        <f aca="false">IF(G41="","",IF(Z41&lt;&gt;"",1,0))</f>
        <v/>
      </c>
      <c r="AK41" s="34"/>
      <c r="AL41" s="34"/>
      <c r="AM41" s="35"/>
      <c r="AN41" s="34"/>
      <c r="AO41" s="34"/>
      <c r="AP41" s="35"/>
      <c r="AQ41" s="34"/>
      <c r="AR41" s="34"/>
      <c r="AS41" s="34"/>
      <c r="AT41" s="35"/>
      <c r="AU41" s="35"/>
    </row>
    <row r="42" customFormat="false" ht="15" hidden="false" customHeight="false" outlineLevel="0" collapsed="false">
      <c r="A42" s="24"/>
      <c r="B42" s="24"/>
      <c r="C42" s="24"/>
      <c r="D42" s="24"/>
      <c r="E42" s="24"/>
      <c r="F42" s="24"/>
      <c r="G42" s="24"/>
      <c r="H42" s="24"/>
      <c r="I42" s="32"/>
      <c r="J42" s="32"/>
      <c r="K42" s="32"/>
      <c r="L42" s="32"/>
      <c r="M42" s="24"/>
      <c r="N42" s="24"/>
      <c r="O42" s="24"/>
      <c r="P42" s="33" t="str">
        <f aca="false">IF(AND(G42&lt;&gt;"",I42&lt;&gt;"",J42&lt;&gt;""),(J42-I42)*1440,"")</f>
        <v/>
      </c>
      <c r="Q42" s="33" t="str">
        <f aca="false">IF(AND(G42&lt;&gt;"",J42&lt;&gt;"",K42&lt;&gt;""),(K42-J42)*1440,"")</f>
        <v/>
      </c>
      <c r="R42" s="33" t="str">
        <f aca="false">IF(AND(G42&lt;&gt;"",K42&lt;&gt;"",L42&lt;&gt;""),(L42-K42)*1440,"")</f>
        <v/>
      </c>
      <c r="S42" s="33" t="str">
        <f aca="false">IF(AND(G42&lt;&gt;"",I42&lt;&gt;"",L42&lt;&gt;""),(L42-I42)*1440,"")</f>
        <v/>
      </c>
      <c r="T42" s="33" t="str">
        <f aca="false">IF(G42="","",IFERROR(INDEX(Settings!$B$5:$B$8,MATCH(G42,Settings!$A$5:$A$8,0)),""))</f>
        <v/>
      </c>
      <c r="U42" s="25" t="str">
        <f aca="false">IF(G42="","",IF(S42="","No",IF(S42&lt;=T42,"Yes","No")))</f>
        <v/>
      </c>
      <c r="V42" s="25" t="str">
        <f aca="false">IF(G42="","",IF(AND(J42="",K42="",L42=""),"Telemetry Blind Spot",IF(AND(K42="",L42=""),"Missed Alert",IF(L42="","Triage Delay",IF(S42&lt;=T42,"Detected - Within SLA",IF(AND(R42&lt;&gt;"",R42&gt;IFERROR(INDEX(Settings!$C$5:$C$8,MATCH(G42,Settings!$A$5:$A$8,0)),1E+099)),"Triage Delay","Detected - SLA Breach"))))))</f>
        <v/>
      </c>
      <c r="W42" s="25" t="str">
        <f aca="false">IF(G42="","",IF(L42&lt;&gt;"",1,0))</f>
        <v/>
      </c>
      <c r="X42" s="32"/>
      <c r="Y42" s="32"/>
      <c r="Z42" s="32"/>
      <c r="AA42" s="24"/>
      <c r="AB42" s="24"/>
      <c r="AC42" s="33" t="str">
        <f aca="false">IF(AND(G42&lt;&gt;"",L42&lt;&gt;"",X42&lt;&gt;""),(X42-L42)*1440,"")</f>
        <v/>
      </c>
      <c r="AD42" s="33" t="str">
        <f aca="false">IF(AND(G42&lt;&gt;"",X42&lt;&gt;"",Y42&lt;&gt;""),(Y42-X42)*1440,"")</f>
        <v/>
      </c>
      <c r="AE42" s="33" t="str">
        <f aca="false">IF(AND(G42&lt;&gt;"",Y42&lt;&gt;"",Z42&lt;&gt;""),(Z42-Y42)*1440,"")</f>
        <v/>
      </c>
      <c r="AF42" s="33" t="str">
        <f aca="false">IF(AND(G42&lt;&gt;"",L42&lt;&gt;"",Z42&lt;&gt;""),(Z42-L42)*1440,"")</f>
        <v/>
      </c>
      <c r="AG42" s="33" t="str">
        <f aca="false">IF(G42="","",IFERROR(INDEX(Settings!$D$5:$D$8,MATCH(G42,Settings!$A$5:$A$8,0)),""))</f>
        <v/>
      </c>
      <c r="AH42" s="25" t="str">
        <f aca="false">IF(G42="","",IF(AF42="","No",IF(AF42&lt;=AG42,"Yes","No")))</f>
        <v/>
      </c>
      <c r="AI42" s="25" t="str">
        <f aca="false">IF(G42="","",IF(L42="","N/A - Not Detected",IF(AND(X42="",Y42="",Z42=""),"No Containment Action",IF(Z42="",IF(Y42&lt;&gt;"","C2 Persisted","Host Isolation Gap"),IF(AF42&lt;=AG42,"Contained - Within SLA","Contained - SLA Breach")))))</f>
        <v/>
      </c>
      <c r="AJ42" s="25" t="str">
        <f aca="false">IF(G42="","",IF(Z42&lt;&gt;"",1,0))</f>
        <v/>
      </c>
      <c r="AK42" s="34"/>
      <c r="AL42" s="34"/>
      <c r="AM42" s="35"/>
      <c r="AN42" s="34"/>
      <c r="AO42" s="34"/>
      <c r="AP42" s="35"/>
      <c r="AQ42" s="34"/>
      <c r="AR42" s="34"/>
      <c r="AS42" s="34"/>
      <c r="AT42" s="35"/>
      <c r="AU42" s="35"/>
    </row>
    <row r="43" customFormat="false" ht="15" hidden="false" customHeight="false" outlineLevel="0" collapsed="false">
      <c r="A43" s="24"/>
      <c r="B43" s="24"/>
      <c r="C43" s="24"/>
      <c r="D43" s="24"/>
      <c r="E43" s="24"/>
      <c r="F43" s="24"/>
      <c r="G43" s="24"/>
      <c r="H43" s="24"/>
      <c r="I43" s="32"/>
      <c r="J43" s="32"/>
      <c r="K43" s="32"/>
      <c r="L43" s="32"/>
      <c r="M43" s="24"/>
      <c r="N43" s="24"/>
      <c r="O43" s="24"/>
      <c r="P43" s="33" t="str">
        <f aca="false">IF(AND(G43&lt;&gt;"",I43&lt;&gt;"",J43&lt;&gt;""),(J43-I43)*1440,"")</f>
        <v/>
      </c>
      <c r="Q43" s="33" t="str">
        <f aca="false">IF(AND(G43&lt;&gt;"",J43&lt;&gt;"",K43&lt;&gt;""),(K43-J43)*1440,"")</f>
        <v/>
      </c>
      <c r="R43" s="33" t="str">
        <f aca="false">IF(AND(G43&lt;&gt;"",K43&lt;&gt;"",L43&lt;&gt;""),(L43-K43)*1440,"")</f>
        <v/>
      </c>
      <c r="S43" s="33" t="str">
        <f aca="false">IF(AND(G43&lt;&gt;"",I43&lt;&gt;"",L43&lt;&gt;""),(L43-I43)*1440,"")</f>
        <v/>
      </c>
      <c r="T43" s="33" t="str">
        <f aca="false">IF(G43="","",IFERROR(INDEX(Settings!$B$5:$B$8,MATCH(G43,Settings!$A$5:$A$8,0)),""))</f>
        <v/>
      </c>
      <c r="U43" s="25" t="str">
        <f aca="false">IF(G43="","",IF(S43="","No",IF(S43&lt;=T43,"Yes","No")))</f>
        <v/>
      </c>
      <c r="V43" s="25" t="str">
        <f aca="false">IF(G43="","",IF(AND(J43="",K43="",L43=""),"Telemetry Blind Spot",IF(AND(K43="",L43=""),"Missed Alert",IF(L43="","Triage Delay",IF(S43&lt;=T43,"Detected - Within SLA",IF(AND(R43&lt;&gt;"",R43&gt;IFERROR(INDEX(Settings!$C$5:$C$8,MATCH(G43,Settings!$A$5:$A$8,0)),1E+099)),"Triage Delay","Detected - SLA Breach"))))))</f>
        <v/>
      </c>
      <c r="W43" s="25" t="str">
        <f aca="false">IF(G43="","",IF(L43&lt;&gt;"",1,0))</f>
        <v/>
      </c>
      <c r="X43" s="32"/>
      <c r="Y43" s="32"/>
      <c r="Z43" s="32"/>
      <c r="AA43" s="24"/>
      <c r="AB43" s="24"/>
      <c r="AC43" s="33" t="str">
        <f aca="false">IF(AND(G43&lt;&gt;"",L43&lt;&gt;"",X43&lt;&gt;""),(X43-L43)*1440,"")</f>
        <v/>
      </c>
      <c r="AD43" s="33" t="str">
        <f aca="false">IF(AND(G43&lt;&gt;"",X43&lt;&gt;"",Y43&lt;&gt;""),(Y43-X43)*1440,"")</f>
        <v/>
      </c>
      <c r="AE43" s="33" t="str">
        <f aca="false">IF(AND(G43&lt;&gt;"",Y43&lt;&gt;"",Z43&lt;&gt;""),(Z43-Y43)*1440,"")</f>
        <v/>
      </c>
      <c r="AF43" s="33" t="str">
        <f aca="false">IF(AND(G43&lt;&gt;"",L43&lt;&gt;"",Z43&lt;&gt;""),(Z43-L43)*1440,"")</f>
        <v/>
      </c>
      <c r="AG43" s="33" t="str">
        <f aca="false">IF(G43="","",IFERROR(INDEX(Settings!$D$5:$D$8,MATCH(G43,Settings!$A$5:$A$8,0)),""))</f>
        <v/>
      </c>
      <c r="AH43" s="25" t="str">
        <f aca="false">IF(G43="","",IF(AF43="","No",IF(AF43&lt;=AG43,"Yes","No")))</f>
        <v/>
      </c>
      <c r="AI43" s="25" t="str">
        <f aca="false">IF(G43="","",IF(L43="","N/A - Not Detected",IF(AND(X43="",Y43="",Z43=""),"No Containment Action",IF(Z43="",IF(Y43&lt;&gt;"","C2 Persisted","Host Isolation Gap"),IF(AF43&lt;=AG43,"Contained - Within SLA","Contained - SLA Breach")))))</f>
        <v/>
      </c>
      <c r="AJ43" s="25" t="str">
        <f aca="false">IF(G43="","",IF(Z43&lt;&gt;"",1,0))</f>
        <v/>
      </c>
      <c r="AK43" s="34"/>
      <c r="AL43" s="34"/>
      <c r="AM43" s="35"/>
      <c r="AN43" s="34"/>
      <c r="AO43" s="34"/>
      <c r="AP43" s="35"/>
      <c r="AQ43" s="34"/>
      <c r="AR43" s="34"/>
      <c r="AS43" s="34"/>
      <c r="AT43" s="35"/>
      <c r="AU43" s="35"/>
    </row>
    <row r="44" customFormat="false" ht="15" hidden="false" customHeight="false" outlineLevel="0" collapsed="false">
      <c r="A44" s="24"/>
      <c r="B44" s="24"/>
      <c r="C44" s="24"/>
      <c r="D44" s="24"/>
      <c r="E44" s="24"/>
      <c r="F44" s="24"/>
      <c r="G44" s="24"/>
      <c r="H44" s="24"/>
      <c r="I44" s="32"/>
      <c r="J44" s="32"/>
      <c r="K44" s="32"/>
      <c r="L44" s="32"/>
      <c r="M44" s="24"/>
      <c r="N44" s="24"/>
      <c r="O44" s="24"/>
      <c r="P44" s="33" t="str">
        <f aca="false">IF(AND(G44&lt;&gt;"",I44&lt;&gt;"",J44&lt;&gt;""),(J44-I44)*1440,"")</f>
        <v/>
      </c>
      <c r="Q44" s="33" t="str">
        <f aca="false">IF(AND(G44&lt;&gt;"",J44&lt;&gt;"",K44&lt;&gt;""),(K44-J44)*1440,"")</f>
        <v/>
      </c>
      <c r="R44" s="33" t="str">
        <f aca="false">IF(AND(G44&lt;&gt;"",K44&lt;&gt;"",L44&lt;&gt;""),(L44-K44)*1440,"")</f>
        <v/>
      </c>
      <c r="S44" s="33" t="str">
        <f aca="false">IF(AND(G44&lt;&gt;"",I44&lt;&gt;"",L44&lt;&gt;""),(L44-I44)*1440,"")</f>
        <v/>
      </c>
      <c r="T44" s="33" t="str">
        <f aca="false">IF(G44="","",IFERROR(INDEX(Settings!$B$5:$B$8,MATCH(G44,Settings!$A$5:$A$8,0)),""))</f>
        <v/>
      </c>
      <c r="U44" s="25" t="str">
        <f aca="false">IF(G44="","",IF(S44="","No",IF(S44&lt;=T44,"Yes","No")))</f>
        <v/>
      </c>
      <c r="V44" s="25" t="str">
        <f aca="false">IF(G44="","",IF(AND(J44="",K44="",L44=""),"Telemetry Blind Spot",IF(AND(K44="",L44=""),"Missed Alert",IF(L44="","Triage Delay",IF(S44&lt;=T44,"Detected - Within SLA",IF(AND(R44&lt;&gt;"",R44&gt;IFERROR(INDEX(Settings!$C$5:$C$8,MATCH(G44,Settings!$A$5:$A$8,0)),1E+099)),"Triage Delay","Detected - SLA Breach"))))))</f>
        <v/>
      </c>
      <c r="W44" s="25" t="str">
        <f aca="false">IF(G44="","",IF(L44&lt;&gt;"",1,0))</f>
        <v/>
      </c>
      <c r="X44" s="32"/>
      <c r="Y44" s="32"/>
      <c r="Z44" s="32"/>
      <c r="AA44" s="24"/>
      <c r="AB44" s="24"/>
      <c r="AC44" s="33" t="str">
        <f aca="false">IF(AND(G44&lt;&gt;"",L44&lt;&gt;"",X44&lt;&gt;""),(X44-L44)*1440,"")</f>
        <v/>
      </c>
      <c r="AD44" s="33" t="str">
        <f aca="false">IF(AND(G44&lt;&gt;"",X44&lt;&gt;"",Y44&lt;&gt;""),(Y44-X44)*1440,"")</f>
        <v/>
      </c>
      <c r="AE44" s="33" t="str">
        <f aca="false">IF(AND(G44&lt;&gt;"",Y44&lt;&gt;"",Z44&lt;&gt;""),(Z44-Y44)*1440,"")</f>
        <v/>
      </c>
      <c r="AF44" s="33" t="str">
        <f aca="false">IF(AND(G44&lt;&gt;"",L44&lt;&gt;"",Z44&lt;&gt;""),(Z44-L44)*1440,"")</f>
        <v/>
      </c>
      <c r="AG44" s="33" t="str">
        <f aca="false">IF(G44="","",IFERROR(INDEX(Settings!$D$5:$D$8,MATCH(G44,Settings!$A$5:$A$8,0)),""))</f>
        <v/>
      </c>
      <c r="AH44" s="25" t="str">
        <f aca="false">IF(G44="","",IF(AF44="","No",IF(AF44&lt;=AG44,"Yes","No")))</f>
        <v/>
      </c>
      <c r="AI44" s="25" t="str">
        <f aca="false">IF(G44="","",IF(L44="","N/A - Not Detected",IF(AND(X44="",Y44="",Z44=""),"No Containment Action",IF(Z44="",IF(Y44&lt;&gt;"","C2 Persisted","Host Isolation Gap"),IF(AF44&lt;=AG44,"Contained - Within SLA","Contained - SLA Breach")))))</f>
        <v/>
      </c>
      <c r="AJ44" s="25" t="str">
        <f aca="false">IF(G44="","",IF(Z44&lt;&gt;"",1,0))</f>
        <v/>
      </c>
      <c r="AK44" s="34"/>
      <c r="AL44" s="34"/>
      <c r="AM44" s="35"/>
      <c r="AN44" s="34"/>
      <c r="AO44" s="34"/>
      <c r="AP44" s="35"/>
      <c r="AQ44" s="34"/>
      <c r="AR44" s="34"/>
      <c r="AS44" s="34"/>
      <c r="AT44" s="35"/>
      <c r="AU44" s="35"/>
    </row>
    <row r="45" customFormat="false" ht="15" hidden="false" customHeight="false" outlineLevel="0" collapsed="false">
      <c r="A45" s="24"/>
      <c r="B45" s="24"/>
      <c r="C45" s="24"/>
      <c r="D45" s="24"/>
      <c r="E45" s="24"/>
      <c r="F45" s="24"/>
      <c r="G45" s="24"/>
      <c r="H45" s="24"/>
      <c r="I45" s="32"/>
      <c r="J45" s="32"/>
      <c r="K45" s="32"/>
      <c r="L45" s="32"/>
      <c r="M45" s="24"/>
      <c r="N45" s="24"/>
      <c r="O45" s="24"/>
      <c r="P45" s="33" t="str">
        <f aca="false">IF(AND(G45&lt;&gt;"",I45&lt;&gt;"",J45&lt;&gt;""),(J45-I45)*1440,"")</f>
        <v/>
      </c>
      <c r="Q45" s="33" t="str">
        <f aca="false">IF(AND(G45&lt;&gt;"",J45&lt;&gt;"",K45&lt;&gt;""),(K45-J45)*1440,"")</f>
        <v/>
      </c>
      <c r="R45" s="33" t="str">
        <f aca="false">IF(AND(G45&lt;&gt;"",K45&lt;&gt;"",L45&lt;&gt;""),(L45-K45)*1440,"")</f>
        <v/>
      </c>
      <c r="S45" s="33" t="str">
        <f aca="false">IF(AND(G45&lt;&gt;"",I45&lt;&gt;"",L45&lt;&gt;""),(L45-I45)*1440,"")</f>
        <v/>
      </c>
      <c r="T45" s="33" t="str">
        <f aca="false">IF(G45="","",IFERROR(INDEX(Settings!$B$5:$B$8,MATCH(G45,Settings!$A$5:$A$8,0)),""))</f>
        <v/>
      </c>
      <c r="U45" s="25" t="str">
        <f aca="false">IF(G45="","",IF(S45="","No",IF(S45&lt;=T45,"Yes","No")))</f>
        <v/>
      </c>
      <c r="V45" s="25" t="str">
        <f aca="false">IF(G45="","",IF(AND(J45="",K45="",L45=""),"Telemetry Blind Spot",IF(AND(K45="",L45=""),"Missed Alert",IF(L45="","Triage Delay",IF(S45&lt;=T45,"Detected - Within SLA",IF(AND(R45&lt;&gt;"",R45&gt;IFERROR(INDEX(Settings!$C$5:$C$8,MATCH(G45,Settings!$A$5:$A$8,0)),1E+099)),"Triage Delay","Detected - SLA Breach"))))))</f>
        <v/>
      </c>
      <c r="W45" s="25" t="str">
        <f aca="false">IF(G45="","",IF(L45&lt;&gt;"",1,0))</f>
        <v/>
      </c>
      <c r="X45" s="32"/>
      <c r="Y45" s="32"/>
      <c r="Z45" s="32"/>
      <c r="AA45" s="24"/>
      <c r="AB45" s="24"/>
      <c r="AC45" s="33" t="str">
        <f aca="false">IF(AND(G45&lt;&gt;"",L45&lt;&gt;"",X45&lt;&gt;""),(X45-L45)*1440,"")</f>
        <v/>
      </c>
      <c r="AD45" s="33" t="str">
        <f aca="false">IF(AND(G45&lt;&gt;"",X45&lt;&gt;"",Y45&lt;&gt;""),(Y45-X45)*1440,"")</f>
        <v/>
      </c>
      <c r="AE45" s="33" t="str">
        <f aca="false">IF(AND(G45&lt;&gt;"",Y45&lt;&gt;"",Z45&lt;&gt;""),(Z45-Y45)*1440,"")</f>
        <v/>
      </c>
      <c r="AF45" s="33" t="str">
        <f aca="false">IF(AND(G45&lt;&gt;"",L45&lt;&gt;"",Z45&lt;&gt;""),(Z45-L45)*1440,"")</f>
        <v/>
      </c>
      <c r="AG45" s="33" t="str">
        <f aca="false">IF(G45="","",IFERROR(INDEX(Settings!$D$5:$D$8,MATCH(G45,Settings!$A$5:$A$8,0)),""))</f>
        <v/>
      </c>
      <c r="AH45" s="25" t="str">
        <f aca="false">IF(G45="","",IF(AF45="","No",IF(AF45&lt;=AG45,"Yes","No")))</f>
        <v/>
      </c>
      <c r="AI45" s="25" t="str">
        <f aca="false">IF(G45="","",IF(L45="","N/A - Not Detected",IF(AND(X45="",Y45="",Z45=""),"No Containment Action",IF(Z45="",IF(Y45&lt;&gt;"","C2 Persisted","Host Isolation Gap"),IF(AF45&lt;=AG45,"Contained - Within SLA","Contained - SLA Breach")))))</f>
        <v/>
      </c>
      <c r="AJ45" s="25" t="str">
        <f aca="false">IF(G45="","",IF(Z45&lt;&gt;"",1,0))</f>
        <v/>
      </c>
      <c r="AK45" s="34"/>
      <c r="AL45" s="34"/>
      <c r="AM45" s="35"/>
      <c r="AN45" s="34"/>
      <c r="AO45" s="34"/>
      <c r="AP45" s="35"/>
      <c r="AQ45" s="34"/>
      <c r="AR45" s="34"/>
      <c r="AS45" s="34"/>
      <c r="AT45" s="35"/>
      <c r="AU45" s="35"/>
    </row>
    <row r="46" customFormat="false" ht="15" hidden="false" customHeight="false" outlineLevel="0" collapsed="false">
      <c r="A46" s="24"/>
      <c r="B46" s="24"/>
      <c r="C46" s="24"/>
      <c r="D46" s="24"/>
      <c r="E46" s="24"/>
      <c r="F46" s="24"/>
      <c r="G46" s="24"/>
      <c r="H46" s="24"/>
      <c r="I46" s="32"/>
      <c r="J46" s="32"/>
      <c r="K46" s="32"/>
      <c r="L46" s="32"/>
      <c r="M46" s="24"/>
      <c r="N46" s="24"/>
      <c r="O46" s="24"/>
      <c r="P46" s="33" t="str">
        <f aca="false">IF(AND(G46&lt;&gt;"",I46&lt;&gt;"",J46&lt;&gt;""),(J46-I46)*1440,"")</f>
        <v/>
      </c>
      <c r="Q46" s="33" t="str">
        <f aca="false">IF(AND(G46&lt;&gt;"",J46&lt;&gt;"",K46&lt;&gt;""),(K46-J46)*1440,"")</f>
        <v/>
      </c>
      <c r="R46" s="33" t="str">
        <f aca="false">IF(AND(G46&lt;&gt;"",K46&lt;&gt;"",L46&lt;&gt;""),(L46-K46)*1440,"")</f>
        <v/>
      </c>
      <c r="S46" s="33" t="str">
        <f aca="false">IF(AND(G46&lt;&gt;"",I46&lt;&gt;"",L46&lt;&gt;""),(L46-I46)*1440,"")</f>
        <v/>
      </c>
      <c r="T46" s="33" t="str">
        <f aca="false">IF(G46="","",IFERROR(INDEX(Settings!$B$5:$B$8,MATCH(G46,Settings!$A$5:$A$8,0)),""))</f>
        <v/>
      </c>
      <c r="U46" s="25" t="str">
        <f aca="false">IF(G46="","",IF(S46="","No",IF(S46&lt;=T46,"Yes","No")))</f>
        <v/>
      </c>
      <c r="V46" s="25" t="str">
        <f aca="false">IF(G46="","",IF(AND(J46="",K46="",L46=""),"Telemetry Blind Spot",IF(AND(K46="",L46=""),"Missed Alert",IF(L46="","Triage Delay",IF(S46&lt;=T46,"Detected - Within SLA",IF(AND(R46&lt;&gt;"",R46&gt;IFERROR(INDEX(Settings!$C$5:$C$8,MATCH(G46,Settings!$A$5:$A$8,0)),1E+099)),"Triage Delay","Detected - SLA Breach"))))))</f>
        <v/>
      </c>
      <c r="W46" s="25" t="str">
        <f aca="false">IF(G46="","",IF(L46&lt;&gt;"",1,0))</f>
        <v/>
      </c>
      <c r="X46" s="32"/>
      <c r="Y46" s="32"/>
      <c r="Z46" s="32"/>
      <c r="AA46" s="24"/>
      <c r="AB46" s="24"/>
      <c r="AC46" s="33" t="str">
        <f aca="false">IF(AND(G46&lt;&gt;"",L46&lt;&gt;"",X46&lt;&gt;""),(X46-L46)*1440,"")</f>
        <v/>
      </c>
      <c r="AD46" s="33" t="str">
        <f aca="false">IF(AND(G46&lt;&gt;"",X46&lt;&gt;"",Y46&lt;&gt;""),(Y46-X46)*1440,"")</f>
        <v/>
      </c>
      <c r="AE46" s="33" t="str">
        <f aca="false">IF(AND(G46&lt;&gt;"",Y46&lt;&gt;"",Z46&lt;&gt;""),(Z46-Y46)*1440,"")</f>
        <v/>
      </c>
      <c r="AF46" s="33" t="str">
        <f aca="false">IF(AND(G46&lt;&gt;"",L46&lt;&gt;"",Z46&lt;&gt;""),(Z46-L46)*1440,"")</f>
        <v/>
      </c>
      <c r="AG46" s="33" t="str">
        <f aca="false">IF(G46="","",IFERROR(INDEX(Settings!$D$5:$D$8,MATCH(G46,Settings!$A$5:$A$8,0)),""))</f>
        <v/>
      </c>
      <c r="AH46" s="25" t="str">
        <f aca="false">IF(G46="","",IF(AF46="","No",IF(AF46&lt;=AG46,"Yes","No")))</f>
        <v/>
      </c>
      <c r="AI46" s="25" t="str">
        <f aca="false">IF(G46="","",IF(L46="","N/A - Not Detected",IF(AND(X46="",Y46="",Z46=""),"No Containment Action",IF(Z46="",IF(Y46&lt;&gt;"","C2 Persisted","Host Isolation Gap"),IF(AF46&lt;=AG46,"Contained - Within SLA","Contained - SLA Breach")))))</f>
        <v/>
      </c>
      <c r="AJ46" s="25" t="str">
        <f aca="false">IF(G46="","",IF(Z46&lt;&gt;"",1,0))</f>
        <v/>
      </c>
      <c r="AK46" s="34"/>
      <c r="AL46" s="34"/>
      <c r="AM46" s="35"/>
      <c r="AN46" s="34"/>
      <c r="AO46" s="34"/>
      <c r="AP46" s="35"/>
      <c r="AQ46" s="34"/>
      <c r="AR46" s="34"/>
      <c r="AS46" s="34"/>
      <c r="AT46" s="35"/>
      <c r="AU46" s="35"/>
    </row>
    <row r="47" customFormat="false" ht="15" hidden="false" customHeight="false" outlineLevel="0" collapsed="false">
      <c r="A47" s="24"/>
      <c r="B47" s="24"/>
      <c r="C47" s="24"/>
      <c r="D47" s="24"/>
      <c r="E47" s="24"/>
      <c r="F47" s="24"/>
      <c r="G47" s="24"/>
      <c r="H47" s="24"/>
      <c r="I47" s="32"/>
      <c r="J47" s="32"/>
      <c r="K47" s="32"/>
      <c r="L47" s="32"/>
      <c r="M47" s="24"/>
      <c r="N47" s="24"/>
      <c r="O47" s="24"/>
      <c r="P47" s="33" t="str">
        <f aca="false">IF(AND(G47&lt;&gt;"",I47&lt;&gt;"",J47&lt;&gt;""),(J47-I47)*1440,"")</f>
        <v/>
      </c>
      <c r="Q47" s="33" t="str">
        <f aca="false">IF(AND(G47&lt;&gt;"",J47&lt;&gt;"",K47&lt;&gt;""),(K47-J47)*1440,"")</f>
        <v/>
      </c>
      <c r="R47" s="33" t="str">
        <f aca="false">IF(AND(G47&lt;&gt;"",K47&lt;&gt;"",L47&lt;&gt;""),(L47-K47)*1440,"")</f>
        <v/>
      </c>
      <c r="S47" s="33" t="str">
        <f aca="false">IF(AND(G47&lt;&gt;"",I47&lt;&gt;"",L47&lt;&gt;""),(L47-I47)*1440,"")</f>
        <v/>
      </c>
      <c r="T47" s="33" t="str">
        <f aca="false">IF(G47="","",IFERROR(INDEX(Settings!$B$5:$B$8,MATCH(G47,Settings!$A$5:$A$8,0)),""))</f>
        <v/>
      </c>
      <c r="U47" s="25" t="str">
        <f aca="false">IF(G47="","",IF(S47="","No",IF(S47&lt;=T47,"Yes","No")))</f>
        <v/>
      </c>
      <c r="V47" s="25" t="str">
        <f aca="false">IF(G47="","",IF(AND(J47="",K47="",L47=""),"Telemetry Blind Spot",IF(AND(K47="",L47=""),"Missed Alert",IF(L47="","Triage Delay",IF(S47&lt;=T47,"Detected - Within SLA",IF(AND(R47&lt;&gt;"",R47&gt;IFERROR(INDEX(Settings!$C$5:$C$8,MATCH(G47,Settings!$A$5:$A$8,0)),1E+099)),"Triage Delay","Detected - SLA Breach"))))))</f>
        <v/>
      </c>
      <c r="W47" s="25" t="str">
        <f aca="false">IF(G47="","",IF(L47&lt;&gt;"",1,0))</f>
        <v/>
      </c>
      <c r="X47" s="32"/>
      <c r="Y47" s="32"/>
      <c r="Z47" s="32"/>
      <c r="AA47" s="24"/>
      <c r="AB47" s="24"/>
      <c r="AC47" s="33" t="str">
        <f aca="false">IF(AND(G47&lt;&gt;"",L47&lt;&gt;"",X47&lt;&gt;""),(X47-L47)*1440,"")</f>
        <v/>
      </c>
      <c r="AD47" s="33" t="str">
        <f aca="false">IF(AND(G47&lt;&gt;"",X47&lt;&gt;"",Y47&lt;&gt;""),(Y47-X47)*1440,"")</f>
        <v/>
      </c>
      <c r="AE47" s="33" t="str">
        <f aca="false">IF(AND(G47&lt;&gt;"",Y47&lt;&gt;"",Z47&lt;&gt;""),(Z47-Y47)*1440,"")</f>
        <v/>
      </c>
      <c r="AF47" s="33" t="str">
        <f aca="false">IF(AND(G47&lt;&gt;"",L47&lt;&gt;"",Z47&lt;&gt;""),(Z47-L47)*1440,"")</f>
        <v/>
      </c>
      <c r="AG47" s="33" t="str">
        <f aca="false">IF(G47="","",IFERROR(INDEX(Settings!$D$5:$D$8,MATCH(G47,Settings!$A$5:$A$8,0)),""))</f>
        <v/>
      </c>
      <c r="AH47" s="25" t="str">
        <f aca="false">IF(G47="","",IF(AF47="","No",IF(AF47&lt;=AG47,"Yes","No")))</f>
        <v/>
      </c>
      <c r="AI47" s="25" t="str">
        <f aca="false">IF(G47="","",IF(L47="","N/A - Not Detected",IF(AND(X47="",Y47="",Z47=""),"No Containment Action",IF(Z47="",IF(Y47&lt;&gt;"","C2 Persisted","Host Isolation Gap"),IF(AF47&lt;=AG47,"Contained - Within SLA","Contained - SLA Breach")))))</f>
        <v/>
      </c>
      <c r="AJ47" s="25" t="str">
        <f aca="false">IF(G47="","",IF(Z47&lt;&gt;"",1,0))</f>
        <v/>
      </c>
      <c r="AK47" s="34"/>
      <c r="AL47" s="34"/>
      <c r="AM47" s="35"/>
      <c r="AN47" s="34"/>
      <c r="AO47" s="34"/>
      <c r="AP47" s="35"/>
      <c r="AQ47" s="34"/>
      <c r="AR47" s="34"/>
      <c r="AS47" s="34"/>
      <c r="AT47" s="35"/>
      <c r="AU47" s="35"/>
    </row>
    <row r="48" customFormat="false" ht="15" hidden="false" customHeight="false" outlineLevel="0" collapsed="false">
      <c r="A48" s="24"/>
      <c r="B48" s="24"/>
      <c r="C48" s="24"/>
      <c r="D48" s="24"/>
      <c r="E48" s="24"/>
      <c r="F48" s="24"/>
      <c r="G48" s="24"/>
      <c r="H48" s="24"/>
      <c r="I48" s="32"/>
      <c r="J48" s="32"/>
      <c r="K48" s="32"/>
      <c r="L48" s="32"/>
      <c r="M48" s="24"/>
      <c r="N48" s="24"/>
      <c r="O48" s="24"/>
      <c r="P48" s="33" t="str">
        <f aca="false">IF(AND(G48&lt;&gt;"",I48&lt;&gt;"",J48&lt;&gt;""),(J48-I48)*1440,"")</f>
        <v/>
      </c>
      <c r="Q48" s="33" t="str">
        <f aca="false">IF(AND(G48&lt;&gt;"",J48&lt;&gt;"",K48&lt;&gt;""),(K48-J48)*1440,"")</f>
        <v/>
      </c>
      <c r="R48" s="33" t="str">
        <f aca="false">IF(AND(G48&lt;&gt;"",K48&lt;&gt;"",L48&lt;&gt;""),(L48-K48)*1440,"")</f>
        <v/>
      </c>
      <c r="S48" s="33" t="str">
        <f aca="false">IF(AND(G48&lt;&gt;"",I48&lt;&gt;"",L48&lt;&gt;""),(L48-I48)*1440,"")</f>
        <v/>
      </c>
      <c r="T48" s="33" t="str">
        <f aca="false">IF(G48="","",IFERROR(INDEX(Settings!$B$5:$B$8,MATCH(G48,Settings!$A$5:$A$8,0)),""))</f>
        <v/>
      </c>
      <c r="U48" s="25" t="str">
        <f aca="false">IF(G48="","",IF(S48="","No",IF(S48&lt;=T48,"Yes","No")))</f>
        <v/>
      </c>
      <c r="V48" s="25" t="str">
        <f aca="false">IF(G48="","",IF(AND(J48="",K48="",L48=""),"Telemetry Blind Spot",IF(AND(K48="",L48=""),"Missed Alert",IF(L48="","Triage Delay",IF(S48&lt;=T48,"Detected - Within SLA",IF(AND(R48&lt;&gt;"",R48&gt;IFERROR(INDEX(Settings!$C$5:$C$8,MATCH(G48,Settings!$A$5:$A$8,0)),1E+099)),"Triage Delay","Detected - SLA Breach"))))))</f>
        <v/>
      </c>
      <c r="W48" s="25" t="str">
        <f aca="false">IF(G48="","",IF(L48&lt;&gt;"",1,0))</f>
        <v/>
      </c>
      <c r="X48" s="32"/>
      <c r="Y48" s="32"/>
      <c r="Z48" s="32"/>
      <c r="AA48" s="24"/>
      <c r="AB48" s="24"/>
      <c r="AC48" s="33" t="str">
        <f aca="false">IF(AND(G48&lt;&gt;"",L48&lt;&gt;"",X48&lt;&gt;""),(X48-L48)*1440,"")</f>
        <v/>
      </c>
      <c r="AD48" s="33" t="str">
        <f aca="false">IF(AND(G48&lt;&gt;"",X48&lt;&gt;"",Y48&lt;&gt;""),(Y48-X48)*1440,"")</f>
        <v/>
      </c>
      <c r="AE48" s="33" t="str">
        <f aca="false">IF(AND(G48&lt;&gt;"",Y48&lt;&gt;"",Z48&lt;&gt;""),(Z48-Y48)*1440,"")</f>
        <v/>
      </c>
      <c r="AF48" s="33" t="str">
        <f aca="false">IF(AND(G48&lt;&gt;"",L48&lt;&gt;"",Z48&lt;&gt;""),(Z48-L48)*1440,"")</f>
        <v/>
      </c>
      <c r="AG48" s="33" t="str">
        <f aca="false">IF(G48="","",IFERROR(INDEX(Settings!$D$5:$D$8,MATCH(G48,Settings!$A$5:$A$8,0)),""))</f>
        <v/>
      </c>
      <c r="AH48" s="25" t="str">
        <f aca="false">IF(G48="","",IF(AF48="","No",IF(AF48&lt;=AG48,"Yes","No")))</f>
        <v/>
      </c>
      <c r="AI48" s="25" t="str">
        <f aca="false">IF(G48="","",IF(L48="","N/A - Not Detected",IF(AND(X48="",Y48="",Z48=""),"No Containment Action",IF(Z48="",IF(Y48&lt;&gt;"","C2 Persisted","Host Isolation Gap"),IF(AF48&lt;=AG48,"Contained - Within SLA","Contained - SLA Breach")))))</f>
        <v/>
      </c>
      <c r="AJ48" s="25" t="str">
        <f aca="false">IF(G48="","",IF(Z48&lt;&gt;"",1,0))</f>
        <v/>
      </c>
      <c r="AK48" s="34"/>
      <c r="AL48" s="34"/>
      <c r="AM48" s="35"/>
      <c r="AN48" s="34"/>
      <c r="AO48" s="34"/>
      <c r="AP48" s="35"/>
      <c r="AQ48" s="34"/>
      <c r="AR48" s="34"/>
      <c r="AS48" s="34"/>
      <c r="AT48" s="35"/>
      <c r="AU48" s="35"/>
    </row>
    <row r="49" customFormat="false" ht="15" hidden="false" customHeight="false" outlineLevel="0" collapsed="false">
      <c r="A49" s="24"/>
      <c r="B49" s="24"/>
      <c r="C49" s="24"/>
      <c r="D49" s="24"/>
      <c r="E49" s="24"/>
      <c r="F49" s="24"/>
      <c r="G49" s="24"/>
      <c r="H49" s="24"/>
      <c r="I49" s="32"/>
      <c r="J49" s="32"/>
      <c r="K49" s="32"/>
      <c r="L49" s="32"/>
      <c r="M49" s="24"/>
      <c r="N49" s="24"/>
      <c r="O49" s="24"/>
      <c r="P49" s="33" t="str">
        <f aca="false">IF(AND(G49&lt;&gt;"",I49&lt;&gt;"",J49&lt;&gt;""),(J49-I49)*1440,"")</f>
        <v/>
      </c>
      <c r="Q49" s="33" t="str">
        <f aca="false">IF(AND(G49&lt;&gt;"",J49&lt;&gt;"",K49&lt;&gt;""),(K49-J49)*1440,"")</f>
        <v/>
      </c>
      <c r="R49" s="33" t="str">
        <f aca="false">IF(AND(G49&lt;&gt;"",K49&lt;&gt;"",L49&lt;&gt;""),(L49-K49)*1440,"")</f>
        <v/>
      </c>
      <c r="S49" s="33" t="str">
        <f aca="false">IF(AND(G49&lt;&gt;"",I49&lt;&gt;"",L49&lt;&gt;""),(L49-I49)*1440,"")</f>
        <v/>
      </c>
      <c r="T49" s="33" t="str">
        <f aca="false">IF(G49="","",IFERROR(INDEX(Settings!$B$5:$B$8,MATCH(G49,Settings!$A$5:$A$8,0)),""))</f>
        <v/>
      </c>
      <c r="U49" s="25" t="str">
        <f aca="false">IF(G49="","",IF(S49="","No",IF(S49&lt;=T49,"Yes","No")))</f>
        <v/>
      </c>
      <c r="V49" s="25" t="str">
        <f aca="false">IF(G49="","",IF(AND(J49="",K49="",L49=""),"Telemetry Blind Spot",IF(AND(K49="",L49=""),"Missed Alert",IF(L49="","Triage Delay",IF(S49&lt;=T49,"Detected - Within SLA",IF(AND(R49&lt;&gt;"",R49&gt;IFERROR(INDEX(Settings!$C$5:$C$8,MATCH(G49,Settings!$A$5:$A$8,0)),1E+099)),"Triage Delay","Detected - SLA Breach"))))))</f>
        <v/>
      </c>
      <c r="W49" s="25" t="str">
        <f aca="false">IF(G49="","",IF(L49&lt;&gt;"",1,0))</f>
        <v/>
      </c>
      <c r="X49" s="32"/>
      <c r="Y49" s="32"/>
      <c r="Z49" s="32"/>
      <c r="AA49" s="24"/>
      <c r="AB49" s="24"/>
      <c r="AC49" s="33" t="str">
        <f aca="false">IF(AND(G49&lt;&gt;"",L49&lt;&gt;"",X49&lt;&gt;""),(X49-L49)*1440,"")</f>
        <v/>
      </c>
      <c r="AD49" s="33" t="str">
        <f aca="false">IF(AND(G49&lt;&gt;"",X49&lt;&gt;"",Y49&lt;&gt;""),(Y49-X49)*1440,"")</f>
        <v/>
      </c>
      <c r="AE49" s="33" t="str">
        <f aca="false">IF(AND(G49&lt;&gt;"",Y49&lt;&gt;"",Z49&lt;&gt;""),(Z49-Y49)*1440,"")</f>
        <v/>
      </c>
      <c r="AF49" s="33" t="str">
        <f aca="false">IF(AND(G49&lt;&gt;"",L49&lt;&gt;"",Z49&lt;&gt;""),(Z49-L49)*1440,"")</f>
        <v/>
      </c>
      <c r="AG49" s="33" t="str">
        <f aca="false">IF(G49="","",IFERROR(INDEX(Settings!$D$5:$D$8,MATCH(G49,Settings!$A$5:$A$8,0)),""))</f>
        <v/>
      </c>
      <c r="AH49" s="25" t="str">
        <f aca="false">IF(G49="","",IF(AF49="","No",IF(AF49&lt;=AG49,"Yes","No")))</f>
        <v/>
      </c>
      <c r="AI49" s="25" t="str">
        <f aca="false">IF(G49="","",IF(L49="","N/A - Not Detected",IF(AND(X49="",Y49="",Z49=""),"No Containment Action",IF(Z49="",IF(Y49&lt;&gt;"","C2 Persisted","Host Isolation Gap"),IF(AF49&lt;=AG49,"Contained - Within SLA","Contained - SLA Breach")))))</f>
        <v/>
      </c>
      <c r="AJ49" s="25" t="str">
        <f aca="false">IF(G49="","",IF(Z49&lt;&gt;"",1,0))</f>
        <v/>
      </c>
      <c r="AK49" s="34"/>
      <c r="AL49" s="34"/>
      <c r="AM49" s="35"/>
      <c r="AN49" s="34"/>
      <c r="AO49" s="34"/>
      <c r="AP49" s="35"/>
      <c r="AQ49" s="34"/>
      <c r="AR49" s="34"/>
      <c r="AS49" s="34"/>
      <c r="AT49" s="35"/>
      <c r="AU49" s="35"/>
    </row>
    <row r="50" customFormat="false" ht="15" hidden="false" customHeight="false" outlineLevel="0" collapsed="false">
      <c r="A50" s="24"/>
      <c r="B50" s="24"/>
      <c r="C50" s="24"/>
      <c r="D50" s="24"/>
      <c r="E50" s="24"/>
      <c r="F50" s="24"/>
      <c r="G50" s="24"/>
      <c r="H50" s="24"/>
      <c r="I50" s="32"/>
      <c r="J50" s="32"/>
      <c r="K50" s="32"/>
      <c r="L50" s="32"/>
      <c r="M50" s="24"/>
      <c r="N50" s="24"/>
      <c r="O50" s="24"/>
      <c r="P50" s="33" t="str">
        <f aca="false">IF(AND(G50&lt;&gt;"",I50&lt;&gt;"",J50&lt;&gt;""),(J50-I50)*1440,"")</f>
        <v/>
      </c>
      <c r="Q50" s="33" t="str">
        <f aca="false">IF(AND(G50&lt;&gt;"",J50&lt;&gt;"",K50&lt;&gt;""),(K50-J50)*1440,"")</f>
        <v/>
      </c>
      <c r="R50" s="33" t="str">
        <f aca="false">IF(AND(G50&lt;&gt;"",K50&lt;&gt;"",L50&lt;&gt;""),(L50-K50)*1440,"")</f>
        <v/>
      </c>
      <c r="S50" s="33" t="str">
        <f aca="false">IF(AND(G50&lt;&gt;"",I50&lt;&gt;"",L50&lt;&gt;""),(L50-I50)*1440,"")</f>
        <v/>
      </c>
      <c r="T50" s="33" t="str">
        <f aca="false">IF(G50="","",IFERROR(INDEX(Settings!$B$5:$B$8,MATCH(G50,Settings!$A$5:$A$8,0)),""))</f>
        <v/>
      </c>
      <c r="U50" s="25" t="str">
        <f aca="false">IF(G50="","",IF(S50="","No",IF(S50&lt;=T50,"Yes","No")))</f>
        <v/>
      </c>
      <c r="V50" s="25" t="str">
        <f aca="false">IF(G50="","",IF(AND(J50="",K50="",L50=""),"Telemetry Blind Spot",IF(AND(K50="",L50=""),"Missed Alert",IF(L50="","Triage Delay",IF(S50&lt;=T50,"Detected - Within SLA",IF(AND(R50&lt;&gt;"",R50&gt;IFERROR(INDEX(Settings!$C$5:$C$8,MATCH(G50,Settings!$A$5:$A$8,0)),1E+099)),"Triage Delay","Detected - SLA Breach"))))))</f>
        <v/>
      </c>
      <c r="W50" s="25" t="str">
        <f aca="false">IF(G50="","",IF(L50&lt;&gt;"",1,0))</f>
        <v/>
      </c>
      <c r="X50" s="32"/>
      <c r="Y50" s="32"/>
      <c r="Z50" s="32"/>
      <c r="AA50" s="24"/>
      <c r="AB50" s="24"/>
      <c r="AC50" s="33" t="str">
        <f aca="false">IF(AND(G50&lt;&gt;"",L50&lt;&gt;"",X50&lt;&gt;""),(X50-L50)*1440,"")</f>
        <v/>
      </c>
      <c r="AD50" s="33" t="str">
        <f aca="false">IF(AND(G50&lt;&gt;"",X50&lt;&gt;"",Y50&lt;&gt;""),(Y50-X50)*1440,"")</f>
        <v/>
      </c>
      <c r="AE50" s="33" t="str">
        <f aca="false">IF(AND(G50&lt;&gt;"",Y50&lt;&gt;"",Z50&lt;&gt;""),(Z50-Y50)*1440,"")</f>
        <v/>
      </c>
      <c r="AF50" s="33" t="str">
        <f aca="false">IF(AND(G50&lt;&gt;"",L50&lt;&gt;"",Z50&lt;&gt;""),(Z50-L50)*1440,"")</f>
        <v/>
      </c>
      <c r="AG50" s="33" t="str">
        <f aca="false">IF(G50="","",IFERROR(INDEX(Settings!$D$5:$D$8,MATCH(G50,Settings!$A$5:$A$8,0)),""))</f>
        <v/>
      </c>
      <c r="AH50" s="25" t="str">
        <f aca="false">IF(G50="","",IF(AF50="","No",IF(AF50&lt;=AG50,"Yes","No")))</f>
        <v/>
      </c>
      <c r="AI50" s="25" t="str">
        <f aca="false">IF(G50="","",IF(L50="","N/A - Not Detected",IF(AND(X50="",Y50="",Z50=""),"No Containment Action",IF(Z50="",IF(Y50&lt;&gt;"","C2 Persisted","Host Isolation Gap"),IF(AF50&lt;=AG50,"Contained - Within SLA","Contained - SLA Breach")))))</f>
        <v/>
      </c>
      <c r="AJ50" s="25" t="str">
        <f aca="false">IF(G50="","",IF(Z50&lt;&gt;"",1,0))</f>
        <v/>
      </c>
      <c r="AK50" s="34"/>
      <c r="AL50" s="34"/>
      <c r="AM50" s="35"/>
      <c r="AN50" s="34"/>
      <c r="AO50" s="34"/>
      <c r="AP50" s="35"/>
      <c r="AQ50" s="34"/>
      <c r="AR50" s="34"/>
      <c r="AS50" s="34"/>
      <c r="AT50" s="35"/>
      <c r="AU50" s="35"/>
    </row>
    <row r="51" customFormat="false" ht="15" hidden="false" customHeight="false" outlineLevel="0" collapsed="false">
      <c r="A51" s="24"/>
      <c r="B51" s="24"/>
      <c r="C51" s="24"/>
      <c r="D51" s="24"/>
      <c r="E51" s="24"/>
      <c r="F51" s="24"/>
      <c r="G51" s="24"/>
      <c r="H51" s="24"/>
      <c r="I51" s="32"/>
      <c r="J51" s="32"/>
      <c r="K51" s="32"/>
      <c r="L51" s="32"/>
      <c r="M51" s="24"/>
      <c r="N51" s="24"/>
      <c r="O51" s="24"/>
      <c r="P51" s="33" t="str">
        <f aca="false">IF(AND(G51&lt;&gt;"",I51&lt;&gt;"",J51&lt;&gt;""),(J51-I51)*1440,"")</f>
        <v/>
      </c>
      <c r="Q51" s="33" t="str">
        <f aca="false">IF(AND(G51&lt;&gt;"",J51&lt;&gt;"",K51&lt;&gt;""),(K51-J51)*1440,"")</f>
        <v/>
      </c>
      <c r="R51" s="33" t="str">
        <f aca="false">IF(AND(G51&lt;&gt;"",K51&lt;&gt;"",L51&lt;&gt;""),(L51-K51)*1440,"")</f>
        <v/>
      </c>
      <c r="S51" s="33" t="str">
        <f aca="false">IF(AND(G51&lt;&gt;"",I51&lt;&gt;"",L51&lt;&gt;""),(L51-I51)*1440,"")</f>
        <v/>
      </c>
      <c r="T51" s="33" t="str">
        <f aca="false">IF(G51="","",IFERROR(INDEX(Settings!$B$5:$B$8,MATCH(G51,Settings!$A$5:$A$8,0)),""))</f>
        <v/>
      </c>
      <c r="U51" s="25" t="str">
        <f aca="false">IF(G51="","",IF(S51="","No",IF(S51&lt;=T51,"Yes","No")))</f>
        <v/>
      </c>
      <c r="V51" s="25" t="str">
        <f aca="false">IF(G51="","",IF(AND(J51="",K51="",L51=""),"Telemetry Blind Spot",IF(AND(K51="",L51=""),"Missed Alert",IF(L51="","Triage Delay",IF(S51&lt;=T51,"Detected - Within SLA",IF(AND(R51&lt;&gt;"",R51&gt;IFERROR(INDEX(Settings!$C$5:$C$8,MATCH(G51,Settings!$A$5:$A$8,0)),1E+099)),"Triage Delay","Detected - SLA Breach"))))))</f>
        <v/>
      </c>
      <c r="W51" s="25" t="str">
        <f aca="false">IF(G51="","",IF(L51&lt;&gt;"",1,0))</f>
        <v/>
      </c>
      <c r="X51" s="32"/>
      <c r="Y51" s="32"/>
      <c r="Z51" s="32"/>
      <c r="AA51" s="24"/>
      <c r="AB51" s="24"/>
      <c r="AC51" s="33" t="str">
        <f aca="false">IF(AND(G51&lt;&gt;"",L51&lt;&gt;"",X51&lt;&gt;""),(X51-L51)*1440,"")</f>
        <v/>
      </c>
      <c r="AD51" s="33" t="str">
        <f aca="false">IF(AND(G51&lt;&gt;"",X51&lt;&gt;"",Y51&lt;&gt;""),(Y51-X51)*1440,"")</f>
        <v/>
      </c>
      <c r="AE51" s="33" t="str">
        <f aca="false">IF(AND(G51&lt;&gt;"",Y51&lt;&gt;"",Z51&lt;&gt;""),(Z51-Y51)*1440,"")</f>
        <v/>
      </c>
      <c r="AF51" s="33" t="str">
        <f aca="false">IF(AND(G51&lt;&gt;"",L51&lt;&gt;"",Z51&lt;&gt;""),(Z51-L51)*1440,"")</f>
        <v/>
      </c>
      <c r="AG51" s="33" t="str">
        <f aca="false">IF(G51="","",IFERROR(INDEX(Settings!$D$5:$D$8,MATCH(G51,Settings!$A$5:$A$8,0)),""))</f>
        <v/>
      </c>
      <c r="AH51" s="25" t="str">
        <f aca="false">IF(G51="","",IF(AF51="","No",IF(AF51&lt;=AG51,"Yes","No")))</f>
        <v/>
      </c>
      <c r="AI51" s="25" t="str">
        <f aca="false">IF(G51="","",IF(L51="","N/A - Not Detected",IF(AND(X51="",Y51="",Z51=""),"No Containment Action",IF(Z51="",IF(Y51&lt;&gt;"","C2 Persisted","Host Isolation Gap"),IF(AF51&lt;=AG51,"Contained - Within SLA","Contained - SLA Breach")))))</f>
        <v/>
      </c>
      <c r="AJ51" s="25" t="str">
        <f aca="false">IF(G51="","",IF(Z51&lt;&gt;"",1,0))</f>
        <v/>
      </c>
      <c r="AK51" s="34"/>
      <c r="AL51" s="34"/>
      <c r="AM51" s="35"/>
      <c r="AN51" s="34"/>
      <c r="AO51" s="34"/>
      <c r="AP51" s="35"/>
      <c r="AQ51" s="34"/>
      <c r="AR51" s="34"/>
      <c r="AS51" s="34"/>
      <c r="AT51" s="35"/>
      <c r="AU51" s="35"/>
    </row>
    <row r="52" customFormat="false" ht="15" hidden="false" customHeight="false" outlineLevel="0" collapsed="false">
      <c r="A52" s="24"/>
      <c r="B52" s="24"/>
      <c r="C52" s="24"/>
      <c r="D52" s="24"/>
      <c r="E52" s="24"/>
      <c r="F52" s="24"/>
      <c r="G52" s="24"/>
      <c r="H52" s="24"/>
      <c r="I52" s="32"/>
      <c r="J52" s="32"/>
      <c r="K52" s="32"/>
      <c r="L52" s="32"/>
      <c r="M52" s="24"/>
      <c r="N52" s="24"/>
      <c r="O52" s="24"/>
      <c r="P52" s="33" t="str">
        <f aca="false">IF(AND(G52&lt;&gt;"",I52&lt;&gt;"",J52&lt;&gt;""),(J52-I52)*1440,"")</f>
        <v/>
      </c>
      <c r="Q52" s="33" t="str">
        <f aca="false">IF(AND(G52&lt;&gt;"",J52&lt;&gt;"",K52&lt;&gt;""),(K52-J52)*1440,"")</f>
        <v/>
      </c>
      <c r="R52" s="33" t="str">
        <f aca="false">IF(AND(G52&lt;&gt;"",K52&lt;&gt;"",L52&lt;&gt;""),(L52-K52)*1440,"")</f>
        <v/>
      </c>
      <c r="S52" s="33" t="str">
        <f aca="false">IF(AND(G52&lt;&gt;"",I52&lt;&gt;"",L52&lt;&gt;""),(L52-I52)*1440,"")</f>
        <v/>
      </c>
      <c r="T52" s="33" t="str">
        <f aca="false">IF(G52="","",IFERROR(INDEX(Settings!$B$5:$B$8,MATCH(G52,Settings!$A$5:$A$8,0)),""))</f>
        <v/>
      </c>
      <c r="U52" s="25" t="str">
        <f aca="false">IF(G52="","",IF(S52="","No",IF(S52&lt;=T52,"Yes","No")))</f>
        <v/>
      </c>
      <c r="V52" s="25" t="str">
        <f aca="false">IF(G52="","",IF(AND(J52="",K52="",L52=""),"Telemetry Blind Spot",IF(AND(K52="",L52=""),"Missed Alert",IF(L52="","Triage Delay",IF(S52&lt;=T52,"Detected - Within SLA",IF(AND(R52&lt;&gt;"",R52&gt;IFERROR(INDEX(Settings!$C$5:$C$8,MATCH(G52,Settings!$A$5:$A$8,0)),1E+099)),"Triage Delay","Detected - SLA Breach"))))))</f>
        <v/>
      </c>
      <c r="W52" s="25" t="str">
        <f aca="false">IF(G52="","",IF(L52&lt;&gt;"",1,0))</f>
        <v/>
      </c>
      <c r="X52" s="32"/>
      <c r="Y52" s="32"/>
      <c r="Z52" s="32"/>
      <c r="AA52" s="24"/>
      <c r="AB52" s="24"/>
      <c r="AC52" s="33" t="str">
        <f aca="false">IF(AND(G52&lt;&gt;"",L52&lt;&gt;"",X52&lt;&gt;""),(X52-L52)*1440,"")</f>
        <v/>
      </c>
      <c r="AD52" s="33" t="str">
        <f aca="false">IF(AND(G52&lt;&gt;"",X52&lt;&gt;"",Y52&lt;&gt;""),(Y52-X52)*1440,"")</f>
        <v/>
      </c>
      <c r="AE52" s="33" t="str">
        <f aca="false">IF(AND(G52&lt;&gt;"",Y52&lt;&gt;"",Z52&lt;&gt;""),(Z52-Y52)*1440,"")</f>
        <v/>
      </c>
      <c r="AF52" s="33" t="str">
        <f aca="false">IF(AND(G52&lt;&gt;"",L52&lt;&gt;"",Z52&lt;&gt;""),(Z52-L52)*1440,"")</f>
        <v/>
      </c>
      <c r="AG52" s="33" t="str">
        <f aca="false">IF(G52="","",IFERROR(INDEX(Settings!$D$5:$D$8,MATCH(G52,Settings!$A$5:$A$8,0)),""))</f>
        <v/>
      </c>
      <c r="AH52" s="25" t="str">
        <f aca="false">IF(G52="","",IF(AF52="","No",IF(AF52&lt;=AG52,"Yes","No")))</f>
        <v/>
      </c>
      <c r="AI52" s="25" t="str">
        <f aca="false">IF(G52="","",IF(L52="","N/A - Not Detected",IF(AND(X52="",Y52="",Z52=""),"No Containment Action",IF(Z52="",IF(Y52&lt;&gt;"","C2 Persisted","Host Isolation Gap"),IF(AF52&lt;=AG52,"Contained - Within SLA","Contained - SLA Breach")))))</f>
        <v/>
      </c>
      <c r="AJ52" s="25" t="str">
        <f aca="false">IF(G52="","",IF(Z52&lt;&gt;"",1,0))</f>
        <v/>
      </c>
      <c r="AK52" s="34"/>
      <c r="AL52" s="34"/>
      <c r="AM52" s="35"/>
      <c r="AN52" s="34"/>
      <c r="AO52" s="34"/>
      <c r="AP52" s="35"/>
      <c r="AQ52" s="34"/>
      <c r="AR52" s="34"/>
      <c r="AS52" s="34"/>
      <c r="AT52" s="35"/>
      <c r="AU52" s="35"/>
    </row>
    <row r="53" customFormat="false" ht="15" hidden="false" customHeight="false" outlineLevel="0" collapsed="false">
      <c r="A53" s="24"/>
      <c r="B53" s="24"/>
      <c r="C53" s="24"/>
      <c r="D53" s="24"/>
      <c r="E53" s="24"/>
      <c r="F53" s="24"/>
      <c r="G53" s="24"/>
      <c r="H53" s="24"/>
      <c r="I53" s="32"/>
      <c r="J53" s="32"/>
      <c r="K53" s="32"/>
      <c r="L53" s="32"/>
      <c r="M53" s="24"/>
      <c r="N53" s="24"/>
      <c r="O53" s="24"/>
      <c r="P53" s="33" t="str">
        <f aca="false">IF(AND(G53&lt;&gt;"",I53&lt;&gt;"",J53&lt;&gt;""),(J53-I53)*1440,"")</f>
        <v/>
      </c>
      <c r="Q53" s="33" t="str">
        <f aca="false">IF(AND(G53&lt;&gt;"",J53&lt;&gt;"",K53&lt;&gt;""),(K53-J53)*1440,"")</f>
        <v/>
      </c>
      <c r="R53" s="33" t="str">
        <f aca="false">IF(AND(G53&lt;&gt;"",K53&lt;&gt;"",L53&lt;&gt;""),(L53-K53)*1440,"")</f>
        <v/>
      </c>
      <c r="S53" s="33" t="str">
        <f aca="false">IF(AND(G53&lt;&gt;"",I53&lt;&gt;"",L53&lt;&gt;""),(L53-I53)*1440,"")</f>
        <v/>
      </c>
      <c r="T53" s="33" t="str">
        <f aca="false">IF(G53="","",IFERROR(INDEX(Settings!$B$5:$B$8,MATCH(G53,Settings!$A$5:$A$8,0)),""))</f>
        <v/>
      </c>
      <c r="U53" s="25" t="str">
        <f aca="false">IF(G53="","",IF(S53="","No",IF(S53&lt;=T53,"Yes","No")))</f>
        <v/>
      </c>
      <c r="V53" s="25" t="str">
        <f aca="false">IF(G53="","",IF(AND(J53="",K53="",L53=""),"Telemetry Blind Spot",IF(AND(K53="",L53=""),"Missed Alert",IF(L53="","Triage Delay",IF(S53&lt;=T53,"Detected - Within SLA",IF(AND(R53&lt;&gt;"",R53&gt;IFERROR(INDEX(Settings!$C$5:$C$8,MATCH(G53,Settings!$A$5:$A$8,0)),1E+099)),"Triage Delay","Detected - SLA Breach"))))))</f>
        <v/>
      </c>
      <c r="W53" s="25" t="str">
        <f aca="false">IF(G53="","",IF(L53&lt;&gt;"",1,0))</f>
        <v/>
      </c>
      <c r="X53" s="32"/>
      <c r="Y53" s="32"/>
      <c r="Z53" s="32"/>
      <c r="AA53" s="24"/>
      <c r="AB53" s="24"/>
      <c r="AC53" s="33" t="str">
        <f aca="false">IF(AND(G53&lt;&gt;"",L53&lt;&gt;"",X53&lt;&gt;""),(X53-L53)*1440,"")</f>
        <v/>
      </c>
      <c r="AD53" s="33" t="str">
        <f aca="false">IF(AND(G53&lt;&gt;"",X53&lt;&gt;"",Y53&lt;&gt;""),(Y53-X53)*1440,"")</f>
        <v/>
      </c>
      <c r="AE53" s="33" t="str">
        <f aca="false">IF(AND(G53&lt;&gt;"",Y53&lt;&gt;"",Z53&lt;&gt;""),(Z53-Y53)*1440,"")</f>
        <v/>
      </c>
      <c r="AF53" s="33" t="str">
        <f aca="false">IF(AND(G53&lt;&gt;"",L53&lt;&gt;"",Z53&lt;&gt;""),(Z53-L53)*1440,"")</f>
        <v/>
      </c>
      <c r="AG53" s="33" t="str">
        <f aca="false">IF(G53="","",IFERROR(INDEX(Settings!$D$5:$D$8,MATCH(G53,Settings!$A$5:$A$8,0)),""))</f>
        <v/>
      </c>
      <c r="AH53" s="25" t="str">
        <f aca="false">IF(G53="","",IF(AF53="","No",IF(AF53&lt;=AG53,"Yes","No")))</f>
        <v/>
      </c>
      <c r="AI53" s="25" t="str">
        <f aca="false">IF(G53="","",IF(L53="","N/A - Not Detected",IF(AND(X53="",Y53="",Z53=""),"No Containment Action",IF(Z53="",IF(Y53&lt;&gt;"","C2 Persisted","Host Isolation Gap"),IF(AF53&lt;=AG53,"Contained - Within SLA","Contained - SLA Breach")))))</f>
        <v/>
      </c>
      <c r="AJ53" s="25" t="str">
        <f aca="false">IF(G53="","",IF(Z53&lt;&gt;"",1,0))</f>
        <v/>
      </c>
      <c r="AK53" s="34"/>
      <c r="AL53" s="34"/>
      <c r="AM53" s="35"/>
      <c r="AN53" s="34"/>
      <c r="AO53" s="34"/>
      <c r="AP53" s="35"/>
      <c r="AQ53" s="34"/>
      <c r="AR53" s="34"/>
      <c r="AS53" s="34"/>
      <c r="AT53" s="35"/>
      <c r="AU53" s="35"/>
    </row>
    <row r="54" customFormat="false" ht="15" hidden="false" customHeight="false" outlineLevel="0" collapsed="false">
      <c r="A54" s="24"/>
      <c r="B54" s="24"/>
      <c r="C54" s="24"/>
      <c r="D54" s="24"/>
      <c r="E54" s="24"/>
      <c r="F54" s="24"/>
      <c r="G54" s="24"/>
      <c r="H54" s="24"/>
      <c r="I54" s="32"/>
      <c r="J54" s="32"/>
      <c r="K54" s="32"/>
      <c r="L54" s="32"/>
      <c r="M54" s="24"/>
      <c r="N54" s="24"/>
      <c r="O54" s="24"/>
      <c r="P54" s="33" t="str">
        <f aca="false">IF(AND(G54&lt;&gt;"",I54&lt;&gt;"",J54&lt;&gt;""),(J54-I54)*1440,"")</f>
        <v/>
      </c>
      <c r="Q54" s="33" t="str">
        <f aca="false">IF(AND(G54&lt;&gt;"",J54&lt;&gt;"",K54&lt;&gt;""),(K54-J54)*1440,"")</f>
        <v/>
      </c>
      <c r="R54" s="33" t="str">
        <f aca="false">IF(AND(G54&lt;&gt;"",K54&lt;&gt;"",L54&lt;&gt;""),(L54-K54)*1440,"")</f>
        <v/>
      </c>
      <c r="S54" s="33" t="str">
        <f aca="false">IF(AND(G54&lt;&gt;"",I54&lt;&gt;"",L54&lt;&gt;""),(L54-I54)*1440,"")</f>
        <v/>
      </c>
      <c r="T54" s="33" t="str">
        <f aca="false">IF(G54="","",IFERROR(INDEX(Settings!$B$5:$B$8,MATCH(G54,Settings!$A$5:$A$8,0)),""))</f>
        <v/>
      </c>
      <c r="U54" s="25" t="str">
        <f aca="false">IF(G54="","",IF(S54="","No",IF(S54&lt;=T54,"Yes","No")))</f>
        <v/>
      </c>
      <c r="V54" s="25" t="str">
        <f aca="false">IF(G54="","",IF(AND(J54="",K54="",L54=""),"Telemetry Blind Spot",IF(AND(K54="",L54=""),"Missed Alert",IF(L54="","Triage Delay",IF(S54&lt;=T54,"Detected - Within SLA",IF(AND(R54&lt;&gt;"",R54&gt;IFERROR(INDEX(Settings!$C$5:$C$8,MATCH(G54,Settings!$A$5:$A$8,0)),1E+099)),"Triage Delay","Detected - SLA Breach"))))))</f>
        <v/>
      </c>
      <c r="W54" s="25" t="str">
        <f aca="false">IF(G54="","",IF(L54&lt;&gt;"",1,0))</f>
        <v/>
      </c>
      <c r="X54" s="32"/>
      <c r="Y54" s="32"/>
      <c r="Z54" s="32"/>
      <c r="AA54" s="24"/>
      <c r="AB54" s="24"/>
      <c r="AC54" s="33" t="str">
        <f aca="false">IF(AND(G54&lt;&gt;"",L54&lt;&gt;"",X54&lt;&gt;""),(X54-L54)*1440,"")</f>
        <v/>
      </c>
      <c r="AD54" s="33" t="str">
        <f aca="false">IF(AND(G54&lt;&gt;"",X54&lt;&gt;"",Y54&lt;&gt;""),(Y54-X54)*1440,"")</f>
        <v/>
      </c>
      <c r="AE54" s="33" t="str">
        <f aca="false">IF(AND(G54&lt;&gt;"",Y54&lt;&gt;"",Z54&lt;&gt;""),(Z54-Y54)*1440,"")</f>
        <v/>
      </c>
      <c r="AF54" s="33" t="str">
        <f aca="false">IF(AND(G54&lt;&gt;"",L54&lt;&gt;"",Z54&lt;&gt;""),(Z54-L54)*1440,"")</f>
        <v/>
      </c>
      <c r="AG54" s="33" t="str">
        <f aca="false">IF(G54="","",IFERROR(INDEX(Settings!$D$5:$D$8,MATCH(G54,Settings!$A$5:$A$8,0)),""))</f>
        <v/>
      </c>
      <c r="AH54" s="25" t="str">
        <f aca="false">IF(G54="","",IF(AF54="","No",IF(AF54&lt;=AG54,"Yes","No")))</f>
        <v/>
      </c>
      <c r="AI54" s="25" t="str">
        <f aca="false">IF(G54="","",IF(L54="","N/A - Not Detected",IF(AND(X54="",Y54="",Z54=""),"No Containment Action",IF(Z54="",IF(Y54&lt;&gt;"","C2 Persisted","Host Isolation Gap"),IF(AF54&lt;=AG54,"Contained - Within SLA","Contained - SLA Breach")))))</f>
        <v/>
      </c>
      <c r="AJ54" s="25" t="str">
        <f aca="false">IF(G54="","",IF(Z54&lt;&gt;"",1,0))</f>
        <v/>
      </c>
      <c r="AK54" s="34"/>
      <c r="AL54" s="34"/>
      <c r="AM54" s="35"/>
      <c r="AN54" s="34"/>
      <c r="AO54" s="34"/>
      <c r="AP54" s="35"/>
      <c r="AQ54" s="34"/>
      <c r="AR54" s="34"/>
      <c r="AS54" s="34"/>
      <c r="AT54" s="35"/>
      <c r="AU54" s="35"/>
    </row>
    <row r="55" customFormat="false" ht="15" hidden="false" customHeight="false" outlineLevel="0" collapsed="false">
      <c r="A55" s="24"/>
      <c r="B55" s="24"/>
      <c r="C55" s="24"/>
      <c r="D55" s="24"/>
      <c r="E55" s="24"/>
      <c r="F55" s="24"/>
      <c r="G55" s="24"/>
      <c r="H55" s="24"/>
      <c r="I55" s="32"/>
      <c r="J55" s="32"/>
      <c r="K55" s="32"/>
      <c r="L55" s="32"/>
      <c r="M55" s="24"/>
      <c r="N55" s="24"/>
      <c r="O55" s="24"/>
      <c r="P55" s="33" t="str">
        <f aca="false">IF(AND(G55&lt;&gt;"",I55&lt;&gt;"",J55&lt;&gt;""),(J55-I55)*1440,"")</f>
        <v/>
      </c>
      <c r="Q55" s="33" t="str">
        <f aca="false">IF(AND(G55&lt;&gt;"",J55&lt;&gt;"",K55&lt;&gt;""),(K55-J55)*1440,"")</f>
        <v/>
      </c>
      <c r="R55" s="33" t="str">
        <f aca="false">IF(AND(G55&lt;&gt;"",K55&lt;&gt;"",L55&lt;&gt;""),(L55-K55)*1440,"")</f>
        <v/>
      </c>
      <c r="S55" s="33" t="str">
        <f aca="false">IF(AND(G55&lt;&gt;"",I55&lt;&gt;"",L55&lt;&gt;""),(L55-I55)*1440,"")</f>
        <v/>
      </c>
      <c r="T55" s="33" t="str">
        <f aca="false">IF(G55="","",IFERROR(INDEX(Settings!$B$5:$B$8,MATCH(G55,Settings!$A$5:$A$8,0)),""))</f>
        <v/>
      </c>
      <c r="U55" s="25" t="str">
        <f aca="false">IF(G55="","",IF(S55="","No",IF(S55&lt;=T55,"Yes","No")))</f>
        <v/>
      </c>
      <c r="V55" s="25" t="str">
        <f aca="false">IF(G55="","",IF(AND(J55="",K55="",L55=""),"Telemetry Blind Spot",IF(AND(K55="",L55=""),"Missed Alert",IF(L55="","Triage Delay",IF(S55&lt;=T55,"Detected - Within SLA",IF(AND(R55&lt;&gt;"",R55&gt;IFERROR(INDEX(Settings!$C$5:$C$8,MATCH(G55,Settings!$A$5:$A$8,0)),1E+099)),"Triage Delay","Detected - SLA Breach"))))))</f>
        <v/>
      </c>
      <c r="W55" s="25" t="str">
        <f aca="false">IF(G55="","",IF(L55&lt;&gt;"",1,0))</f>
        <v/>
      </c>
      <c r="X55" s="32"/>
      <c r="Y55" s="32"/>
      <c r="Z55" s="32"/>
      <c r="AA55" s="24"/>
      <c r="AB55" s="24"/>
      <c r="AC55" s="33" t="str">
        <f aca="false">IF(AND(G55&lt;&gt;"",L55&lt;&gt;"",X55&lt;&gt;""),(X55-L55)*1440,"")</f>
        <v/>
      </c>
      <c r="AD55" s="33" t="str">
        <f aca="false">IF(AND(G55&lt;&gt;"",X55&lt;&gt;"",Y55&lt;&gt;""),(Y55-X55)*1440,"")</f>
        <v/>
      </c>
      <c r="AE55" s="33" t="str">
        <f aca="false">IF(AND(G55&lt;&gt;"",Y55&lt;&gt;"",Z55&lt;&gt;""),(Z55-Y55)*1440,"")</f>
        <v/>
      </c>
      <c r="AF55" s="33" t="str">
        <f aca="false">IF(AND(G55&lt;&gt;"",L55&lt;&gt;"",Z55&lt;&gt;""),(Z55-L55)*1440,"")</f>
        <v/>
      </c>
      <c r="AG55" s="33" t="str">
        <f aca="false">IF(G55="","",IFERROR(INDEX(Settings!$D$5:$D$8,MATCH(G55,Settings!$A$5:$A$8,0)),""))</f>
        <v/>
      </c>
      <c r="AH55" s="25" t="str">
        <f aca="false">IF(G55="","",IF(AF55="","No",IF(AF55&lt;=AG55,"Yes","No")))</f>
        <v/>
      </c>
      <c r="AI55" s="25" t="str">
        <f aca="false">IF(G55="","",IF(L55="","N/A - Not Detected",IF(AND(X55="",Y55="",Z55=""),"No Containment Action",IF(Z55="",IF(Y55&lt;&gt;"","C2 Persisted","Host Isolation Gap"),IF(AF55&lt;=AG55,"Contained - Within SLA","Contained - SLA Breach")))))</f>
        <v/>
      </c>
      <c r="AJ55" s="25" t="str">
        <f aca="false">IF(G55="","",IF(Z55&lt;&gt;"",1,0))</f>
        <v/>
      </c>
      <c r="AK55" s="34"/>
      <c r="AL55" s="34"/>
      <c r="AM55" s="35"/>
      <c r="AN55" s="34"/>
      <c r="AO55" s="34"/>
      <c r="AP55" s="35"/>
      <c r="AQ55" s="34"/>
      <c r="AR55" s="34"/>
      <c r="AS55" s="34"/>
      <c r="AT55" s="35"/>
      <c r="AU55" s="35"/>
    </row>
    <row r="56" customFormat="false" ht="15" hidden="false" customHeight="false" outlineLevel="0" collapsed="false">
      <c r="A56" s="24"/>
      <c r="B56" s="24"/>
      <c r="C56" s="24"/>
      <c r="D56" s="24"/>
      <c r="E56" s="24"/>
      <c r="F56" s="24"/>
      <c r="G56" s="24"/>
      <c r="H56" s="24"/>
      <c r="I56" s="32"/>
      <c r="J56" s="32"/>
      <c r="K56" s="32"/>
      <c r="L56" s="32"/>
      <c r="M56" s="24"/>
      <c r="N56" s="24"/>
      <c r="O56" s="24"/>
      <c r="P56" s="33" t="str">
        <f aca="false">IF(AND(G56&lt;&gt;"",I56&lt;&gt;"",J56&lt;&gt;""),(J56-I56)*1440,"")</f>
        <v/>
      </c>
      <c r="Q56" s="33" t="str">
        <f aca="false">IF(AND(G56&lt;&gt;"",J56&lt;&gt;"",K56&lt;&gt;""),(K56-J56)*1440,"")</f>
        <v/>
      </c>
      <c r="R56" s="33" t="str">
        <f aca="false">IF(AND(G56&lt;&gt;"",K56&lt;&gt;"",L56&lt;&gt;""),(L56-K56)*1440,"")</f>
        <v/>
      </c>
      <c r="S56" s="33" t="str">
        <f aca="false">IF(AND(G56&lt;&gt;"",I56&lt;&gt;"",L56&lt;&gt;""),(L56-I56)*1440,"")</f>
        <v/>
      </c>
      <c r="T56" s="33" t="str">
        <f aca="false">IF(G56="","",IFERROR(INDEX(Settings!$B$5:$B$8,MATCH(G56,Settings!$A$5:$A$8,0)),""))</f>
        <v/>
      </c>
      <c r="U56" s="25" t="str">
        <f aca="false">IF(G56="","",IF(S56="","No",IF(S56&lt;=T56,"Yes","No")))</f>
        <v/>
      </c>
      <c r="V56" s="25" t="str">
        <f aca="false">IF(G56="","",IF(AND(J56="",K56="",L56=""),"Telemetry Blind Spot",IF(AND(K56="",L56=""),"Missed Alert",IF(L56="","Triage Delay",IF(S56&lt;=T56,"Detected - Within SLA",IF(AND(R56&lt;&gt;"",R56&gt;IFERROR(INDEX(Settings!$C$5:$C$8,MATCH(G56,Settings!$A$5:$A$8,0)),1E+099)),"Triage Delay","Detected - SLA Breach"))))))</f>
        <v/>
      </c>
      <c r="W56" s="25" t="str">
        <f aca="false">IF(G56="","",IF(L56&lt;&gt;"",1,0))</f>
        <v/>
      </c>
      <c r="X56" s="32"/>
      <c r="Y56" s="32"/>
      <c r="Z56" s="32"/>
      <c r="AA56" s="24"/>
      <c r="AB56" s="24"/>
      <c r="AC56" s="33" t="str">
        <f aca="false">IF(AND(G56&lt;&gt;"",L56&lt;&gt;"",X56&lt;&gt;""),(X56-L56)*1440,"")</f>
        <v/>
      </c>
      <c r="AD56" s="33" t="str">
        <f aca="false">IF(AND(G56&lt;&gt;"",X56&lt;&gt;"",Y56&lt;&gt;""),(Y56-X56)*1440,"")</f>
        <v/>
      </c>
      <c r="AE56" s="33" t="str">
        <f aca="false">IF(AND(G56&lt;&gt;"",Y56&lt;&gt;"",Z56&lt;&gt;""),(Z56-Y56)*1440,"")</f>
        <v/>
      </c>
      <c r="AF56" s="33" t="str">
        <f aca="false">IF(AND(G56&lt;&gt;"",L56&lt;&gt;"",Z56&lt;&gt;""),(Z56-L56)*1440,"")</f>
        <v/>
      </c>
      <c r="AG56" s="33" t="str">
        <f aca="false">IF(G56="","",IFERROR(INDEX(Settings!$D$5:$D$8,MATCH(G56,Settings!$A$5:$A$8,0)),""))</f>
        <v/>
      </c>
      <c r="AH56" s="25" t="str">
        <f aca="false">IF(G56="","",IF(AF56="","No",IF(AF56&lt;=AG56,"Yes","No")))</f>
        <v/>
      </c>
      <c r="AI56" s="25" t="str">
        <f aca="false">IF(G56="","",IF(L56="","N/A - Not Detected",IF(AND(X56="",Y56="",Z56=""),"No Containment Action",IF(Z56="",IF(Y56&lt;&gt;"","C2 Persisted","Host Isolation Gap"),IF(AF56&lt;=AG56,"Contained - Within SLA","Contained - SLA Breach")))))</f>
        <v/>
      </c>
      <c r="AJ56" s="25" t="str">
        <f aca="false">IF(G56="","",IF(Z56&lt;&gt;"",1,0))</f>
        <v/>
      </c>
      <c r="AK56" s="34"/>
      <c r="AL56" s="34"/>
      <c r="AM56" s="35"/>
      <c r="AN56" s="34"/>
      <c r="AO56" s="34"/>
      <c r="AP56" s="35"/>
      <c r="AQ56" s="34"/>
      <c r="AR56" s="34"/>
      <c r="AS56" s="34"/>
      <c r="AT56" s="35"/>
      <c r="AU56" s="35"/>
    </row>
    <row r="57" customFormat="false" ht="15" hidden="false" customHeight="false" outlineLevel="0" collapsed="false">
      <c r="A57" s="24"/>
      <c r="B57" s="24"/>
      <c r="C57" s="24"/>
      <c r="D57" s="24"/>
      <c r="E57" s="24"/>
      <c r="F57" s="24"/>
      <c r="G57" s="24"/>
      <c r="H57" s="24"/>
      <c r="I57" s="32"/>
      <c r="J57" s="32"/>
      <c r="K57" s="32"/>
      <c r="L57" s="32"/>
      <c r="M57" s="24"/>
      <c r="N57" s="24"/>
      <c r="O57" s="24"/>
      <c r="P57" s="33" t="str">
        <f aca="false">IF(AND(G57&lt;&gt;"",I57&lt;&gt;"",J57&lt;&gt;""),(J57-I57)*1440,"")</f>
        <v/>
      </c>
      <c r="Q57" s="33" t="str">
        <f aca="false">IF(AND(G57&lt;&gt;"",J57&lt;&gt;"",K57&lt;&gt;""),(K57-J57)*1440,"")</f>
        <v/>
      </c>
      <c r="R57" s="33" t="str">
        <f aca="false">IF(AND(G57&lt;&gt;"",K57&lt;&gt;"",L57&lt;&gt;""),(L57-K57)*1440,"")</f>
        <v/>
      </c>
      <c r="S57" s="33" t="str">
        <f aca="false">IF(AND(G57&lt;&gt;"",I57&lt;&gt;"",L57&lt;&gt;""),(L57-I57)*1440,"")</f>
        <v/>
      </c>
      <c r="T57" s="33" t="str">
        <f aca="false">IF(G57="","",IFERROR(INDEX(Settings!$B$5:$B$8,MATCH(G57,Settings!$A$5:$A$8,0)),""))</f>
        <v/>
      </c>
      <c r="U57" s="25" t="str">
        <f aca="false">IF(G57="","",IF(S57="","No",IF(S57&lt;=T57,"Yes","No")))</f>
        <v/>
      </c>
      <c r="V57" s="25" t="str">
        <f aca="false">IF(G57="","",IF(AND(J57="",K57="",L57=""),"Telemetry Blind Spot",IF(AND(K57="",L57=""),"Missed Alert",IF(L57="","Triage Delay",IF(S57&lt;=T57,"Detected - Within SLA",IF(AND(R57&lt;&gt;"",R57&gt;IFERROR(INDEX(Settings!$C$5:$C$8,MATCH(G57,Settings!$A$5:$A$8,0)),1E+099)),"Triage Delay","Detected - SLA Breach"))))))</f>
        <v/>
      </c>
      <c r="W57" s="25" t="str">
        <f aca="false">IF(G57="","",IF(L57&lt;&gt;"",1,0))</f>
        <v/>
      </c>
      <c r="X57" s="32"/>
      <c r="Y57" s="32"/>
      <c r="Z57" s="32"/>
      <c r="AA57" s="24"/>
      <c r="AB57" s="24"/>
      <c r="AC57" s="33" t="str">
        <f aca="false">IF(AND(G57&lt;&gt;"",L57&lt;&gt;"",X57&lt;&gt;""),(X57-L57)*1440,"")</f>
        <v/>
      </c>
      <c r="AD57" s="33" t="str">
        <f aca="false">IF(AND(G57&lt;&gt;"",X57&lt;&gt;"",Y57&lt;&gt;""),(Y57-X57)*1440,"")</f>
        <v/>
      </c>
      <c r="AE57" s="33" t="str">
        <f aca="false">IF(AND(G57&lt;&gt;"",Y57&lt;&gt;"",Z57&lt;&gt;""),(Z57-Y57)*1440,"")</f>
        <v/>
      </c>
      <c r="AF57" s="33" t="str">
        <f aca="false">IF(AND(G57&lt;&gt;"",L57&lt;&gt;"",Z57&lt;&gt;""),(Z57-L57)*1440,"")</f>
        <v/>
      </c>
      <c r="AG57" s="33" t="str">
        <f aca="false">IF(G57="","",IFERROR(INDEX(Settings!$D$5:$D$8,MATCH(G57,Settings!$A$5:$A$8,0)),""))</f>
        <v/>
      </c>
      <c r="AH57" s="25" t="str">
        <f aca="false">IF(G57="","",IF(AF57="","No",IF(AF57&lt;=AG57,"Yes","No")))</f>
        <v/>
      </c>
      <c r="AI57" s="25" t="str">
        <f aca="false">IF(G57="","",IF(L57="","N/A - Not Detected",IF(AND(X57="",Y57="",Z57=""),"No Containment Action",IF(Z57="",IF(Y57&lt;&gt;"","C2 Persisted","Host Isolation Gap"),IF(AF57&lt;=AG57,"Contained - Within SLA","Contained - SLA Breach")))))</f>
        <v/>
      </c>
      <c r="AJ57" s="25" t="str">
        <f aca="false">IF(G57="","",IF(Z57&lt;&gt;"",1,0))</f>
        <v/>
      </c>
      <c r="AK57" s="34"/>
      <c r="AL57" s="34"/>
      <c r="AM57" s="35"/>
      <c r="AN57" s="34"/>
      <c r="AO57" s="34"/>
      <c r="AP57" s="35"/>
      <c r="AQ57" s="34"/>
      <c r="AR57" s="34"/>
      <c r="AS57" s="34"/>
      <c r="AT57" s="35"/>
      <c r="AU57" s="35"/>
    </row>
    <row r="58" customFormat="false" ht="15" hidden="false" customHeight="false" outlineLevel="0" collapsed="false">
      <c r="A58" s="24"/>
      <c r="B58" s="24"/>
      <c r="C58" s="24"/>
      <c r="D58" s="24"/>
      <c r="E58" s="24"/>
      <c r="F58" s="24"/>
      <c r="G58" s="24"/>
      <c r="H58" s="24"/>
      <c r="I58" s="32"/>
      <c r="J58" s="32"/>
      <c r="K58" s="32"/>
      <c r="L58" s="32"/>
      <c r="M58" s="24"/>
      <c r="N58" s="24"/>
      <c r="O58" s="24"/>
      <c r="P58" s="33" t="str">
        <f aca="false">IF(AND(G58&lt;&gt;"",I58&lt;&gt;"",J58&lt;&gt;""),(J58-I58)*1440,"")</f>
        <v/>
      </c>
      <c r="Q58" s="33" t="str">
        <f aca="false">IF(AND(G58&lt;&gt;"",J58&lt;&gt;"",K58&lt;&gt;""),(K58-J58)*1440,"")</f>
        <v/>
      </c>
      <c r="R58" s="33" t="str">
        <f aca="false">IF(AND(G58&lt;&gt;"",K58&lt;&gt;"",L58&lt;&gt;""),(L58-K58)*1440,"")</f>
        <v/>
      </c>
      <c r="S58" s="33" t="str">
        <f aca="false">IF(AND(G58&lt;&gt;"",I58&lt;&gt;"",L58&lt;&gt;""),(L58-I58)*1440,"")</f>
        <v/>
      </c>
      <c r="T58" s="33" t="str">
        <f aca="false">IF(G58="","",IFERROR(INDEX(Settings!$B$5:$B$8,MATCH(G58,Settings!$A$5:$A$8,0)),""))</f>
        <v/>
      </c>
      <c r="U58" s="25" t="str">
        <f aca="false">IF(G58="","",IF(S58="","No",IF(S58&lt;=T58,"Yes","No")))</f>
        <v/>
      </c>
      <c r="V58" s="25" t="str">
        <f aca="false">IF(G58="","",IF(AND(J58="",K58="",L58=""),"Telemetry Blind Spot",IF(AND(K58="",L58=""),"Missed Alert",IF(L58="","Triage Delay",IF(S58&lt;=T58,"Detected - Within SLA",IF(AND(R58&lt;&gt;"",R58&gt;IFERROR(INDEX(Settings!$C$5:$C$8,MATCH(G58,Settings!$A$5:$A$8,0)),1E+099)),"Triage Delay","Detected - SLA Breach"))))))</f>
        <v/>
      </c>
      <c r="W58" s="25" t="str">
        <f aca="false">IF(G58="","",IF(L58&lt;&gt;"",1,0))</f>
        <v/>
      </c>
      <c r="X58" s="32"/>
      <c r="Y58" s="32"/>
      <c r="Z58" s="32"/>
      <c r="AA58" s="24"/>
      <c r="AB58" s="24"/>
      <c r="AC58" s="33" t="str">
        <f aca="false">IF(AND(G58&lt;&gt;"",L58&lt;&gt;"",X58&lt;&gt;""),(X58-L58)*1440,"")</f>
        <v/>
      </c>
      <c r="AD58" s="33" t="str">
        <f aca="false">IF(AND(G58&lt;&gt;"",X58&lt;&gt;"",Y58&lt;&gt;""),(Y58-X58)*1440,"")</f>
        <v/>
      </c>
      <c r="AE58" s="33" t="str">
        <f aca="false">IF(AND(G58&lt;&gt;"",Y58&lt;&gt;"",Z58&lt;&gt;""),(Z58-Y58)*1440,"")</f>
        <v/>
      </c>
      <c r="AF58" s="33" t="str">
        <f aca="false">IF(AND(G58&lt;&gt;"",L58&lt;&gt;"",Z58&lt;&gt;""),(Z58-L58)*1440,"")</f>
        <v/>
      </c>
      <c r="AG58" s="33" t="str">
        <f aca="false">IF(G58="","",IFERROR(INDEX(Settings!$D$5:$D$8,MATCH(G58,Settings!$A$5:$A$8,0)),""))</f>
        <v/>
      </c>
      <c r="AH58" s="25" t="str">
        <f aca="false">IF(G58="","",IF(AF58="","No",IF(AF58&lt;=AG58,"Yes","No")))</f>
        <v/>
      </c>
      <c r="AI58" s="25" t="str">
        <f aca="false">IF(G58="","",IF(L58="","N/A - Not Detected",IF(AND(X58="",Y58="",Z58=""),"No Containment Action",IF(Z58="",IF(Y58&lt;&gt;"","C2 Persisted","Host Isolation Gap"),IF(AF58&lt;=AG58,"Contained - Within SLA","Contained - SLA Breach")))))</f>
        <v/>
      </c>
      <c r="AJ58" s="25" t="str">
        <f aca="false">IF(G58="","",IF(Z58&lt;&gt;"",1,0))</f>
        <v/>
      </c>
      <c r="AK58" s="34"/>
      <c r="AL58" s="34"/>
      <c r="AM58" s="35"/>
      <c r="AN58" s="34"/>
      <c r="AO58" s="34"/>
      <c r="AP58" s="35"/>
      <c r="AQ58" s="34"/>
      <c r="AR58" s="34"/>
      <c r="AS58" s="34"/>
      <c r="AT58" s="35"/>
      <c r="AU58" s="35"/>
    </row>
    <row r="59" customFormat="false" ht="15" hidden="false" customHeight="false" outlineLevel="0" collapsed="false">
      <c r="A59" s="24"/>
      <c r="B59" s="24"/>
      <c r="C59" s="24"/>
      <c r="D59" s="24"/>
      <c r="E59" s="24"/>
      <c r="F59" s="24"/>
      <c r="G59" s="24"/>
      <c r="H59" s="24"/>
      <c r="I59" s="32"/>
      <c r="J59" s="32"/>
      <c r="K59" s="32"/>
      <c r="L59" s="32"/>
      <c r="M59" s="24"/>
      <c r="N59" s="24"/>
      <c r="O59" s="24"/>
      <c r="P59" s="33" t="str">
        <f aca="false">IF(AND(G59&lt;&gt;"",I59&lt;&gt;"",J59&lt;&gt;""),(J59-I59)*1440,"")</f>
        <v/>
      </c>
      <c r="Q59" s="33" t="str">
        <f aca="false">IF(AND(G59&lt;&gt;"",J59&lt;&gt;"",K59&lt;&gt;""),(K59-J59)*1440,"")</f>
        <v/>
      </c>
      <c r="R59" s="33" t="str">
        <f aca="false">IF(AND(G59&lt;&gt;"",K59&lt;&gt;"",L59&lt;&gt;""),(L59-K59)*1440,"")</f>
        <v/>
      </c>
      <c r="S59" s="33" t="str">
        <f aca="false">IF(AND(G59&lt;&gt;"",I59&lt;&gt;"",L59&lt;&gt;""),(L59-I59)*1440,"")</f>
        <v/>
      </c>
      <c r="T59" s="33" t="str">
        <f aca="false">IF(G59="","",IFERROR(INDEX(Settings!$B$5:$B$8,MATCH(G59,Settings!$A$5:$A$8,0)),""))</f>
        <v/>
      </c>
      <c r="U59" s="25" t="str">
        <f aca="false">IF(G59="","",IF(S59="","No",IF(S59&lt;=T59,"Yes","No")))</f>
        <v/>
      </c>
      <c r="V59" s="25" t="str">
        <f aca="false">IF(G59="","",IF(AND(J59="",K59="",L59=""),"Telemetry Blind Spot",IF(AND(K59="",L59=""),"Missed Alert",IF(L59="","Triage Delay",IF(S59&lt;=T59,"Detected - Within SLA",IF(AND(R59&lt;&gt;"",R59&gt;IFERROR(INDEX(Settings!$C$5:$C$8,MATCH(G59,Settings!$A$5:$A$8,0)),1E+099)),"Triage Delay","Detected - SLA Breach"))))))</f>
        <v/>
      </c>
      <c r="W59" s="25" t="str">
        <f aca="false">IF(G59="","",IF(L59&lt;&gt;"",1,0))</f>
        <v/>
      </c>
      <c r="X59" s="32"/>
      <c r="Y59" s="32"/>
      <c r="Z59" s="32"/>
      <c r="AA59" s="24"/>
      <c r="AB59" s="24"/>
      <c r="AC59" s="33" t="str">
        <f aca="false">IF(AND(G59&lt;&gt;"",L59&lt;&gt;"",X59&lt;&gt;""),(X59-L59)*1440,"")</f>
        <v/>
      </c>
      <c r="AD59" s="33" t="str">
        <f aca="false">IF(AND(G59&lt;&gt;"",X59&lt;&gt;"",Y59&lt;&gt;""),(Y59-X59)*1440,"")</f>
        <v/>
      </c>
      <c r="AE59" s="33" t="str">
        <f aca="false">IF(AND(G59&lt;&gt;"",Y59&lt;&gt;"",Z59&lt;&gt;""),(Z59-Y59)*1440,"")</f>
        <v/>
      </c>
      <c r="AF59" s="33" t="str">
        <f aca="false">IF(AND(G59&lt;&gt;"",L59&lt;&gt;"",Z59&lt;&gt;""),(Z59-L59)*1440,"")</f>
        <v/>
      </c>
      <c r="AG59" s="33" t="str">
        <f aca="false">IF(G59="","",IFERROR(INDEX(Settings!$D$5:$D$8,MATCH(G59,Settings!$A$5:$A$8,0)),""))</f>
        <v/>
      </c>
      <c r="AH59" s="25" t="str">
        <f aca="false">IF(G59="","",IF(AF59="","No",IF(AF59&lt;=AG59,"Yes","No")))</f>
        <v/>
      </c>
      <c r="AI59" s="25" t="str">
        <f aca="false">IF(G59="","",IF(L59="","N/A - Not Detected",IF(AND(X59="",Y59="",Z59=""),"No Containment Action",IF(Z59="",IF(Y59&lt;&gt;"","C2 Persisted","Host Isolation Gap"),IF(AF59&lt;=AG59,"Contained - Within SLA","Contained - SLA Breach")))))</f>
        <v/>
      </c>
      <c r="AJ59" s="25" t="str">
        <f aca="false">IF(G59="","",IF(Z59&lt;&gt;"",1,0))</f>
        <v/>
      </c>
      <c r="AK59" s="34"/>
      <c r="AL59" s="34"/>
      <c r="AM59" s="35"/>
      <c r="AN59" s="34"/>
      <c r="AO59" s="34"/>
      <c r="AP59" s="35"/>
      <c r="AQ59" s="34"/>
      <c r="AR59" s="34"/>
      <c r="AS59" s="34"/>
      <c r="AT59" s="35"/>
      <c r="AU59" s="35"/>
    </row>
    <row r="60" customFormat="false" ht="15" hidden="false" customHeight="false" outlineLevel="0" collapsed="false">
      <c r="A60" s="24"/>
      <c r="B60" s="24"/>
      <c r="C60" s="24"/>
      <c r="D60" s="24"/>
      <c r="E60" s="24"/>
      <c r="F60" s="24"/>
      <c r="G60" s="24"/>
      <c r="H60" s="24"/>
      <c r="I60" s="32"/>
      <c r="J60" s="32"/>
      <c r="K60" s="32"/>
      <c r="L60" s="32"/>
      <c r="M60" s="24"/>
      <c r="N60" s="24"/>
      <c r="O60" s="24"/>
      <c r="P60" s="33" t="str">
        <f aca="false">IF(AND(G60&lt;&gt;"",I60&lt;&gt;"",J60&lt;&gt;""),(J60-I60)*1440,"")</f>
        <v/>
      </c>
      <c r="Q60" s="33" t="str">
        <f aca="false">IF(AND(G60&lt;&gt;"",J60&lt;&gt;"",K60&lt;&gt;""),(K60-J60)*1440,"")</f>
        <v/>
      </c>
      <c r="R60" s="33" t="str">
        <f aca="false">IF(AND(G60&lt;&gt;"",K60&lt;&gt;"",L60&lt;&gt;""),(L60-K60)*1440,"")</f>
        <v/>
      </c>
      <c r="S60" s="33" t="str">
        <f aca="false">IF(AND(G60&lt;&gt;"",I60&lt;&gt;"",L60&lt;&gt;""),(L60-I60)*1440,"")</f>
        <v/>
      </c>
      <c r="T60" s="33" t="str">
        <f aca="false">IF(G60="","",IFERROR(INDEX(Settings!$B$5:$B$8,MATCH(G60,Settings!$A$5:$A$8,0)),""))</f>
        <v/>
      </c>
      <c r="U60" s="25" t="str">
        <f aca="false">IF(G60="","",IF(S60="","No",IF(S60&lt;=T60,"Yes","No")))</f>
        <v/>
      </c>
      <c r="V60" s="25" t="str">
        <f aca="false">IF(G60="","",IF(AND(J60="",K60="",L60=""),"Telemetry Blind Spot",IF(AND(K60="",L60=""),"Missed Alert",IF(L60="","Triage Delay",IF(S60&lt;=T60,"Detected - Within SLA",IF(AND(R60&lt;&gt;"",R60&gt;IFERROR(INDEX(Settings!$C$5:$C$8,MATCH(G60,Settings!$A$5:$A$8,0)),1E+099)),"Triage Delay","Detected - SLA Breach"))))))</f>
        <v/>
      </c>
      <c r="W60" s="25" t="str">
        <f aca="false">IF(G60="","",IF(L60&lt;&gt;"",1,0))</f>
        <v/>
      </c>
      <c r="X60" s="32"/>
      <c r="Y60" s="32"/>
      <c r="Z60" s="32"/>
      <c r="AA60" s="24"/>
      <c r="AB60" s="24"/>
      <c r="AC60" s="33" t="str">
        <f aca="false">IF(AND(G60&lt;&gt;"",L60&lt;&gt;"",X60&lt;&gt;""),(X60-L60)*1440,"")</f>
        <v/>
      </c>
      <c r="AD60" s="33" t="str">
        <f aca="false">IF(AND(G60&lt;&gt;"",X60&lt;&gt;"",Y60&lt;&gt;""),(Y60-X60)*1440,"")</f>
        <v/>
      </c>
      <c r="AE60" s="33" t="str">
        <f aca="false">IF(AND(G60&lt;&gt;"",Y60&lt;&gt;"",Z60&lt;&gt;""),(Z60-Y60)*1440,"")</f>
        <v/>
      </c>
      <c r="AF60" s="33" t="str">
        <f aca="false">IF(AND(G60&lt;&gt;"",L60&lt;&gt;"",Z60&lt;&gt;""),(Z60-L60)*1440,"")</f>
        <v/>
      </c>
      <c r="AG60" s="33" t="str">
        <f aca="false">IF(G60="","",IFERROR(INDEX(Settings!$D$5:$D$8,MATCH(G60,Settings!$A$5:$A$8,0)),""))</f>
        <v/>
      </c>
      <c r="AH60" s="25" t="str">
        <f aca="false">IF(G60="","",IF(AF60="","No",IF(AF60&lt;=AG60,"Yes","No")))</f>
        <v/>
      </c>
      <c r="AI60" s="25" t="str">
        <f aca="false">IF(G60="","",IF(L60="","N/A - Not Detected",IF(AND(X60="",Y60="",Z60=""),"No Containment Action",IF(Z60="",IF(Y60&lt;&gt;"","C2 Persisted","Host Isolation Gap"),IF(AF60&lt;=AG60,"Contained - Within SLA","Contained - SLA Breach")))))</f>
        <v/>
      </c>
      <c r="AJ60" s="25" t="str">
        <f aca="false">IF(G60="","",IF(Z60&lt;&gt;"",1,0))</f>
        <v/>
      </c>
      <c r="AK60" s="34"/>
      <c r="AL60" s="34"/>
      <c r="AM60" s="35"/>
      <c r="AN60" s="34"/>
      <c r="AO60" s="34"/>
      <c r="AP60" s="35"/>
      <c r="AQ60" s="34"/>
      <c r="AR60" s="34"/>
      <c r="AS60" s="34"/>
      <c r="AT60" s="35"/>
      <c r="AU60" s="35"/>
    </row>
    <row r="61" customFormat="false" ht="15" hidden="false" customHeight="false" outlineLevel="0" collapsed="false">
      <c r="A61" s="24"/>
      <c r="B61" s="24"/>
      <c r="C61" s="24"/>
      <c r="D61" s="24"/>
      <c r="E61" s="24"/>
      <c r="F61" s="24"/>
      <c r="G61" s="24"/>
      <c r="H61" s="24"/>
      <c r="I61" s="32"/>
      <c r="J61" s="32"/>
      <c r="K61" s="32"/>
      <c r="L61" s="32"/>
      <c r="M61" s="24"/>
      <c r="N61" s="24"/>
      <c r="O61" s="24"/>
      <c r="P61" s="33" t="str">
        <f aca="false">IF(AND(G61&lt;&gt;"",I61&lt;&gt;"",J61&lt;&gt;""),(J61-I61)*1440,"")</f>
        <v/>
      </c>
      <c r="Q61" s="33" t="str">
        <f aca="false">IF(AND(G61&lt;&gt;"",J61&lt;&gt;"",K61&lt;&gt;""),(K61-J61)*1440,"")</f>
        <v/>
      </c>
      <c r="R61" s="33" t="str">
        <f aca="false">IF(AND(G61&lt;&gt;"",K61&lt;&gt;"",L61&lt;&gt;""),(L61-K61)*1440,"")</f>
        <v/>
      </c>
      <c r="S61" s="33" t="str">
        <f aca="false">IF(AND(G61&lt;&gt;"",I61&lt;&gt;"",L61&lt;&gt;""),(L61-I61)*1440,"")</f>
        <v/>
      </c>
      <c r="T61" s="33" t="str">
        <f aca="false">IF(G61="","",IFERROR(INDEX(Settings!$B$5:$B$8,MATCH(G61,Settings!$A$5:$A$8,0)),""))</f>
        <v/>
      </c>
      <c r="U61" s="25" t="str">
        <f aca="false">IF(G61="","",IF(S61="","No",IF(S61&lt;=T61,"Yes","No")))</f>
        <v/>
      </c>
      <c r="V61" s="25" t="str">
        <f aca="false">IF(G61="","",IF(AND(J61="",K61="",L61=""),"Telemetry Blind Spot",IF(AND(K61="",L61=""),"Missed Alert",IF(L61="","Triage Delay",IF(S61&lt;=T61,"Detected - Within SLA",IF(AND(R61&lt;&gt;"",R61&gt;IFERROR(INDEX(Settings!$C$5:$C$8,MATCH(G61,Settings!$A$5:$A$8,0)),1E+099)),"Triage Delay","Detected - SLA Breach"))))))</f>
        <v/>
      </c>
      <c r="W61" s="25" t="str">
        <f aca="false">IF(G61="","",IF(L61&lt;&gt;"",1,0))</f>
        <v/>
      </c>
      <c r="X61" s="32"/>
      <c r="Y61" s="32"/>
      <c r="Z61" s="32"/>
      <c r="AA61" s="24"/>
      <c r="AB61" s="24"/>
      <c r="AC61" s="33" t="str">
        <f aca="false">IF(AND(G61&lt;&gt;"",L61&lt;&gt;"",X61&lt;&gt;""),(X61-L61)*1440,"")</f>
        <v/>
      </c>
      <c r="AD61" s="33" t="str">
        <f aca="false">IF(AND(G61&lt;&gt;"",X61&lt;&gt;"",Y61&lt;&gt;""),(Y61-X61)*1440,"")</f>
        <v/>
      </c>
      <c r="AE61" s="33" t="str">
        <f aca="false">IF(AND(G61&lt;&gt;"",Y61&lt;&gt;"",Z61&lt;&gt;""),(Z61-Y61)*1440,"")</f>
        <v/>
      </c>
      <c r="AF61" s="33" t="str">
        <f aca="false">IF(AND(G61&lt;&gt;"",L61&lt;&gt;"",Z61&lt;&gt;""),(Z61-L61)*1440,"")</f>
        <v/>
      </c>
      <c r="AG61" s="33" t="str">
        <f aca="false">IF(G61="","",IFERROR(INDEX(Settings!$D$5:$D$8,MATCH(G61,Settings!$A$5:$A$8,0)),""))</f>
        <v/>
      </c>
      <c r="AH61" s="25" t="str">
        <f aca="false">IF(G61="","",IF(AF61="","No",IF(AF61&lt;=AG61,"Yes","No")))</f>
        <v/>
      </c>
      <c r="AI61" s="25" t="str">
        <f aca="false">IF(G61="","",IF(L61="","N/A - Not Detected",IF(AND(X61="",Y61="",Z61=""),"No Containment Action",IF(Z61="",IF(Y61&lt;&gt;"","C2 Persisted","Host Isolation Gap"),IF(AF61&lt;=AG61,"Contained - Within SLA","Contained - SLA Breach")))))</f>
        <v/>
      </c>
      <c r="AJ61" s="25" t="str">
        <f aca="false">IF(G61="","",IF(Z61&lt;&gt;"",1,0))</f>
        <v/>
      </c>
      <c r="AK61" s="34"/>
      <c r="AL61" s="34"/>
      <c r="AM61" s="35"/>
      <c r="AN61" s="34"/>
      <c r="AO61" s="34"/>
      <c r="AP61" s="35"/>
      <c r="AQ61" s="34"/>
      <c r="AR61" s="34"/>
      <c r="AS61" s="34"/>
      <c r="AT61" s="35"/>
      <c r="AU61" s="35"/>
    </row>
    <row r="62" customFormat="false" ht="15" hidden="false" customHeight="false" outlineLevel="0" collapsed="false">
      <c r="A62" s="24"/>
      <c r="B62" s="24"/>
      <c r="C62" s="24"/>
      <c r="D62" s="24"/>
      <c r="E62" s="24"/>
      <c r="F62" s="24"/>
      <c r="G62" s="24"/>
      <c r="H62" s="24"/>
      <c r="I62" s="32"/>
      <c r="J62" s="32"/>
      <c r="K62" s="32"/>
      <c r="L62" s="32"/>
      <c r="M62" s="24"/>
      <c r="N62" s="24"/>
      <c r="O62" s="24"/>
      <c r="P62" s="33" t="str">
        <f aca="false">IF(AND(G62&lt;&gt;"",I62&lt;&gt;"",J62&lt;&gt;""),(J62-I62)*1440,"")</f>
        <v/>
      </c>
      <c r="Q62" s="33" t="str">
        <f aca="false">IF(AND(G62&lt;&gt;"",J62&lt;&gt;"",K62&lt;&gt;""),(K62-J62)*1440,"")</f>
        <v/>
      </c>
      <c r="R62" s="33" t="str">
        <f aca="false">IF(AND(G62&lt;&gt;"",K62&lt;&gt;"",L62&lt;&gt;""),(L62-K62)*1440,"")</f>
        <v/>
      </c>
      <c r="S62" s="33" t="str">
        <f aca="false">IF(AND(G62&lt;&gt;"",I62&lt;&gt;"",L62&lt;&gt;""),(L62-I62)*1440,"")</f>
        <v/>
      </c>
      <c r="T62" s="33" t="str">
        <f aca="false">IF(G62="","",IFERROR(INDEX(Settings!$B$5:$B$8,MATCH(G62,Settings!$A$5:$A$8,0)),""))</f>
        <v/>
      </c>
      <c r="U62" s="25" t="str">
        <f aca="false">IF(G62="","",IF(S62="","No",IF(S62&lt;=T62,"Yes","No")))</f>
        <v/>
      </c>
      <c r="V62" s="25" t="str">
        <f aca="false">IF(G62="","",IF(AND(J62="",K62="",L62=""),"Telemetry Blind Spot",IF(AND(K62="",L62=""),"Missed Alert",IF(L62="","Triage Delay",IF(S62&lt;=T62,"Detected - Within SLA",IF(AND(R62&lt;&gt;"",R62&gt;IFERROR(INDEX(Settings!$C$5:$C$8,MATCH(G62,Settings!$A$5:$A$8,0)),1E+099)),"Triage Delay","Detected - SLA Breach"))))))</f>
        <v/>
      </c>
      <c r="W62" s="25" t="str">
        <f aca="false">IF(G62="","",IF(L62&lt;&gt;"",1,0))</f>
        <v/>
      </c>
      <c r="X62" s="32"/>
      <c r="Y62" s="32"/>
      <c r="Z62" s="32"/>
      <c r="AA62" s="24"/>
      <c r="AB62" s="24"/>
      <c r="AC62" s="33" t="str">
        <f aca="false">IF(AND(G62&lt;&gt;"",L62&lt;&gt;"",X62&lt;&gt;""),(X62-L62)*1440,"")</f>
        <v/>
      </c>
      <c r="AD62" s="33" t="str">
        <f aca="false">IF(AND(G62&lt;&gt;"",X62&lt;&gt;"",Y62&lt;&gt;""),(Y62-X62)*1440,"")</f>
        <v/>
      </c>
      <c r="AE62" s="33" t="str">
        <f aca="false">IF(AND(G62&lt;&gt;"",Y62&lt;&gt;"",Z62&lt;&gt;""),(Z62-Y62)*1440,"")</f>
        <v/>
      </c>
      <c r="AF62" s="33" t="str">
        <f aca="false">IF(AND(G62&lt;&gt;"",L62&lt;&gt;"",Z62&lt;&gt;""),(Z62-L62)*1440,"")</f>
        <v/>
      </c>
      <c r="AG62" s="33" t="str">
        <f aca="false">IF(G62="","",IFERROR(INDEX(Settings!$D$5:$D$8,MATCH(G62,Settings!$A$5:$A$8,0)),""))</f>
        <v/>
      </c>
      <c r="AH62" s="25" t="str">
        <f aca="false">IF(G62="","",IF(AF62="","No",IF(AF62&lt;=AG62,"Yes","No")))</f>
        <v/>
      </c>
      <c r="AI62" s="25" t="str">
        <f aca="false">IF(G62="","",IF(L62="","N/A - Not Detected",IF(AND(X62="",Y62="",Z62=""),"No Containment Action",IF(Z62="",IF(Y62&lt;&gt;"","C2 Persisted","Host Isolation Gap"),IF(AF62&lt;=AG62,"Contained - Within SLA","Contained - SLA Breach")))))</f>
        <v/>
      </c>
      <c r="AJ62" s="25" t="str">
        <f aca="false">IF(G62="","",IF(Z62&lt;&gt;"",1,0))</f>
        <v/>
      </c>
      <c r="AK62" s="34"/>
      <c r="AL62" s="34"/>
      <c r="AM62" s="35"/>
      <c r="AN62" s="34"/>
      <c r="AO62" s="34"/>
      <c r="AP62" s="35"/>
      <c r="AQ62" s="34"/>
      <c r="AR62" s="34"/>
      <c r="AS62" s="34"/>
      <c r="AT62" s="35"/>
      <c r="AU62" s="35"/>
    </row>
    <row r="63" customFormat="false" ht="15" hidden="false" customHeight="false" outlineLevel="0" collapsed="false">
      <c r="A63" s="24"/>
      <c r="B63" s="24"/>
      <c r="C63" s="24"/>
      <c r="D63" s="24"/>
      <c r="E63" s="24"/>
      <c r="F63" s="24"/>
      <c r="G63" s="24"/>
      <c r="H63" s="24"/>
      <c r="I63" s="32"/>
      <c r="J63" s="32"/>
      <c r="K63" s="32"/>
      <c r="L63" s="32"/>
      <c r="M63" s="24"/>
      <c r="N63" s="24"/>
      <c r="O63" s="24"/>
      <c r="P63" s="33" t="str">
        <f aca="false">IF(AND(G63&lt;&gt;"",I63&lt;&gt;"",J63&lt;&gt;""),(J63-I63)*1440,"")</f>
        <v/>
      </c>
      <c r="Q63" s="33" t="str">
        <f aca="false">IF(AND(G63&lt;&gt;"",J63&lt;&gt;"",K63&lt;&gt;""),(K63-J63)*1440,"")</f>
        <v/>
      </c>
      <c r="R63" s="33" t="str">
        <f aca="false">IF(AND(G63&lt;&gt;"",K63&lt;&gt;"",L63&lt;&gt;""),(L63-K63)*1440,"")</f>
        <v/>
      </c>
      <c r="S63" s="33" t="str">
        <f aca="false">IF(AND(G63&lt;&gt;"",I63&lt;&gt;"",L63&lt;&gt;""),(L63-I63)*1440,"")</f>
        <v/>
      </c>
      <c r="T63" s="33" t="str">
        <f aca="false">IF(G63="","",IFERROR(INDEX(Settings!$B$5:$B$8,MATCH(G63,Settings!$A$5:$A$8,0)),""))</f>
        <v/>
      </c>
      <c r="U63" s="25" t="str">
        <f aca="false">IF(G63="","",IF(S63="","No",IF(S63&lt;=T63,"Yes","No")))</f>
        <v/>
      </c>
      <c r="V63" s="25" t="str">
        <f aca="false">IF(G63="","",IF(AND(J63="",K63="",L63=""),"Telemetry Blind Spot",IF(AND(K63="",L63=""),"Missed Alert",IF(L63="","Triage Delay",IF(S63&lt;=T63,"Detected - Within SLA",IF(AND(R63&lt;&gt;"",R63&gt;IFERROR(INDEX(Settings!$C$5:$C$8,MATCH(G63,Settings!$A$5:$A$8,0)),1E+099)),"Triage Delay","Detected - SLA Breach"))))))</f>
        <v/>
      </c>
      <c r="W63" s="25" t="str">
        <f aca="false">IF(G63="","",IF(L63&lt;&gt;"",1,0))</f>
        <v/>
      </c>
      <c r="X63" s="32"/>
      <c r="Y63" s="32"/>
      <c r="Z63" s="32"/>
      <c r="AA63" s="24"/>
      <c r="AB63" s="24"/>
      <c r="AC63" s="33" t="str">
        <f aca="false">IF(AND(G63&lt;&gt;"",L63&lt;&gt;"",X63&lt;&gt;""),(X63-L63)*1440,"")</f>
        <v/>
      </c>
      <c r="AD63" s="33" t="str">
        <f aca="false">IF(AND(G63&lt;&gt;"",X63&lt;&gt;"",Y63&lt;&gt;""),(Y63-X63)*1440,"")</f>
        <v/>
      </c>
      <c r="AE63" s="33" t="str">
        <f aca="false">IF(AND(G63&lt;&gt;"",Y63&lt;&gt;"",Z63&lt;&gt;""),(Z63-Y63)*1440,"")</f>
        <v/>
      </c>
      <c r="AF63" s="33" t="str">
        <f aca="false">IF(AND(G63&lt;&gt;"",L63&lt;&gt;"",Z63&lt;&gt;""),(Z63-L63)*1440,"")</f>
        <v/>
      </c>
      <c r="AG63" s="33" t="str">
        <f aca="false">IF(G63="","",IFERROR(INDEX(Settings!$D$5:$D$8,MATCH(G63,Settings!$A$5:$A$8,0)),""))</f>
        <v/>
      </c>
      <c r="AH63" s="25" t="str">
        <f aca="false">IF(G63="","",IF(AF63="","No",IF(AF63&lt;=AG63,"Yes","No")))</f>
        <v/>
      </c>
      <c r="AI63" s="25" t="str">
        <f aca="false">IF(G63="","",IF(L63="","N/A - Not Detected",IF(AND(X63="",Y63="",Z63=""),"No Containment Action",IF(Z63="",IF(Y63&lt;&gt;"","C2 Persisted","Host Isolation Gap"),IF(AF63&lt;=AG63,"Contained - Within SLA","Contained - SLA Breach")))))</f>
        <v/>
      </c>
      <c r="AJ63" s="25" t="str">
        <f aca="false">IF(G63="","",IF(Z63&lt;&gt;"",1,0))</f>
        <v/>
      </c>
      <c r="AK63" s="34"/>
      <c r="AL63" s="34"/>
      <c r="AM63" s="35"/>
      <c r="AN63" s="34"/>
      <c r="AO63" s="34"/>
      <c r="AP63" s="35"/>
      <c r="AQ63" s="34"/>
      <c r="AR63" s="34"/>
      <c r="AS63" s="34"/>
      <c r="AT63" s="35"/>
      <c r="AU63" s="35"/>
    </row>
    <row r="64" customFormat="false" ht="15" hidden="false" customHeight="false" outlineLevel="0" collapsed="false">
      <c r="A64" s="24"/>
      <c r="B64" s="24"/>
      <c r="C64" s="24"/>
      <c r="D64" s="24"/>
      <c r="E64" s="24"/>
      <c r="F64" s="24"/>
      <c r="G64" s="24"/>
      <c r="H64" s="24"/>
      <c r="I64" s="32"/>
      <c r="J64" s="32"/>
      <c r="K64" s="32"/>
      <c r="L64" s="32"/>
      <c r="M64" s="24"/>
      <c r="N64" s="24"/>
      <c r="O64" s="24"/>
      <c r="P64" s="33" t="str">
        <f aca="false">IF(AND(G64&lt;&gt;"",I64&lt;&gt;"",J64&lt;&gt;""),(J64-I64)*1440,"")</f>
        <v/>
      </c>
      <c r="Q64" s="33" t="str">
        <f aca="false">IF(AND(G64&lt;&gt;"",J64&lt;&gt;"",K64&lt;&gt;""),(K64-J64)*1440,"")</f>
        <v/>
      </c>
      <c r="R64" s="33" t="str">
        <f aca="false">IF(AND(G64&lt;&gt;"",K64&lt;&gt;"",L64&lt;&gt;""),(L64-K64)*1440,"")</f>
        <v/>
      </c>
      <c r="S64" s="33" t="str">
        <f aca="false">IF(AND(G64&lt;&gt;"",I64&lt;&gt;"",L64&lt;&gt;""),(L64-I64)*1440,"")</f>
        <v/>
      </c>
      <c r="T64" s="33" t="str">
        <f aca="false">IF(G64="","",IFERROR(INDEX(Settings!$B$5:$B$8,MATCH(G64,Settings!$A$5:$A$8,0)),""))</f>
        <v/>
      </c>
      <c r="U64" s="25" t="str">
        <f aca="false">IF(G64="","",IF(S64="","No",IF(S64&lt;=T64,"Yes","No")))</f>
        <v/>
      </c>
      <c r="V64" s="25" t="str">
        <f aca="false">IF(G64="","",IF(AND(J64="",K64="",L64=""),"Telemetry Blind Spot",IF(AND(K64="",L64=""),"Missed Alert",IF(L64="","Triage Delay",IF(S64&lt;=T64,"Detected - Within SLA",IF(AND(R64&lt;&gt;"",R64&gt;IFERROR(INDEX(Settings!$C$5:$C$8,MATCH(G64,Settings!$A$5:$A$8,0)),1E+099)),"Triage Delay","Detected - SLA Breach"))))))</f>
        <v/>
      </c>
      <c r="W64" s="25" t="str">
        <f aca="false">IF(G64="","",IF(L64&lt;&gt;"",1,0))</f>
        <v/>
      </c>
      <c r="X64" s="32"/>
      <c r="Y64" s="32"/>
      <c r="Z64" s="32"/>
      <c r="AA64" s="24"/>
      <c r="AB64" s="24"/>
      <c r="AC64" s="33" t="str">
        <f aca="false">IF(AND(G64&lt;&gt;"",L64&lt;&gt;"",X64&lt;&gt;""),(X64-L64)*1440,"")</f>
        <v/>
      </c>
      <c r="AD64" s="33" t="str">
        <f aca="false">IF(AND(G64&lt;&gt;"",X64&lt;&gt;"",Y64&lt;&gt;""),(Y64-X64)*1440,"")</f>
        <v/>
      </c>
      <c r="AE64" s="33" t="str">
        <f aca="false">IF(AND(G64&lt;&gt;"",Y64&lt;&gt;"",Z64&lt;&gt;""),(Z64-Y64)*1440,"")</f>
        <v/>
      </c>
      <c r="AF64" s="33" t="str">
        <f aca="false">IF(AND(G64&lt;&gt;"",L64&lt;&gt;"",Z64&lt;&gt;""),(Z64-L64)*1440,"")</f>
        <v/>
      </c>
      <c r="AG64" s="33" t="str">
        <f aca="false">IF(G64="","",IFERROR(INDEX(Settings!$D$5:$D$8,MATCH(G64,Settings!$A$5:$A$8,0)),""))</f>
        <v/>
      </c>
      <c r="AH64" s="25" t="str">
        <f aca="false">IF(G64="","",IF(AF64="","No",IF(AF64&lt;=AG64,"Yes","No")))</f>
        <v/>
      </c>
      <c r="AI64" s="25" t="str">
        <f aca="false">IF(G64="","",IF(L64="","N/A - Not Detected",IF(AND(X64="",Y64="",Z64=""),"No Containment Action",IF(Z64="",IF(Y64&lt;&gt;"","C2 Persisted","Host Isolation Gap"),IF(AF64&lt;=AG64,"Contained - Within SLA","Contained - SLA Breach")))))</f>
        <v/>
      </c>
      <c r="AJ64" s="25" t="str">
        <f aca="false">IF(G64="","",IF(Z64&lt;&gt;"",1,0))</f>
        <v/>
      </c>
      <c r="AK64" s="34"/>
      <c r="AL64" s="34"/>
      <c r="AM64" s="35"/>
      <c r="AN64" s="34"/>
      <c r="AO64" s="34"/>
      <c r="AP64" s="35"/>
      <c r="AQ64" s="34"/>
      <c r="AR64" s="34"/>
      <c r="AS64" s="34"/>
      <c r="AT64" s="35"/>
      <c r="AU64" s="35"/>
    </row>
    <row r="65" customFormat="false" ht="15" hidden="false" customHeight="false" outlineLevel="0" collapsed="false">
      <c r="A65" s="24"/>
      <c r="B65" s="24"/>
      <c r="C65" s="24"/>
      <c r="D65" s="24"/>
      <c r="E65" s="24"/>
      <c r="F65" s="24"/>
      <c r="G65" s="24"/>
      <c r="H65" s="24"/>
      <c r="I65" s="32"/>
      <c r="J65" s="32"/>
      <c r="K65" s="32"/>
      <c r="L65" s="32"/>
      <c r="M65" s="24"/>
      <c r="N65" s="24"/>
      <c r="O65" s="24"/>
      <c r="P65" s="33" t="str">
        <f aca="false">IF(AND(G65&lt;&gt;"",I65&lt;&gt;"",J65&lt;&gt;""),(J65-I65)*1440,"")</f>
        <v/>
      </c>
      <c r="Q65" s="33" t="str">
        <f aca="false">IF(AND(G65&lt;&gt;"",J65&lt;&gt;"",K65&lt;&gt;""),(K65-J65)*1440,"")</f>
        <v/>
      </c>
      <c r="R65" s="33" t="str">
        <f aca="false">IF(AND(G65&lt;&gt;"",K65&lt;&gt;"",L65&lt;&gt;""),(L65-K65)*1440,"")</f>
        <v/>
      </c>
      <c r="S65" s="33" t="str">
        <f aca="false">IF(AND(G65&lt;&gt;"",I65&lt;&gt;"",L65&lt;&gt;""),(L65-I65)*1440,"")</f>
        <v/>
      </c>
      <c r="T65" s="33" t="str">
        <f aca="false">IF(G65="","",IFERROR(INDEX(Settings!$B$5:$B$8,MATCH(G65,Settings!$A$5:$A$8,0)),""))</f>
        <v/>
      </c>
      <c r="U65" s="25" t="str">
        <f aca="false">IF(G65="","",IF(S65="","No",IF(S65&lt;=T65,"Yes","No")))</f>
        <v/>
      </c>
      <c r="V65" s="25" t="str">
        <f aca="false">IF(G65="","",IF(AND(J65="",K65="",L65=""),"Telemetry Blind Spot",IF(AND(K65="",L65=""),"Missed Alert",IF(L65="","Triage Delay",IF(S65&lt;=T65,"Detected - Within SLA",IF(AND(R65&lt;&gt;"",R65&gt;IFERROR(INDEX(Settings!$C$5:$C$8,MATCH(G65,Settings!$A$5:$A$8,0)),1E+099)),"Triage Delay","Detected - SLA Breach"))))))</f>
        <v/>
      </c>
      <c r="W65" s="25" t="str">
        <f aca="false">IF(G65="","",IF(L65&lt;&gt;"",1,0))</f>
        <v/>
      </c>
      <c r="X65" s="32"/>
      <c r="Y65" s="32"/>
      <c r="Z65" s="32"/>
      <c r="AA65" s="24"/>
      <c r="AB65" s="24"/>
      <c r="AC65" s="33" t="str">
        <f aca="false">IF(AND(G65&lt;&gt;"",L65&lt;&gt;"",X65&lt;&gt;""),(X65-L65)*1440,"")</f>
        <v/>
      </c>
      <c r="AD65" s="33" t="str">
        <f aca="false">IF(AND(G65&lt;&gt;"",X65&lt;&gt;"",Y65&lt;&gt;""),(Y65-X65)*1440,"")</f>
        <v/>
      </c>
      <c r="AE65" s="33" t="str">
        <f aca="false">IF(AND(G65&lt;&gt;"",Y65&lt;&gt;"",Z65&lt;&gt;""),(Z65-Y65)*1440,"")</f>
        <v/>
      </c>
      <c r="AF65" s="33" t="str">
        <f aca="false">IF(AND(G65&lt;&gt;"",L65&lt;&gt;"",Z65&lt;&gt;""),(Z65-L65)*1440,"")</f>
        <v/>
      </c>
      <c r="AG65" s="33" t="str">
        <f aca="false">IF(G65="","",IFERROR(INDEX(Settings!$D$5:$D$8,MATCH(G65,Settings!$A$5:$A$8,0)),""))</f>
        <v/>
      </c>
      <c r="AH65" s="25" t="str">
        <f aca="false">IF(G65="","",IF(AF65="","No",IF(AF65&lt;=AG65,"Yes","No")))</f>
        <v/>
      </c>
      <c r="AI65" s="25" t="str">
        <f aca="false">IF(G65="","",IF(L65="","N/A - Not Detected",IF(AND(X65="",Y65="",Z65=""),"No Containment Action",IF(Z65="",IF(Y65&lt;&gt;"","C2 Persisted","Host Isolation Gap"),IF(AF65&lt;=AG65,"Contained - Within SLA","Contained - SLA Breach")))))</f>
        <v/>
      </c>
      <c r="AJ65" s="25" t="str">
        <f aca="false">IF(G65="","",IF(Z65&lt;&gt;"",1,0))</f>
        <v/>
      </c>
      <c r="AK65" s="34"/>
      <c r="AL65" s="34"/>
      <c r="AM65" s="35"/>
      <c r="AN65" s="34"/>
      <c r="AO65" s="34"/>
      <c r="AP65" s="35"/>
      <c r="AQ65" s="34"/>
      <c r="AR65" s="34"/>
      <c r="AS65" s="34"/>
      <c r="AT65" s="35"/>
      <c r="AU65" s="35"/>
    </row>
    <row r="66" customFormat="false" ht="15" hidden="false" customHeight="false" outlineLevel="0" collapsed="false">
      <c r="A66" s="24"/>
      <c r="B66" s="24"/>
      <c r="C66" s="24"/>
      <c r="D66" s="24"/>
      <c r="E66" s="24"/>
      <c r="F66" s="24"/>
      <c r="G66" s="24"/>
      <c r="H66" s="24"/>
      <c r="I66" s="32"/>
      <c r="J66" s="32"/>
      <c r="K66" s="32"/>
      <c r="L66" s="32"/>
      <c r="M66" s="24"/>
      <c r="N66" s="24"/>
      <c r="O66" s="24"/>
      <c r="P66" s="33" t="str">
        <f aca="false">IF(AND(G66&lt;&gt;"",I66&lt;&gt;"",J66&lt;&gt;""),(J66-I66)*1440,"")</f>
        <v/>
      </c>
      <c r="Q66" s="33" t="str">
        <f aca="false">IF(AND(G66&lt;&gt;"",J66&lt;&gt;"",K66&lt;&gt;""),(K66-J66)*1440,"")</f>
        <v/>
      </c>
      <c r="R66" s="33" t="str">
        <f aca="false">IF(AND(G66&lt;&gt;"",K66&lt;&gt;"",L66&lt;&gt;""),(L66-K66)*1440,"")</f>
        <v/>
      </c>
      <c r="S66" s="33" t="str">
        <f aca="false">IF(AND(G66&lt;&gt;"",I66&lt;&gt;"",L66&lt;&gt;""),(L66-I66)*1440,"")</f>
        <v/>
      </c>
      <c r="T66" s="33" t="str">
        <f aca="false">IF(G66="","",IFERROR(INDEX(Settings!$B$5:$B$8,MATCH(G66,Settings!$A$5:$A$8,0)),""))</f>
        <v/>
      </c>
      <c r="U66" s="25" t="str">
        <f aca="false">IF(G66="","",IF(S66="","No",IF(S66&lt;=T66,"Yes","No")))</f>
        <v/>
      </c>
      <c r="V66" s="25" t="str">
        <f aca="false">IF(G66="","",IF(AND(J66="",K66="",L66=""),"Telemetry Blind Spot",IF(AND(K66="",L66=""),"Missed Alert",IF(L66="","Triage Delay",IF(S66&lt;=T66,"Detected - Within SLA",IF(AND(R66&lt;&gt;"",R66&gt;IFERROR(INDEX(Settings!$C$5:$C$8,MATCH(G66,Settings!$A$5:$A$8,0)),1E+099)),"Triage Delay","Detected - SLA Breach"))))))</f>
        <v/>
      </c>
      <c r="W66" s="25" t="str">
        <f aca="false">IF(G66="","",IF(L66&lt;&gt;"",1,0))</f>
        <v/>
      </c>
      <c r="X66" s="32"/>
      <c r="Y66" s="32"/>
      <c r="Z66" s="32"/>
      <c r="AA66" s="24"/>
      <c r="AB66" s="24"/>
      <c r="AC66" s="33" t="str">
        <f aca="false">IF(AND(G66&lt;&gt;"",L66&lt;&gt;"",X66&lt;&gt;""),(X66-L66)*1440,"")</f>
        <v/>
      </c>
      <c r="AD66" s="33" t="str">
        <f aca="false">IF(AND(G66&lt;&gt;"",X66&lt;&gt;"",Y66&lt;&gt;""),(Y66-X66)*1440,"")</f>
        <v/>
      </c>
      <c r="AE66" s="33" t="str">
        <f aca="false">IF(AND(G66&lt;&gt;"",Y66&lt;&gt;"",Z66&lt;&gt;""),(Z66-Y66)*1440,"")</f>
        <v/>
      </c>
      <c r="AF66" s="33" t="str">
        <f aca="false">IF(AND(G66&lt;&gt;"",L66&lt;&gt;"",Z66&lt;&gt;""),(Z66-L66)*1440,"")</f>
        <v/>
      </c>
      <c r="AG66" s="33" t="str">
        <f aca="false">IF(G66="","",IFERROR(INDEX(Settings!$D$5:$D$8,MATCH(G66,Settings!$A$5:$A$8,0)),""))</f>
        <v/>
      </c>
      <c r="AH66" s="25" t="str">
        <f aca="false">IF(G66="","",IF(AF66="","No",IF(AF66&lt;=AG66,"Yes","No")))</f>
        <v/>
      </c>
      <c r="AI66" s="25" t="str">
        <f aca="false">IF(G66="","",IF(L66="","N/A - Not Detected",IF(AND(X66="",Y66="",Z66=""),"No Containment Action",IF(Z66="",IF(Y66&lt;&gt;"","C2 Persisted","Host Isolation Gap"),IF(AF66&lt;=AG66,"Contained - Within SLA","Contained - SLA Breach")))))</f>
        <v/>
      </c>
      <c r="AJ66" s="25" t="str">
        <f aca="false">IF(G66="","",IF(Z66&lt;&gt;"",1,0))</f>
        <v/>
      </c>
      <c r="AK66" s="34"/>
      <c r="AL66" s="34"/>
      <c r="AM66" s="35"/>
      <c r="AN66" s="34"/>
      <c r="AO66" s="34"/>
      <c r="AP66" s="35"/>
      <c r="AQ66" s="34"/>
      <c r="AR66" s="34"/>
      <c r="AS66" s="34"/>
      <c r="AT66" s="35"/>
      <c r="AU66" s="35"/>
    </row>
    <row r="67" customFormat="false" ht="15" hidden="false" customHeight="false" outlineLevel="0" collapsed="false">
      <c r="A67" s="24"/>
      <c r="B67" s="24"/>
      <c r="C67" s="24"/>
      <c r="D67" s="24"/>
      <c r="E67" s="24"/>
      <c r="F67" s="24"/>
      <c r="G67" s="24"/>
      <c r="H67" s="24"/>
      <c r="I67" s="32"/>
      <c r="J67" s="32"/>
      <c r="K67" s="32"/>
      <c r="L67" s="32"/>
      <c r="M67" s="24"/>
      <c r="N67" s="24"/>
      <c r="O67" s="24"/>
      <c r="P67" s="33" t="str">
        <f aca="false">IF(AND(G67&lt;&gt;"",I67&lt;&gt;"",J67&lt;&gt;""),(J67-I67)*1440,"")</f>
        <v/>
      </c>
      <c r="Q67" s="33" t="str">
        <f aca="false">IF(AND(G67&lt;&gt;"",J67&lt;&gt;"",K67&lt;&gt;""),(K67-J67)*1440,"")</f>
        <v/>
      </c>
      <c r="R67" s="33" t="str">
        <f aca="false">IF(AND(G67&lt;&gt;"",K67&lt;&gt;"",L67&lt;&gt;""),(L67-K67)*1440,"")</f>
        <v/>
      </c>
      <c r="S67" s="33" t="str">
        <f aca="false">IF(AND(G67&lt;&gt;"",I67&lt;&gt;"",L67&lt;&gt;""),(L67-I67)*1440,"")</f>
        <v/>
      </c>
      <c r="T67" s="33" t="str">
        <f aca="false">IF(G67="","",IFERROR(INDEX(Settings!$B$5:$B$8,MATCH(G67,Settings!$A$5:$A$8,0)),""))</f>
        <v/>
      </c>
      <c r="U67" s="25" t="str">
        <f aca="false">IF(G67="","",IF(S67="","No",IF(S67&lt;=T67,"Yes","No")))</f>
        <v/>
      </c>
      <c r="V67" s="25" t="str">
        <f aca="false">IF(G67="","",IF(AND(J67="",K67="",L67=""),"Telemetry Blind Spot",IF(AND(K67="",L67=""),"Missed Alert",IF(L67="","Triage Delay",IF(S67&lt;=T67,"Detected - Within SLA",IF(AND(R67&lt;&gt;"",R67&gt;IFERROR(INDEX(Settings!$C$5:$C$8,MATCH(G67,Settings!$A$5:$A$8,0)),1E+099)),"Triage Delay","Detected - SLA Breach"))))))</f>
        <v/>
      </c>
      <c r="W67" s="25" t="str">
        <f aca="false">IF(G67="","",IF(L67&lt;&gt;"",1,0))</f>
        <v/>
      </c>
      <c r="X67" s="32"/>
      <c r="Y67" s="32"/>
      <c r="Z67" s="32"/>
      <c r="AA67" s="24"/>
      <c r="AB67" s="24"/>
      <c r="AC67" s="33" t="str">
        <f aca="false">IF(AND(G67&lt;&gt;"",L67&lt;&gt;"",X67&lt;&gt;""),(X67-L67)*1440,"")</f>
        <v/>
      </c>
      <c r="AD67" s="33" t="str">
        <f aca="false">IF(AND(G67&lt;&gt;"",X67&lt;&gt;"",Y67&lt;&gt;""),(Y67-X67)*1440,"")</f>
        <v/>
      </c>
      <c r="AE67" s="33" t="str">
        <f aca="false">IF(AND(G67&lt;&gt;"",Y67&lt;&gt;"",Z67&lt;&gt;""),(Z67-Y67)*1440,"")</f>
        <v/>
      </c>
      <c r="AF67" s="33" t="str">
        <f aca="false">IF(AND(G67&lt;&gt;"",L67&lt;&gt;"",Z67&lt;&gt;""),(Z67-L67)*1440,"")</f>
        <v/>
      </c>
      <c r="AG67" s="33" t="str">
        <f aca="false">IF(G67="","",IFERROR(INDEX(Settings!$D$5:$D$8,MATCH(G67,Settings!$A$5:$A$8,0)),""))</f>
        <v/>
      </c>
      <c r="AH67" s="25" t="str">
        <f aca="false">IF(G67="","",IF(AF67="","No",IF(AF67&lt;=AG67,"Yes","No")))</f>
        <v/>
      </c>
      <c r="AI67" s="25" t="str">
        <f aca="false">IF(G67="","",IF(L67="","N/A - Not Detected",IF(AND(X67="",Y67="",Z67=""),"No Containment Action",IF(Z67="",IF(Y67&lt;&gt;"","C2 Persisted","Host Isolation Gap"),IF(AF67&lt;=AG67,"Contained - Within SLA","Contained - SLA Breach")))))</f>
        <v/>
      </c>
      <c r="AJ67" s="25" t="str">
        <f aca="false">IF(G67="","",IF(Z67&lt;&gt;"",1,0))</f>
        <v/>
      </c>
      <c r="AK67" s="34"/>
      <c r="AL67" s="34"/>
      <c r="AM67" s="35"/>
      <c r="AN67" s="34"/>
      <c r="AO67" s="34"/>
      <c r="AP67" s="35"/>
      <c r="AQ67" s="34"/>
      <c r="AR67" s="34"/>
      <c r="AS67" s="34"/>
      <c r="AT67" s="35"/>
      <c r="AU67" s="35"/>
    </row>
    <row r="68" customFormat="false" ht="15" hidden="false" customHeight="false" outlineLevel="0" collapsed="false">
      <c r="A68" s="24"/>
      <c r="B68" s="24"/>
      <c r="C68" s="24"/>
      <c r="D68" s="24"/>
      <c r="E68" s="24"/>
      <c r="F68" s="24"/>
      <c r="G68" s="24"/>
      <c r="H68" s="24"/>
      <c r="I68" s="32"/>
      <c r="J68" s="32"/>
      <c r="K68" s="32"/>
      <c r="L68" s="32"/>
      <c r="M68" s="24"/>
      <c r="N68" s="24"/>
      <c r="O68" s="24"/>
      <c r="P68" s="33" t="str">
        <f aca="false">IF(AND(G68&lt;&gt;"",I68&lt;&gt;"",J68&lt;&gt;""),(J68-I68)*1440,"")</f>
        <v/>
      </c>
      <c r="Q68" s="33" t="str">
        <f aca="false">IF(AND(G68&lt;&gt;"",J68&lt;&gt;"",K68&lt;&gt;""),(K68-J68)*1440,"")</f>
        <v/>
      </c>
      <c r="R68" s="33" t="str">
        <f aca="false">IF(AND(G68&lt;&gt;"",K68&lt;&gt;"",L68&lt;&gt;""),(L68-K68)*1440,"")</f>
        <v/>
      </c>
      <c r="S68" s="33" t="str">
        <f aca="false">IF(AND(G68&lt;&gt;"",I68&lt;&gt;"",L68&lt;&gt;""),(L68-I68)*1440,"")</f>
        <v/>
      </c>
      <c r="T68" s="33" t="str">
        <f aca="false">IF(G68="","",IFERROR(INDEX(Settings!$B$5:$B$8,MATCH(G68,Settings!$A$5:$A$8,0)),""))</f>
        <v/>
      </c>
      <c r="U68" s="25" t="str">
        <f aca="false">IF(G68="","",IF(S68="","No",IF(S68&lt;=T68,"Yes","No")))</f>
        <v/>
      </c>
      <c r="V68" s="25" t="str">
        <f aca="false">IF(G68="","",IF(AND(J68="",K68="",L68=""),"Telemetry Blind Spot",IF(AND(K68="",L68=""),"Missed Alert",IF(L68="","Triage Delay",IF(S68&lt;=T68,"Detected - Within SLA",IF(AND(R68&lt;&gt;"",R68&gt;IFERROR(INDEX(Settings!$C$5:$C$8,MATCH(G68,Settings!$A$5:$A$8,0)),1E+099)),"Triage Delay","Detected - SLA Breach"))))))</f>
        <v/>
      </c>
      <c r="W68" s="25" t="str">
        <f aca="false">IF(G68="","",IF(L68&lt;&gt;"",1,0))</f>
        <v/>
      </c>
      <c r="X68" s="32"/>
      <c r="Y68" s="32"/>
      <c r="Z68" s="32"/>
      <c r="AA68" s="24"/>
      <c r="AB68" s="24"/>
      <c r="AC68" s="33" t="str">
        <f aca="false">IF(AND(G68&lt;&gt;"",L68&lt;&gt;"",X68&lt;&gt;""),(X68-L68)*1440,"")</f>
        <v/>
      </c>
      <c r="AD68" s="33" t="str">
        <f aca="false">IF(AND(G68&lt;&gt;"",X68&lt;&gt;"",Y68&lt;&gt;""),(Y68-X68)*1440,"")</f>
        <v/>
      </c>
      <c r="AE68" s="33" t="str">
        <f aca="false">IF(AND(G68&lt;&gt;"",Y68&lt;&gt;"",Z68&lt;&gt;""),(Z68-Y68)*1440,"")</f>
        <v/>
      </c>
      <c r="AF68" s="33" t="str">
        <f aca="false">IF(AND(G68&lt;&gt;"",L68&lt;&gt;"",Z68&lt;&gt;""),(Z68-L68)*1440,"")</f>
        <v/>
      </c>
      <c r="AG68" s="33" t="str">
        <f aca="false">IF(G68="","",IFERROR(INDEX(Settings!$D$5:$D$8,MATCH(G68,Settings!$A$5:$A$8,0)),""))</f>
        <v/>
      </c>
      <c r="AH68" s="25" t="str">
        <f aca="false">IF(G68="","",IF(AF68="","No",IF(AF68&lt;=AG68,"Yes","No")))</f>
        <v/>
      </c>
      <c r="AI68" s="25" t="str">
        <f aca="false">IF(G68="","",IF(L68="","N/A - Not Detected",IF(AND(X68="",Y68="",Z68=""),"No Containment Action",IF(Z68="",IF(Y68&lt;&gt;"","C2 Persisted","Host Isolation Gap"),IF(AF68&lt;=AG68,"Contained - Within SLA","Contained - SLA Breach")))))</f>
        <v/>
      </c>
      <c r="AJ68" s="25" t="str">
        <f aca="false">IF(G68="","",IF(Z68&lt;&gt;"",1,0))</f>
        <v/>
      </c>
      <c r="AK68" s="34"/>
      <c r="AL68" s="34"/>
      <c r="AM68" s="35"/>
      <c r="AN68" s="34"/>
      <c r="AO68" s="34"/>
      <c r="AP68" s="35"/>
      <c r="AQ68" s="34"/>
      <c r="AR68" s="34"/>
      <c r="AS68" s="34"/>
      <c r="AT68" s="35"/>
      <c r="AU68" s="35"/>
    </row>
    <row r="69" customFormat="false" ht="15" hidden="false" customHeight="false" outlineLevel="0" collapsed="false">
      <c r="A69" s="24"/>
      <c r="B69" s="24"/>
      <c r="C69" s="24"/>
      <c r="D69" s="24"/>
      <c r="E69" s="24"/>
      <c r="F69" s="24"/>
      <c r="G69" s="24"/>
      <c r="H69" s="24"/>
      <c r="I69" s="32"/>
      <c r="J69" s="32"/>
      <c r="K69" s="32"/>
      <c r="L69" s="32"/>
      <c r="M69" s="24"/>
      <c r="N69" s="24"/>
      <c r="O69" s="24"/>
      <c r="P69" s="33" t="str">
        <f aca="false">IF(AND(G69&lt;&gt;"",I69&lt;&gt;"",J69&lt;&gt;""),(J69-I69)*1440,"")</f>
        <v/>
      </c>
      <c r="Q69" s="33" t="str">
        <f aca="false">IF(AND(G69&lt;&gt;"",J69&lt;&gt;"",K69&lt;&gt;""),(K69-J69)*1440,"")</f>
        <v/>
      </c>
      <c r="R69" s="33" t="str">
        <f aca="false">IF(AND(G69&lt;&gt;"",K69&lt;&gt;"",L69&lt;&gt;""),(L69-K69)*1440,"")</f>
        <v/>
      </c>
      <c r="S69" s="33" t="str">
        <f aca="false">IF(AND(G69&lt;&gt;"",I69&lt;&gt;"",L69&lt;&gt;""),(L69-I69)*1440,"")</f>
        <v/>
      </c>
      <c r="T69" s="33" t="str">
        <f aca="false">IF(G69="","",IFERROR(INDEX(Settings!$B$5:$B$8,MATCH(G69,Settings!$A$5:$A$8,0)),""))</f>
        <v/>
      </c>
      <c r="U69" s="25" t="str">
        <f aca="false">IF(G69="","",IF(S69="","No",IF(S69&lt;=T69,"Yes","No")))</f>
        <v/>
      </c>
      <c r="V69" s="25" t="str">
        <f aca="false">IF(G69="","",IF(AND(J69="",K69="",L69=""),"Telemetry Blind Spot",IF(AND(K69="",L69=""),"Missed Alert",IF(L69="","Triage Delay",IF(S69&lt;=T69,"Detected - Within SLA",IF(AND(R69&lt;&gt;"",R69&gt;IFERROR(INDEX(Settings!$C$5:$C$8,MATCH(G69,Settings!$A$5:$A$8,0)),1E+099)),"Triage Delay","Detected - SLA Breach"))))))</f>
        <v/>
      </c>
      <c r="W69" s="25" t="str">
        <f aca="false">IF(G69="","",IF(L69&lt;&gt;"",1,0))</f>
        <v/>
      </c>
      <c r="X69" s="32"/>
      <c r="Y69" s="32"/>
      <c r="Z69" s="32"/>
      <c r="AA69" s="24"/>
      <c r="AB69" s="24"/>
      <c r="AC69" s="33" t="str">
        <f aca="false">IF(AND(G69&lt;&gt;"",L69&lt;&gt;"",X69&lt;&gt;""),(X69-L69)*1440,"")</f>
        <v/>
      </c>
      <c r="AD69" s="33" t="str">
        <f aca="false">IF(AND(G69&lt;&gt;"",X69&lt;&gt;"",Y69&lt;&gt;""),(Y69-X69)*1440,"")</f>
        <v/>
      </c>
      <c r="AE69" s="33" t="str">
        <f aca="false">IF(AND(G69&lt;&gt;"",Y69&lt;&gt;"",Z69&lt;&gt;""),(Z69-Y69)*1440,"")</f>
        <v/>
      </c>
      <c r="AF69" s="33" t="str">
        <f aca="false">IF(AND(G69&lt;&gt;"",L69&lt;&gt;"",Z69&lt;&gt;""),(Z69-L69)*1440,"")</f>
        <v/>
      </c>
      <c r="AG69" s="33" t="str">
        <f aca="false">IF(G69="","",IFERROR(INDEX(Settings!$D$5:$D$8,MATCH(G69,Settings!$A$5:$A$8,0)),""))</f>
        <v/>
      </c>
      <c r="AH69" s="25" t="str">
        <f aca="false">IF(G69="","",IF(AF69="","No",IF(AF69&lt;=AG69,"Yes","No")))</f>
        <v/>
      </c>
      <c r="AI69" s="25" t="str">
        <f aca="false">IF(G69="","",IF(L69="","N/A - Not Detected",IF(AND(X69="",Y69="",Z69=""),"No Containment Action",IF(Z69="",IF(Y69&lt;&gt;"","C2 Persisted","Host Isolation Gap"),IF(AF69&lt;=AG69,"Contained - Within SLA","Contained - SLA Breach")))))</f>
        <v/>
      </c>
      <c r="AJ69" s="25" t="str">
        <f aca="false">IF(G69="","",IF(Z69&lt;&gt;"",1,0))</f>
        <v/>
      </c>
      <c r="AK69" s="34"/>
      <c r="AL69" s="34"/>
      <c r="AM69" s="35"/>
      <c r="AN69" s="34"/>
      <c r="AO69" s="34"/>
      <c r="AP69" s="35"/>
      <c r="AQ69" s="34"/>
      <c r="AR69" s="34"/>
      <c r="AS69" s="34"/>
      <c r="AT69" s="35"/>
      <c r="AU69" s="35"/>
    </row>
    <row r="70" customFormat="false" ht="15" hidden="false" customHeight="false" outlineLevel="0" collapsed="false">
      <c r="A70" s="24"/>
      <c r="B70" s="24"/>
      <c r="C70" s="24"/>
      <c r="D70" s="24"/>
      <c r="E70" s="24"/>
      <c r="F70" s="24"/>
      <c r="G70" s="24"/>
      <c r="H70" s="24"/>
      <c r="I70" s="32"/>
      <c r="J70" s="32"/>
      <c r="K70" s="32"/>
      <c r="L70" s="32"/>
      <c r="M70" s="24"/>
      <c r="N70" s="24"/>
      <c r="O70" s="24"/>
      <c r="P70" s="33" t="str">
        <f aca="false">IF(AND(G70&lt;&gt;"",I70&lt;&gt;"",J70&lt;&gt;""),(J70-I70)*1440,"")</f>
        <v/>
      </c>
      <c r="Q70" s="33" t="str">
        <f aca="false">IF(AND(G70&lt;&gt;"",J70&lt;&gt;"",K70&lt;&gt;""),(K70-J70)*1440,"")</f>
        <v/>
      </c>
      <c r="R70" s="33" t="str">
        <f aca="false">IF(AND(G70&lt;&gt;"",K70&lt;&gt;"",L70&lt;&gt;""),(L70-K70)*1440,"")</f>
        <v/>
      </c>
      <c r="S70" s="33" t="str">
        <f aca="false">IF(AND(G70&lt;&gt;"",I70&lt;&gt;"",L70&lt;&gt;""),(L70-I70)*1440,"")</f>
        <v/>
      </c>
      <c r="T70" s="33" t="str">
        <f aca="false">IF(G70="","",IFERROR(INDEX(Settings!$B$5:$B$8,MATCH(G70,Settings!$A$5:$A$8,0)),""))</f>
        <v/>
      </c>
      <c r="U70" s="25" t="str">
        <f aca="false">IF(G70="","",IF(S70="","No",IF(S70&lt;=T70,"Yes","No")))</f>
        <v/>
      </c>
      <c r="V70" s="25" t="str">
        <f aca="false">IF(G70="","",IF(AND(J70="",K70="",L70=""),"Telemetry Blind Spot",IF(AND(K70="",L70=""),"Missed Alert",IF(L70="","Triage Delay",IF(S70&lt;=T70,"Detected - Within SLA",IF(AND(R70&lt;&gt;"",R70&gt;IFERROR(INDEX(Settings!$C$5:$C$8,MATCH(G70,Settings!$A$5:$A$8,0)),1E+099)),"Triage Delay","Detected - SLA Breach"))))))</f>
        <v/>
      </c>
      <c r="W70" s="25" t="str">
        <f aca="false">IF(G70="","",IF(L70&lt;&gt;"",1,0))</f>
        <v/>
      </c>
      <c r="X70" s="32"/>
      <c r="Y70" s="32"/>
      <c r="Z70" s="32"/>
      <c r="AA70" s="24"/>
      <c r="AB70" s="24"/>
      <c r="AC70" s="33" t="str">
        <f aca="false">IF(AND(G70&lt;&gt;"",L70&lt;&gt;"",X70&lt;&gt;""),(X70-L70)*1440,"")</f>
        <v/>
      </c>
      <c r="AD70" s="33" t="str">
        <f aca="false">IF(AND(G70&lt;&gt;"",X70&lt;&gt;"",Y70&lt;&gt;""),(Y70-X70)*1440,"")</f>
        <v/>
      </c>
      <c r="AE70" s="33" t="str">
        <f aca="false">IF(AND(G70&lt;&gt;"",Y70&lt;&gt;"",Z70&lt;&gt;""),(Z70-Y70)*1440,"")</f>
        <v/>
      </c>
      <c r="AF70" s="33" t="str">
        <f aca="false">IF(AND(G70&lt;&gt;"",L70&lt;&gt;"",Z70&lt;&gt;""),(Z70-L70)*1440,"")</f>
        <v/>
      </c>
      <c r="AG70" s="33" t="str">
        <f aca="false">IF(G70="","",IFERROR(INDEX(Settings!$D$5:$D$8,MATCH(G70,Settings!$A$5:$A$8,0)),""))</f>
        <v/>
      </c>
      <c r="AH70" s="25" t="str">
        <f aca="false">IF(G70="","",IF(AF70="","No",IF(AF70&lt;=AG70,"Yes","No")))</f>
        <v/>
      </c>
      <c r="AI70" s="25" t="str">
        <f aca="false">IF(G70="","",IF(L70="","N/A - Not Detected",IF(AND(X70="",Y70="",Z70=""),"No Containment Action",IF(Z70="",IF(Y70&lt;&gt;"","C2 Persisted","Host Isolation Gap"),IF(AF70&lt;=AG70,"Contained - Within SLA","Contained - SLA Breach")))))</f>
        <v/>
      </c>
      <c r="AJ70" s="25" t="str">
        <f aca="false">IF(G70="","",IF(Z70&lt;&gt;"",1,0))</f>
        <v/>
      </c>
      <c r="AK70" s="34"/>
      <c r="AL70" s="34"/>
      <c r="AM70" s="35"/>
      <c r="AN70" s="34"/>
      <c r="AO70" s="34"/>
      <c r="AP70" s="35"/>
      <c r="AQ70" s="34"/>
      <c r="AR70" s="34"/>
      <c r="AS70" s="34"/>
      <c r="AT70" s="35"/>
      <c r="AU70" s="35"/>
    </row>
    <row r="71" customFormat="false" ht="15" hidden="false" customHeight="false" outlineLevel="0" collapsed="false">
      <c r="A71" s="24"/>
      <c r="B71" s="24"/>
      <c r="C71" s="24"/>
      <c r="D71" s="24"/>
      <c r="E71" s="24"/>
      <c r="F71" s="24"/>
      <c r="G71" s="24"/>
      <c r="H71" s="24"/>
      <c r="I71" s="32"/>
      <c r="J71" s="32"/>
      <c r="K71" s="32"/>
      <c r="L71" s="32"/>
      <c r="M71" s="24"/>
      <c r="N71" s="24"/>
      <c r="O71" s="24"/>
      <c r="P71" s="33" t="str">
        <f aca="false">IF(AND(G71&lt;&gt;"",I71&lt;&gt;"",J71&lt;&gt;""),(J71-I71)*1440,"")</f>
        <v/>
      </c>
      <c r="Q71" s="33" t="str">
        <f aca="false">IF(AND(G71&lt;&gt;"",J71&lt;&gt;"",K71&lt;&gt;""),(K71-J71)*1440,"")</f>
        <v/>
      </c>
      <c r="R71" s="33" t="str">
        <f aca="false">IF(AND(G71&lt;&gt;"",K71&lt;&gt;"",L71&lt;&gt;""),(L71-K71)*1440,"")</f>
        <v/>
      </c>
      <c r="S71" s="33" t="str">
        <f aca="false">IF(AND(G71&lt;&gt;"",I71&lt;&gt;"",L71&lt;&gt;""),(L71-I71)*1440,"")</f>
        <v/>
      </c>
      <c r="T71" s="33" t="str">
        <f aca="false">IF(G71="","",IFERROR(INDEX(Settings!$B$5:$B$8,MATCH(G71,Settings!$A$5:$A$8,0)),""))</f>
        <v/>
      </c>
      <c r="U71" s="25" t="str">
        <f aca="false">IF(G71="","",IF(S71="","No",IF(S71&lt;=T71,"Yes","No")))</f>
        <v/>
      </c>
      <c r="V71" s="25" t="str">
        <f aca="false">IF(G71="","",IF(AND(J71="",K71="",L71=""),"Telemetry Blind Spot",IF(AND(K71="",L71=""),"Missed Alert",IF(L71="","Triage Delay",IF(S71&lt;=T71,"Detected - Within SLA",IF(AND(R71&lt;&gt;"",R71&gt;IFERROR(INDEX(Settings!$C$5:$C$8,MATCH(G71,Settings!$A$5:$A$8,0)),1E+099)),"Triage Delay","Detected - SLA Breach"))))))</f>
        <v/>
      </c>
      <c r="W71" s="25" t="str">
        <f aca="false">IF(G71="","",IF(L71&lt;&gt;"",1,0))</f>
        <v/>
      </c>
      <c r="X71" s="32"/>
      <c r="Y71" s="32"/>
      <c r="Z71" s="32"/>
      <c r="AA71" s="24"/>
      <c r="AB71" s="24"/>
      <c r="AC71" s="33" t="str">
        <f aca="false">IF(AND(G71&lt;&gt;"",L71&lt;&gt;"",X71&lt;&gt;""),(X71-L71)*1440,"")</f>
        <v/>
      </c>
      <c r="AD71" s="33" t="str">
        <f aca="false">IF(AND(G71&lt;&gt;"",X71&lt;&gt;"",Y71&lt;&gt;""),(Y71-X71)*1440,"")</f>
        <v/>
      </c>
      <c r="AE71" s="33" t="str">
        <f aca="false">IF(AND(G71&lt;&gt;"",Y71&lt;&gt;"",Z71&lt;&gt;""),(Z71-Y71)*1440,"")</f>
        <v/>
      </c>
      <c r="AF71" s="33" t="str">
        <f aca="false">IF(AND(G71&lt;&gt;"",L71&lt;&gt;"",Z71&lt;&gt;""),(Z71-L71)*1440,"")</f>
        <v/>
      </c>
      <c r="AG71" s="33" t="str">
        <f aca="false">IF(G71="","",IFERROR(INDEX(Settings!$D$5:$D$8,MATCH(G71,Settings!$A$5:$A$8,0)),""))</f>
        <v/>
      </c>
      <c r="AH71" s="25" t="str">
        <f aca="false">IF(G71="","",IF(AF71="","No",IF(AF71&lt;=AG71,"Yes","No")))</f>
        <v/>
      </c>
      <c r="AI71" s="25" t="str">
        <f aca="false">IF(G71="","",IF(L71="","N/A - Not Detected",IF(AND(X71="",Y71="",Z71=""),"No Containment Action",IF(Z71="",IF(Y71&lt;&gt;"","C2 Persisted","Host Isolation Gap"),IF(AF71&lt;=AG71,"Contained - Within SLA","Contained - SLA Breach")))))</f>
        <v/>
      </c>
      <c r="AJ71" s="25" t="str">
        <f aca="false">IF(G71="","",IF(Z71&lt;&gt;"",1,0))</f>
        <v/>
      </c>
      <c r="AK71" s="34"/>
      <c r="AL71" s="34"/>
      <c r="AM71" s="35"/>
      <c r="AN71" s="34"/>
      <c r="AO71" s="34"/>
      <c r="AP71" s="35"/>
      <c r="AQ71" s="34"/>
      <c r="AR71" s="34"/>
      <c r="AS71" s="34"/>
      <c r="AT71" s="35"/>
      <c r="AU71" s="35"/>
    </row>
    <row r="72" customFormat="false" ht="15" hidden="false" customHeight="false" outlineLevel="0" collapsed="false">
      <c r="A72" s="24"/>
      <c r="B72" s="24"/>
      <c r="C72" s="24"/>
      <c r="D72" s="24"/>
      <c r="E72" s="24"/>
      <c r="F72" s="24"/>
      <c r="G72" s="24"/>
      <c r="H72" s="24"/>
      <c r="I72" s="32"/>
      <c r="J72" s="32"/>
      <c r="K72" s="32"/>
      <c r="L72" s="32"/>
      <c r="M72" s="24"/>
      <c r="N72" s="24"/>
      <c r="O72" s="24"/>
      <c r="P72" s="33" t="str">
        <f aca="false">IF(AND(G72&lt;&gt;"",I72&lt;&gt;"",J72&lt;&gt;""),(J72-I72)*1440,"")</f>
        <v/>
      </c>
      <c r="Q72" s="33" t="str">
        <f aca="false">IF(AND(G72&lt;&gt;"",J72&lt;&gt;"",K72&lt;&gt;""),(K72-J72)*1440,"")</f>
        <v/>
      </c>
      <c r="R72" s="33" t="str">
        <f aca="false">IF(AND(G72&lt;&gt;"",K72&lt;&gt;"",L72&lt;&gt;""),(L72-K72)*1440,"")</f>
        <v/>
      </c>
      <c r="S72" s="33" t="str">
        <f aca="false">IF(AND(G72&lt;&gt;"",I72&lt;&gt;"",L72&lt;&gt;""),(L72-I72)*1440,"")</f>
        <v/>
      </c>
      <c r="T72" s="33" t="str">
        <f aca="false">IF(G72="","",IFERROR(INDEX(Settings!$B$5:$B$8,MATCH(G72,Settings!$A$5:$A$8,0)),""))</f>
        <v/>
      </c>
      <c r="U72" s="25" t="str">
        <f aca="false">IF(G72="","",IF(S72="","No",IF(S72&lt;=T72,"Yes","No")))</f>
        <v/>
      </c>
      <c r="V72" s="25" t="str">
        <f aca="false">IF(G72="","",IF(AND(J72="",K72="",L72=""),"Telemetry Blind Spot",IF(AND(K72="",L72=""),"Missed Alert",IF(L72="","Triage Delay",IF(S72&lt;=T72,"Detected - Within SLA",IF(AND(R72&lt;&gt;"",R72&gt;IFERROR(INDEX(Settings!$C$5:$C$8,MATCH(G72,Settings!$A$5:$A$8,0)),1E+099)),"Triage Delay","Detected - SLA Breach"))))))</f>
        <v/>
      </c>
      <c r="W72" s="25" t="str">
        <f aca="false">IF(G72="","",IF(L72&lt;&gt;"",1,0))</f>
        <v/>
      </c>
      <c r="X72" s="32"/>
      <c r="Y72" s="32"/>
      <c r="Z72" s="32"/>
      <c r="AA72" s="24"/>
      <c r="AB72" s="24"/>
      <c r="AC72" s="33" t="str">
        <f aca="false">IF(AND(G72&lt;&gt;"",L72&lt;&gt;"",X72&lt;&gt;""),(X72-L72)*1440,"")</f>
        <v/>
      </c>
      <c r="AD72" s="33" t="str">
        <f aca="false">IF(AND(G72&lt;&gt;"",X72&lt;&gt;"",Y72&lt;&gt;""),(Y72-X72)*1440,"")</f>
        <v/>
      </c>
      <c r="AE72" s="33" t="str">
        <f aca="false">IF(AND(G72&lt;&gt;"",Y72&lt;&gt;"",Z72&lt;&gt;""),(Z72-Y72)*1440,"")</f>
        <v/>
      </c>
      <c r="AF72" s="33" t="str">
        <f aca="false">IF(AND(G72&lt;&gt;"",L72&lt;&gt;"",Z72&lt;&gt;""),(Z72-L72)*1440,"")</f>
        <v/>
      </c>
      <c r="AG72" s="33" t="str">
        <f aca="false">IF(G72="","",IFERROR(INDEX(Settings!$D$5:$D$8,MATCH(G72,Settings!$A$5:$A$8,0)),""))</f>
        <v/>
      </c>
      <c r="AH72" s="25" t="str">
        <f aca="false">IF(G72="","",IF(AF72="","No",IF(AF72&lt;=AG72,"Yes","No")))</f>
        <v/>
      </c>
      <c r="AI72" s="25" t="str">
        <f aca="false">IF(G72="","",IF(L72="","N/A - Not Detected",IF(AND(X72="",Y72="",Z72=""),"No Containment Action",IF(Z72="",IF(Y72&lt;&gt;"","C2 Persisted","Host Isolation Gap"),IF(AF72&lt;=AG72,"Contained - Within SLA","Contained - SLA Breach")))))</f>
        <v/>
      </c>
      <c r="AJ72" s="25" t="str">
        <f aca="false">IF(G72="","",IF(Z72&lt;&gt;"",1,0))</f>
        <v/>
      </c>
      <c r="AK72" s="34"/>
      <c r="AL72" s="34"/>
      <c r="AM72" s="35"/>
      <c r="AN72" s="34"/>
      <c r="AO72" s="34"/>
      <c r="AP72" s="35"/>
      <c r="AQ72" s="34"/>
      <c r="AR72" s="34"/>
      <c r="AS72" s="34"/>
      <c r="AT72" s="35"/>
      <c r="AU72" s="35"/>
    </row>
    <row r="73" customFormat="false" ht="15" hidden="false" customHeight="false" outlineLevel="0" collapsed="false">
      <c r="A73" s="24"/>
      <c r="B73" s="24"/>
      <c r="C73" s="24"/>
      <c r="D73" s="24"/>
      <c r="E73" s="24"/>
      <c r="F73" s="24"/>
      <c r="G73" s="24"/>
      <c r="H73" s="24"/>
      <c r="I73" s="32"/>
      <c r="J73" s="32"/>
      <c r="K73" s="32"/>
      <c r="L73" s="32"/>
      <c r="M73" s="24"/>
      <c r="N73" s="24"/>
      <c r="O73" s="24"/>
      <c r="P73" s="33" t="str">
        <f aca="false">IF(AND(G73&lt;&gt;"",I73&lt;&gt;"",J73&lt;&gt;""),(J73-I73)*1440,"")</f>
        <v/>
      </c>
      <c r="Q73" s="33" t="str">
        <f aca="false">IF(AND(G73&lt;&gt;"",J73&lt;&gt;"",K73&lt;&gt;""),(K73-J73)*1440,"")</f>
        <v/>
      </c>
      <c r="R73" s="33" t="str">
        <f aca="false">IF(AND(G73&lt;&gt;"",K73&lt;&gt;"",L73&lt;&gt;""),(L73-K73)*1440,"")</f>
        <v/>
      </c>
      <c r="S73" s="33" t="str">
        <f aca="false">IF(AND(G73&lt;&gt;"",I73&lt;&gt;"",L73&lt;&gt;""),(L73-I73)*1440,"")</f>
        <v/>
      </c>
      <c r="T73" s="33" t="str">
        <f aca="false">IF(G73="","",IFERROR(INDEX(Settings!$B$5:$B$8,MATCH(G73,Settings!$A$5:$A$8,0)),""))</f>
        <v/>
      </c>
      <c r="U73" s="25" t="str">
        <f aca="false">IF(G73="","",IF(S73="","No",IF(S73&lt;=T73,"Yes","No")))</f>
        <v/>
      </c>
      <c r="V73" s="25" t="str">
        <f aca="false">IF(G73="","",IF(AND(J73="",K73="",L73=""),"Telemetry Blind Spot",IF(AND(K73="",L73=""),"Missed Alert",IF(L73="","Triage Delay",IF(S73&lt;=T73,"Detected - Within SLA",IF(AND(R73&lt;&gt;"",R73&gt;IFERROR(INDEX(Settings!$C$5:$C$8,MATCH(G73,Settings!$A$5:$A$8,0)),1E+099)),"Triage Delay","Detected - SLA Breach"))))))</f>
        <v/>
      </c>
      <c r="W73" s="25" t="str">
        <f aca="false">IF(G73="","",IF(L73&lt;&gt;"",1,0))</f>
        <v/>
      </c>
      <c r="X73" s="32"/>
      <c r="Y73" s="32"/>
      <c r="Z73" s="32"/>
      <c r="AA73" s="24"/>
      <c r="AB73" s="24"/>
      <c r="AC73" s="33" t="str">
        <f aca="false">IF(AND(G73&lt;&gt;"",L73&lt;&gt;"",X73&lt;&gt;""),(X73-L73)*1440,"")</f>
        <v/>
      </c>
      <c r="AD73" s="33" t="str">
        <f aca="false">IF(AND(G73&lt;&gt;"",X73&lt;&gt;"",Y73&lt;&gt;""),(Y73-X73)*1440,"")</f>
        <v/>
      </c>
      <c r="AE73" s="33" t="str">
        <f aca="false">IF(AND(G73&lt;&gt;"",Y73&lt;&gt;"",Z73&lt;&gt;""),(Z73-Y73)*1440,"")</f>
        <v/>
      </c>
      <c r="AF73" s="33" t="str">
        <f aca="false">IF(AND(G73&lt;&gt;"",L73&lt;&gt;"",Z73&lt;&gt;""),(Z73-L73)*1440,"")</f>
        <v/>
      </c>
      <c r="AG73" s="33" t="str">
        <f aca="false">IF(G73="","",IFERROR(INDEX(Settings!$D$5:$D$8,MATCH(G73,Settings!$A$5:$A$8,0)),""))</f>
        <v/>
      </c>
      <c r="AH73" s="25" t="str">
        <f aca="false">IF(G73="","",IF(AF73="","No",IF(AF73&lt;=AG73,"Yes","No")))</f>
        <v/>
      </c>
      <c r="AI73" s="25" t="str">
        <f aca="false">IF(G73="","",IF(L73="","N/A - Not Detected",IF(AND(X73="",Y73="",Z73=""),"No Containment Action",IF(Z73="",IF(Y73&lt;&gt;"","C2 Persisted","Host Isolation Gap"),IF(AF73&lt;=AG73,"Contained - Within SLA","Contained - SLA Breach")))))</f>
        <v/>
      </c>
      <c r="AJ73" s="25" t="str">
        <f aca="false">IF(G73="","",IF(Z73&lt;&gt;"",1,0))</f>
        <v/>
      </c>
      <c r="AK73" s="34"/>
      <c r="AL73" s="34"/>
      <c r="AM73" s="35"/>
      <c r="AN73" s="34"/>
      <c r="AO73" s="34"/>
      <c r="AP73" s="35"/>
      <c r="AQ73" s="34"/>
      <c r="AR73" s="34"/>
      <c r="AS73" s="34"/>
      <c r="AT73" s="35"/>
      <c r="AU73" s="35"/>
    </row>
    <row r="74" customFormat="false" ht="15" hidden="false" customHeight="false" outlineLevel="0" collapsed="false">
      <c r="A74" s="24"/>
      <c r="B74" s="24"/>
      <c r="C74" s="24"/>
      <c r="D74" s="24"/>
      <c r="E74" s="24"/>
      <c r="F74" s="24"/>
      <c r="G74" s="24"/>
      <c r="H74" s="24"/>
      <c r="I74" s="32"/>
      <c r="J74" s="32"/>
      <c r="K74" s="32"/>
      <c r="L74" s="32"/>
      <c r="M74" s="24"/>
      <c r="N74" s="24"/>
      <c r="O74" s="24"/>
      <c r="P74" s="33" t="str">
        <f aca="false">IF(AND(G74&lt;&gt;"",I74&lt;&gt;"",J74&lt;&gt;""),(J74-I74)*1440,"")</f>
        <v/>
      </c>
      <c r="Q74" s="33" t="str">
        <f aca="false">IF(AND(G74&lt;&gt;"",J74&lt;&gt;"",K74&lt;&gt;""),(K74-J74)*1440,"")</f>
        <v/>
      </c>
      <c r="R74" s="33" t="str">
        <f aca="false">IF(AND(G74&lt;&gt;"",K74&lt;&gt;"",L74&lt;&gt;""),(L74-K74)*1440,"")</f>
        <v/>
      </c>
      <c r="S74" s="33" t="str">
        <f aca="false">IF(AND(G74&lt;&gt;"",I74&lt;&gt;"",L74&lt;&gt;""),(L74-I74)*1440,"")</f>
        <v/>
      </c>
      <c r="T74" s="33" t="str">
        <f aca="false">IF(G74="","",IFERROR(INDEX(Settings!$B$5:$B$8,MATCH(G74,Settings!$A$5:$A$8,0)),""))</f>
        <v/>
      </c>
      <c r="U74" s="25" t="str">
        <f aca="false">IF(G74="","",IF(S74="","No",IF(S74&lt;=T74,"Yes","No")))</f>
        <v/>
      </c>
      <c r="V74" s="25" t="str">
        <f aca="false">IF(G74="","",IF(AND(J74="",K74="",L74=""),"Telemetry Blind Spot",IF(AND(K74="",L74=""),"Missed Alert",IF(L74="","Triage Delay",IF(S74&lt;=T74,"Detected - Within SLA",IF(AND(R74&lt;&gt;"",R74&gt;IFERROR(INDEX(Settings!$C$5:$C$8,MATCH(G74,Settings!$A$5:$A$8,0)),1E+099)),"Triage Delay","Detected - SLA Breach"))))))</f>
        <v/>
      </c>
      <c r="W74" s="25" t="str">
        <f aca="false">IF(G74="","",IF(L74&lt;&gt;"",1,0))</f>
        <v/>
      </c>
      <c r="X74" s="32"/>
      <c r="Y74" s="32"/>
      <c r="Z74" s="32"/>
      <c r="AA74" s="24"/>
      <c r="AB74" s="24"/>
      <c r="AC74" s="33" t="str">
        <f aca="false">IF(AND(G74&lt;&gt;"",L74&lt;&gt;"",X74&lt;&gt;""),(X74-L74)*1440,"")</f>
        <v/>
      </c>
      <c r="AD74" s="33" t="str">
        <f aca="false">IF(AND(G74&lt;&gt;"",X74&lt;&gt;"",Y74&lt;&gt;""),(Y74-X74)*1440,"")</f>
        <v/>
      </c>
      <c r="AE74" s="33" t="str">
        <f aca="false">IF(AND(G74&lt;&gt;"",Y74&lt;&gt;"",Z74&lt;&gt;""),(Z74-Y74)*1440,"")</f>
        <v/>
      </c>
      <c r="AF74" s="33" t="str">
        <f aca="false">IF(AND(G74&lt;&gt;"",L74&lt;&gt;"",Z74&lt;&gt;""),(Z74-L74)*1440,"")</f>
        <v/>
      </c>
      <c r="AG74" s="33" t="str">
        <f aca="false">IF(G74="","",IFERROR(INDEX(Settings!$D$5:$D$8,MATCH(G74,Settings!$A$5:$A$8,0)),""))</f>
        <v/>
      </c>
      <c r="AH74" s="25" t="str">
        <f aca="false">IF(G74="","",IF(AF74="","No",IF(AF74&lt;=AG74,"Yes","No")))</f>
        <v/>
      </c>
      <c r="AI74" s="25" t="str">
        <f aca="false">IF(G74="","",IF(L74="","N/A - Not Detected",IF(AND(X74="",Y74="",Z74=""),"No Containment Action",IF(Z74="",IF(Y74&lt;&gt;"","C2 Persisted","Host Isolation Gap"),IF(AF74&lt;=AG74,"Contained - Within SLA","Contained - SLA Breach")))))</f>
        <v/>
      </c>
      <c r="AJ74" s="25" t="str">
        <f aca="false">IF(G74="","",IF(Z74&lt;&gt;"",1,0))</f>
        <v/>
      </c>
      <c r="AK74" s="34"/>
      <c r="AL74" s="34"/>
      <c r="AM74" s="35"/>
      <c r="AN74" s="34"/>
      <c r="AO74" s="34"/>
      <c r="AP74" s="35"/>
      <c r="AQ74" s="34"/>
      <c r="AR74" s="34"/>
      <c r="AS74" s="34"/>
      <c r="AT74" s="35"/>
      <c r="AU74" s="35"/>
    </row>
    <row r="75" customFormat="false" ht="15" hidden="false" customHeight="false" outlineLevel="0" collapsed="false">
      <c r="A75" s="24"/>
      <c r="B75" s="24"/>
      <c r="C75" s="24"/>
      <c r="D75" s="24"/>
      <c r="E75" s="24"/>
      <c r="F75" s="24"/>
      <c r="G75" s="24"/>
      <c r="H75" s="24"/>
      <c r="I75" s="32"/>
      <c r="J75" s="32"/>
      <c r="K75" s="32"/>
      <c r="L75" s="32"/>
      <c r="M75" s="24"/>
      <c r="N75" s="24"/>
      <c r="O75" s="24"/>
      <c r="P75" s="33" t="str">
        <f aca="false">IF(AND(G75&lt;&gt;"",I75&lt;&gt;"",J75&lt;&gt;""),(J75-I75)*1440,"")</f>
        <v/>
      </c>
      <c r="Q75" s="33" t="str">
        <f aca="false">IF(AND(G75&lt;&gt;"",J75&lt;&gt;"",K75&lt;&gt;""),(K75-J75)*1440,"")</f>
        <v/>
      </c>
      <c r="R75" s="33" t="str">
        <f aca="false">IF(AND(G75&lt;&gt;"",K75&lt;&gt;"",L75&lt;&gt;""),(L75-K75)*1440,"")</f>
        <v/>
      </c>
      <c r="S75" s="33" t="str">
        <f aca="false">IF(AND(G75&lt;&gt;"",I75&lt;&gt;"",L75&lt;&gt;""),(L75-I75)*1440,"")</f>
        <v/>
      </c>
      <c r="T75" s="33" t="str">
        <f aca="false">IF(G75="","",IFERROR(INDEX(Settings!$B$5:$B$8,MATCH(G75,Settings!$A$5:$A$8,0)),""))</f>
        <v/>
      </c>
      <c r="U75" s="25" t="str">
        <f aca="false">IF(G75="","",IF(S75="","No",IF(S75&lt;=T75,"Yes","No")))</f>
        <v/>
      </c>
      <c r="V75" s="25" t="str">
        <f aca="false">IF(G75="","",IF(AND(J75="",K75="",L75=""),"Telemetry Blind Spot",IF(AND(K75="",L75=""),"Missed Alert",IF(L75="","Triage Delay",IF(S75&lt;=T75,"Detected - Within SLA",IF(AND(R75&lt;&gt;"",R75&gt;IFERROR(INDEX(Settings!$C$5:$C$8,MATCH(G75,Settings!$A$5:$A$8,0)),1E+099)),"Triage Delay","Detected - SLA Breach"))))))</f>
        <v/>
      </c>
      <c r="W75" s="25" t="str">
        <f aca="false">IF(G75="","",IF(L75&lt;&gt;"",1,0))</f>
        <v/>
      </c>
      <c r="X75" s="32"/>
      <c r="Y75" s="32"/>
      <c r="Z75" s="32"/>
      <c r="AA75" s="24"/>
      <c r="AB75" s="24"/>
      <c r="AC75" s="33" t="str">
        <f aca="false">IF(AND(G75&lt;&gt;"",L75&lt;&gt;"",X75&lt;&gt;""),(X75-L75)*1440,"")</f>
        <v/>
      </c>
      <c r="AD75" s="33" t="str">
        <f aca="false">IF(AND(G75&lt;&gt;"",X75&lt;&gt;"",Y75&lt;&gt;""),(Y75-X75)*1440,"")</f>
        <v/>
      </c>
      <c r="AE75" s="33" t="str">
        <f aca="false">IF(AND(G75&lt;&gt;"",Y75&lt;&gt;"",Z75&lt;&gt;""),(Z75-Y75)*1440,"")</f>
        <v/>
      </c>
      <c r="AF75" s="33" t="str">
        <f aca="false">IF(AND(G75&lt;&gt;"",L75&lt;&gt;"",Z75&lt;&gt;""),(Z75-L75)*1440,"")</f>
        <v/>
      </c>
      <c r="AG75" s="33" t="str">
        <f aca="false">IF(G75="","",IFERROR(INDEX(Settings!$D$5:$D$8,MATCH(G75,Settings!$A$5:$A$8,0)),""))</f>
        <v/>
      </c>
      <c r="AH75" s="25" t="str">
        <f aca="false">IF(G75="","",IF(AF75="","No",IF(AF75&lt;=AG75,"Yes","No")))</f>
        <v/>
      </c>
      <c r="AI75" s="25" t="str">
        <f aca="false">IF(G75="","",IF(L75="","N/A - Not Detected",IF(AND(X75="",Y75="",Z75=""),"No Containment Action",IF(Z75="",IF(Y75&lt;&gt;"","C2 Persisted","Host Isolation Gap"),IF(AF75&lt;=AG75,"Contained - Within SLA","Contained - SLA Breach")))))</f>
        <v/>
      </c>
      <c r="AJ75" s="25" t="str">
        <f aca="false">IF(G75="","",IF(Z75&lt;&gt;"",1,0))</f>
        <v/>
      </c>
      <c r="AK75" s="34"/>
      <c r="AL75" s="34"/>
      <c r="AM75" s="35"/>
      <c r="AN75" s="34"/>
      <c r="AO75" s="34"/>
      <c r="AP75" s="35"/>
      <c r="AQ75" s="34"/>
      <c r="AR75" s="34"/>
      <c r="AS75" s="34"/>
      <c r="AT75" s="35"/>
      <c r="AU75" s="35"/>
    </row>
    <row r="76" customFormat="false" ht="15" hidden="false" customHeight="false" outlineLevel="0" collapsed="false">
      <c r="A76" s="24"/>
      <c r="B76" s="24"/>
      <c r="C76" s="24"/>
      <c r="D76" s="24"/>
      <c r="E76" s="24"/>
      <c r="F76" s="24"/>
      <c r="G76" s="24"/>
      <c r="H76" s="24"/>
      <c r="I76" s="32"/>
      <c r="J76" s="32"/>
      <c r="K76" s="32"/>
      <c r="L76" s="32"/>
      <c r="M76" s="24"/>
      <c r="N76" s="24"/>
      <c r="O76" s="24"/>
      <c r="P76" s="33" t="str">
        <f aca="false">IF(AND(G76&lt;&gt;"",I76&lt;&gt;"",J76&lt;&gt;""),(J76-I76)*1440,"")</f>
        <v/>
      </c>
      <c r="Q76" s="33" t="str">
        <f aca="false">IF(AND(G76&lt;&gt;"",J76&lt;&gt;"",K76&lt;&gt;""),(K76-J76)*1440,"")</f>
        <v/>
      </c>
      <c r="R76" s="33" t="str">
        <f aca="false">IF(AND(G76&lt;&gt;"",K76&lt;&gt;"",L76&lt;&gt;""),(L76-K76)*1440,"")</f>
        <v/>
      </c>
      <c r="S76" s="33" t="str">
        <f aca="false">IF(AND(G76&lt;&gt;"",I76&lt;&gt;"",L76&lt;&gt;""),(L76-I76)*1440,"")</f>
        <v/>
      </c>
      <c r="T76" s="33" t="str">
        <f aca="false">IF(G76="","",IFERROR(INDEX(Settings!$B$5:$B$8,MATCH(G76,Settings!$A$5:$A$8,0)),""))</f>
        <v/>
      </c>
      <c r="U76" s="25" t="str">
        <f aca="false">IF(G76="","",IF(S76="","No",IF(S76&lt;=T76,"Yes","No")))</f>
        <v/>
      </c>
      <c r="V76" s="25" t="str">
        <f aca="false">IF(G76="","",IF(AND(J76="",K76="",L76=""),"Telemetry Blind Spot",IF(AND(K76="",L76=""),"Missed Alert",IF(L76="","Triage Delay",IF(S76&lt;=T76,"Detected - Within SLA",IF(AND(R76&lt;&gt;"",R76&gt;IFERROR(INDEX(Settings!$C$5:$C$8,MATCH(G76,Settings!$A$5:$A$8,0)),1E+099)),"Triage Delay","Detected - SLA Breach"))))))</f>
        <v/>
      </c>
      <c r="W76" s="25" t="str">
        <f aca="false">IF(G76="","",IF(L76&lt;&gt;"",1,0))</f>
        <v/>
      </c>
      <c r="X76" s="32"/>
      <c r="Y76" s="32"/>
      <c r="Z76" s="32"/>
      <c r="AA76" s="24"/>
      <c r="AB76" s="24"/>
      <c r="AC76" s="33" t="str">
        <f aca="false">IF(AND(G76&lt;&gt;"",L76&lt;&gt;"",X76&lt;&gt;""),(X76-L76)*1440,"")</f>
        <v/>
      </c>
      <c r="AD76" s="33" t="str">
        <f aca="false">IF(AND(G76&lt;&gt;"",X76&lt;&gt;"",Y76&lt;&gt;""),(Y76-X76)*1440,"")</f>
        <v/>
      </c>
      <c r="AE76" s="33" t="str">
        <f aca="false">IF(AND(G76&lt;&gt;"",Y76&lt;&gt;"",Z76&lt;&gt;""),(Z76-Y76)*1440,"")</f>
        <v/>
      </c>
      <c r="AF76" s="33" t="str">
        <f aca="false">IF(AND(G76&lt;&gt;"",L76&lt;&gt;"",Z76&lt;&gt;""),(Z76-L76)*1440,"")</f>
        <v/>
      </c>
      <c r="AG76" s="33" t="str">
        <f aca="false">IF(G76="","",IFERROR(INDEX(Settings!$D$5:$D$8,MATCH(G76,Settings!$A$5:$A$8,0)),""))</f>
        <v/>
      </c>
      <c r="AH76" s="25" t="str">
        <f aca="false">IF(G76="","",IF(AF76="","No",IF(AF76&lt;=AG76,"Yes","No")))</f>
        <v/>
      </c>
      <c r="AI76" s="25" t="str">
        <f aca="false">IF(G76="","",IF(L76="","N/A - Not Detected",IF(AND(X76="",Y76="",Z76=""),"No Containment Action",IF(Z76="",IF(Y76&lt;&gt;"","C2 Persisted","Host Isolation Gap"),IF(AF76&lt;=AG76,"Contained - Within SLA","Contained - SLA Breach")))))</f>
        <v/>
      </c>
      <c r="AJ76" s="25" t="str">
        <f aca="false">IF(G76="","",IF(Z76&lt;&gt;"",1,0))</f>
        <v/>
      </c>
      <c r="AK76" s="34"/>
      <c r="AL76" s="34"/>
      <c r="AM76" s="35"/>
      <c r="AN76" s="34"/>
      <c r="AO76" s="34"/>
      <c r="AP76" s="35"/>
      <c r="AQ76" s="34"/>
      <c r="AR76" s="34"/>
      <c r="AS76" s="34"/>
      <c r="AT76" s="35"/>
      <c r="AU76" s="35"/>
    </row>
    <row r="77" customFormat="false" ht="15" hidden="false" customHeight="false" outlineLevel="0" collapsed="false">
      <c r="A77" s="24"/>
      <c r="B77" s="24"/>
      <c r="C77" s="24"/>
      <c r="D77" s="24"/>
      <c r="E77" s="24"/>
      <c r="F77" s="24"/>
      <c r="G77" s="24"/>
      <c r="H77" s="24"/>
      <c r="I77" s="32"/>
      <c r="J77" s="32"/>
      <c r="K77" s="32"/>
      <c r="L77" s="32"/>
      <c r="M77" s="24"/>
      <c r="N77" s="24"/>
      <c r="O77" s="24"/>
      <c r="P77" s="33" t="str">
        <f aca="false">IF(AND(G77&lt;&gt;"",I77&lt;&gt;"",J77&lt;&gt;""),(J77-I77)*1440,"")</f>
        <v/>
      </c>
      <c r="Q77" s="33" t="str">
        <f aca="false">IF(AND(G77&lt;&gt;"",J77&lt;&gt;"",K77&lt;&gt;""),(K77-J77)*1440,"")</f>
        <v/>
      </c>
      <c r="R77" s="33" t="str">
        <f aca="false">IF(AND(G77&lt;&gt;"",K77&lt;&gt;"",L77&lt;&gt;""),(L77-K77)*1440,"")</f>
        <v/>
      </c>
      <c r="S77" s="33" t="str">
        <f aca="false">IF(AND(G77&lt;&gt;"",I77&lt;&gt;"",L77&lt;&gt;""),(L77-I77)*1440,"")</f>
        <v/>
      </c>
      <c r="T77" s="33" t="str">
        <f aca="false">IF(G77="","",IFERROR(INDEX(Settings!$B$5:$B$8,MATCH(G77,Settings!$A$5:$A$8,0)),""))</f>
        <v/>
      </c>
      <c r="U77" s="25" t="str">
        <f aca="false">IF(G77="","",IF(S77="","No",IF(S77&lt;=T77,"Yes","No")))</f>
        <v/>
      </c>
      <c r="V77" s="25" t="str">
        <f aca="false">IF(G77="","",IF(AND(J77="",K77="",L77=""),"Telemetry Blind Spot",IF(AND(K77="",L77=""),"Missed Alert",IF(L77="","Triage Delay",IF(S77&lt;=T77,"Detected - Within SLA",IF(AND(R77&lt;&gt;"",R77&gt;IFERROR(INDEX(Settings!$C$5:$C$8,MATCH(G77,Settings!$A$5:$A$8,0)),1E+099)),"Triage Delay","Detected - SLA Breach"))))))</f>
        <v/>
      </c>
      <c r="W77" s="25" t="str">
        <f aca="false">IF(G77="","",IF(L77&lt;&gt;"",1,0))</f>
        <v/>
      </c>
      <c r="X77" s="32"/>
      <c r="Y77" s="32"/>
      <c r="Z77" s="32"/>
      <c r="AA77" s="24"/>
      <c r="AB77" s="24"/>
      <c r="AC77" s="33" t="str">
        <f aca="false">IF(AND(G77&lt;&gt;"",L77&lt;&gt;"",X77&lt;&gt;""),(X77-L77)*1440,"")</f>
        <v/>
      </c>
      <c r="AD77" s="33" t="str">
        <f aca="false">IF(AND(G77&lt;&gt;"",X77&lt;&gt;"",Y77&lt;&gt;""),(Y77-X77)*1440,"")</f>
        <v/>
      </c>
      <c r="AE77" s="33" t="str">
        <f aca="false">IF(AND(G77&lt;&gt;"",Y77&lt;&gt;"",Z77&lt;&gt;""),(Z77-Y77)*1440,"")</f>
        <v/>
      </c>
      <c r="AF77" s="33" t="str">
        <f aca="false">IF(AND(G77&lt;&gt;"",L77&lt;&gt;"",Z77&lt;&gt;""),(Z77-L77)*1440,"")</f>
        <v/>
      </c>
      <c r="AG77" s="33" t="str">
        <f aca="false">IF(G77="","",IFERROR(INDEX(Settings!$D$5:$D$8,MATCH(G77,Settings!$A$5:$A$8,0)),""))</f>
        <v/>
      </c>
      <c r="AH77" s="25" t="str">
        <f aca="false">IF(G77="","",IF(AF77="","No",IF(AF77&lt;=AG77,"Yes","No")))</f>
        <v/>
      </c>
      <c r="AI77" s="25" t="str">
        <f aca="false">IF(G77="","",IF(L77="","N/A - Not Detected",IF(AND(X77="",Y77="",Z77=""),"No Containment Action",IF(Z77="",IF(Y77&lt;&gt;"","C2 Persisted","Host Isolation Gap"),IF(AF77&lt;=AG77,"Contained - Within SLA","Contained - SLA Breach")))))</f>
        <v/>
      </c>
      <c r="AJ77" s="25" t="str">
        <f aca="false">IF(G77="","",IF(Z77&lt;&gt;"",1,0))</f>
        <v/>
      </c>
      <c r="AK77" s="34"/>
      <c r="AL77" s="34"/>
      <c r="AM77" s="35"/>
      <c r="AN77" s="34"/>
      <c r="AO77" s="34"/>
      <c r="AP77" s="35"/>
      <c r="AQ77" s="34"/>
      <c r="AR77" s="34"/>
      <c r="AS77" s="34"/>
      <c r="AT77" s="35"/>
      <c r="AU77" s="35"/>
    </row>
    <row r="78" customFormat="false" ht="15" hidden="false" customHeight="false" outlineLevel="0" collapsed="false">
      <c r="A78" s="24"/>
      <c r="B78" s="24"/>
      <c r="C78" s="24"/>
      <c r="D78" s="24"/>
      <c r="E78" s="24"/>
      <c r="F78" s="24"/>
      <c r="G78" s="24"/>
      <c r="H78" s="24"/>
      <c r="I78" s="32"/>
      <c r="J78" s="32"/>
      <c r="K78" s="32"/>
      <c r="L78" s="32"/>
      <c r="M78" s="24"/>
      <c r="N78" s="24"/>
      <c r="O78" s="24"/>
      <c r="P78" s="33" t="str">
        <f aca="false">IF(AND(G78&lt;&gt;"",I78&lt;&gt;"",J78&lt;&gt;""),(J78-I78)*1440,"")</f>
        <v/>
      </c>
      <c r="Q78" s="33" t="str">
        <f aca="false">IF(AND(G78&lt;&gt;"",J78&lt;&gt;"",K78&lt;&gt;""),(K78-J78)*1440,"")</f>
        <v/>
      </c>
      <c r="R78" s="33" t="str">
        <f aca="false">IF(AND(G78&lt;&gt;"",K78&lt;&gt;"",L78&lt;&gt;""),(L78-K78)*1440,"")</f>
        <v/>
      </c>
      <c r="S78" s="33" t="str">
        <f aca="false">IF(AND(G78&lt;&gt;"",I78&lt;&gt;"",L78&lt;&gt;""),(L78-I78)*1440,"")</f>
        <v/>
      </c>
      <c r="T78" s="33" t="str">
        <f aca="false">IF(G78="","",IFERROR(INDEX(Settings!$B$5:$B$8,MATCH(G78,Settings!$A$5:$A$8,0)),""))</f>
        <v/>
      </c>
      <c r="U78" s="25" t="str">
        <f aca="false">IF(G78="","",IF(S78="","No",IF(S78&lt;=T78,"Yes","No")))</f>
        <v/>
      </c>
      <c r="V78" s="25" t="str">
        <f aca="false">IF(G78="","",IF(AND(J78="",K78="",L78=""),"Telemetry Blind Spot",IF(AND(K78="",L78=""),"Missed Alert",IF(L78="","Triage Delay",IF(S78&lt;=T78,"Detected - Within SLA",IF(AND(R78&lt;&gt;"",R78&gt;IFERROR(INDEX(Settings!$C$5:$C$8,MATCH(G78,Settings!$A$5:$A$8,0)),1E+099)),"Triage Delay","Detected - SLA Breach"))))))</f>
        <v/>
      </c>
      <c r="W78" s="25" t="str">
        <f aca="false">IF(G78="","",IF(L78&lt;&gt;"",1,0))</f>
        <v/>
      </c>
      <c r="X78" s="32"/>
      <c r="Y78" s="32"/>
      <c r="Z78" s="32"/>
      <c r="AA78" s="24"/>
      <c r="AB78" s="24"/>
      <c r="AC78" s="33" t="str">
        <f aca="false">IF(AND(G78&lt;&gt;"",L78&lt;&gt;"",X78&lt;&gt;""),(X78-L78)*1440,"")</f>
        <v/>
      </c>
      <c r="AD78" s="33" t="str">
        <f aca="false">IF(AND(G78&lt;&gt;"",X78&lt;&gt;"",Y78&lt;&gt;""),(Y78-X78)*1440,"")</f>
        <v/>
      </c>
      <c r="AE78" s="33" t="str">
        <f aca="false">IF(AND(G78&lt;&gt;"",Y78&lt;&gt;"",Z78&lt;&gt;""),(Z78-Y78)*1440,"")</f>
        <v/>
      </c>
      <c r="AF78" s="33" t="str">
        <f aca="false">IF(AND(G78&lt;&gt;"",L78&lt;&gt;"",Z78&lt;&gt;""),(Z78-L78)*1440,"")</f>
        <v/>
      </c>
      <c r="AG78" s="33" t="str">
        <f aca="false">IF(G78="","",IFERROR(INDEX(Settings!$D$5:$D$8,MATCH(G78,Settings!$A$5:$A$8,0)),""))</f>
        <v/>
      </c>
      <c r="AH78" s="25" t="str">
        <f aca="false">IF(G78="","",IF(AF78="","No",IF(AF78&lt;=AG78,"Yes","No")))</f>
        <v/>
      </c>
      <c r="AI78" s="25" t="str">
        <f aca="false">IF(G78="","",IF(L78="","N/A - Not Detected",IF(AND(X78="",Y78="",Z78=""),"No Containment Action",IF(Z78="",IF(Y78&lt;&gt;"","C2 Persisted","Host Isolation Gap"),IF(AF78&lt;=AG78,"Contained - Within SLA","Contained - SLA Breach")))))</f>
        <v/>
      </c>
      <c r="AJ78" s="25" t="str">
        <f aca="false">IF(G78="","",IF(Z78&lt;&gt;"",1,0))</f>
        <v/>
      </c>
      <c r="AK78" s="34"/>
      <c r="AL78" s="34"/>
      <c r="AM78" s="35"/>
      <c r="AN78" s="34"/>
      <c r="AO78" s="34"/>
      <c r="AP78" s="35"/>
      <c r="AQ78" s="34"/>
      <c r="AR78" s="34"/>
      <c r="AS78" s="34"/>
      <c r="AT78" s="35"/>
      <c r="AU78" s="35"/>
    </row>
    <row r="79" customFormat="false" ht="15" hidden="false" customHeight="false" outlineLevel="0" collapsed="false">
      <c r="A79" s="24"/>
      <c r="B79" s="24"/>
      <c r="C79" s="24"/>
      <c r="D79" s="24"/>
      <c r="E79" s="24"/>
      <c r="F79" s="24"/>
      <c r="G79" s="24"/>
      <c r="H79" s="24"/>
      <c r="I79" s="32"/>
      <c r="J79" s="32"/>
      <c r="K79" s="32"/>
      <c r="L79" s="32"/>
      <c r="M79" s="24"/>
      <c r="N79" s="24"/>
      <c r="O79" s="24"/>
      <c r="P79" s="33" t="str">
        <f aca="false">IF(AND(G79&lt;&gt;"",I79&lt;&gt;"",J79&lt;&gt;""),(J79-I79)*1440,"")</f>
        <v/>
      </c>
      <c r="Q79" s="33" t="str">
        <f aca="false">IF(AND(G79&lt;&gt;"",J79&lt;&gt;"",K79&lt;&gt;""),(K79-J79)*1440,"")</f>
        <v/>
      </c>
      <c r="R79" s="33" t="str">
        <f aca="false">IF(AND(G79&lt;&gt;"",K79&lt;&gt;"",L79&lt;&gt;""),(L79-K79)*1440,"")</f>
        <v/>
      </c>
      <c r="S79" s="33" t="str">
        <f aca="false">IF(AND(G79&lt;&gt;"",I79&lt;&gt;"",L79&lt;&gt;""),(L79-I79)*1440,"")</f>
        <v/>
      </c>
      <c r="T79" s="33" t="str">
        <f aca="false">IF(G79="","",IFERROR(INDEX(Settings!$B$5:$B$8,MATCH(G79,Settings!$A$5:$A$8,0)),""))</f>
        <v/>
      </c>
      <c r="U79" s="25" t="str">
        <f aca="false">IF(G79="","",IF(S79="","No",IF(S79&lt;=T79,"Yes","No")))</f>
        <v/>
      </c>
      <c r="V79" s="25" t="str">
        <f aca="false">IF(G79="","",IF(AND(J79="",K79="",L79=""),"Telemetry Blind Spot",IF(AND(K79="",L79=""),"Missed Alert",IF(L79="","Triage Delay",IF(S79&lt;=T79,"Detected - Within SLA",IF(AND(R79&lt;&gt;"",R79&gt;IFERROR(INDEX(Settings!$C$5:$C$8,MATCH(G79,Settings!$A$5:$A$8,0)),1E+099)),"Triage Delay","Detected - SLA Breach"))))))</f>
        <v/>
      </c>
      <c r="W79" s="25" t="str">
        <f aca="false">IF(G79="","",IF(L79&lt;&gt;"",1,0))</f>
        <v/>
      </c>
      <c r="X79" s="32"/>
      <c r="Y79" s="32"/>
      <c r="Z79" s="32"/>
      <c r="AA79" s="24"/>
      <c r="AB79" s="24"/>
      <c r="AC79" s="33" t="str">
        <f aca="false">IF(AND(G79&lt;&gt;"",L79&lt;&gt;"",X79&lt;&gt;""),(X79-L79)*1440,"")</f>
        <v/>
      </c>
      <c r="AD79" s="33" t="str">
        <f aca="false">IF(AND(G79&lt;&gt;"",X79&lt;&gt;"",Y79&lt;&gt;""),(Y79-X79)*1440,"")</f>
        <v/>
      </c>
      <c r="AE79" s="33" t="str">
        <f aca="false">IF(AND(G79&lt;&gt;"",Y79&lt;&gt;"",Z79&lt;&gt;""),(Z79-Y79)*1440,"")</f>
        <v/>
      </c>
      <c r="AF79" s="33" t="str">
        <f aca="false">IF(AND(G79&lt;&gt;"",L79&lt;&gt;"",Z79&lt;&gt;""),(Z79-L79)*1440,"")</f>
        <v/>
      </c>
      <c r="AG79" s="33" t="str">
        <f aca="false">IF(G79="","",IFERROR(INDEX(Settings!$D$5:$D$8,MATCH(G79,Settings!$A$5:$A$8,0)),""))</f>
        <v/>
      </c>
      <c r="AH79" s="25" t="str">
        <f aca="false">IF(G79="","",IF(AF79="","No",IF(AF79&lt;=AG79,"Yes","No")))</f>
        <v/>
      </c>
      <c r="AI79" s="25" t="str">
        <f aca="false">IF(G79="","",IF(L79="","N/A - Not Detected",IF(AND(X79="",Y79="",Z79=""),"No Containment Action",IF(Z79="",IF(Y79&lt;&gt;"","C2 Persisted","Host Isolation Gap"),IF(AF79&lt;=AG79,"Contained - Within SLA","Contained - SLA Breach")))))</f>
        <v/>
      </c>
      <c r="AJ79" s="25" t="str">
        <f aca="false">IF(G79="","",IF(Z79&lt;&gt;"",1,0))</f>
        <v/>
      </c>
      <c r="AK79" s="34"/>
      <c r="AL79" s="34"/>
      <c r="AM79" s="35"/>
      <c r="AN79" s="34"/>
      <c r="AO79" s="34"/>
      <c r="AP79" s="35"/>
      <c r="AQ79" s="34"/>
      <c r="AR79" s="34"/>
      <c r="AS79" s="34"/>
      <c r="AT79" s="35"/>
      <c r="AU79" s="35"/>
    </row>
    <row r="80" customFormat="false" ht="15" hidden="false" customHeight="false" outlineLevel="0" collapsed="false">
      <c r="A80" s="24"/>
      <c r="B80" s="24"/>
      <c r="C80" s="24"/>
      <c r="D80" s="24"/>
      <c r="E80" s="24"/>
      <c r="F80" s="24"/>
      <c r="G80" s="24"/>
      <c r="H80" s="24"/>
      <c r="I80" s="32"/>
      <c r="J80" s="32"/>
      <c r="K80" s="32"/>
      <c r="L80" s="32"/>
      <c r="M80" s="24"/>
      <c r="N80" s="24"/>
      <c r="O80" s="24"/>
      <c r="P80" s="33" t="str">
        <f aca="false">IF(AND(G80&lt;&gt;"",I80&lt;&gt;"",J80&lt;&gt;""),(J80-I80)*1440,"")</f>
        <v/>
      </c>
      <c r="Q80" s="33" t="str">
        <f aca="false">IF(AND(G80&lt;&gt;"",J80&lt;&gt;"",K80&lt;&gt;""),(K80-J80)*1440,"")</f>
        <v/>
      </c>
      <c r="R80" s="33" t="str">
        <f aca="false">IF(AND(G80&lt;&gt;"",K80&lt;&gt;"",L80&lt;&gt;""),(L80-K80)*1440,"")</f>
        <v/>
      </c>
      <c r="S80" s="33" t="str">
        <f aca="false">IF(AND(G80&lt;&gt;"",I80&lt;&gt;"",L80&lt;&gt;""),(L80-I80)*1440,"")</f>
        <v/>
      </c>
      <c r="T80" s="33" t="str">
        <f aca="false">IF(G80="","",IFERROR(INDEX(Settings!$B$5:$B$8,MATCH(G80,Settings!$A$5:$A$8,0)),""))</f>
        <v/>
      </c>
      <c r="U80" s="25" t="str">
        <f aca="false">IF(G80="","",IF(S80="","No",IF(S80&lt;=T80,"Yes","No")))</f>
        <v/>
      </c>
      <c r="V80" s="25" t="str">
        <f aca="false">IF(G80="","",IF(AND(J80="",K80="",L80=""),"Telemetry Blind Spot",IF(AND(K80="",L80=""),"Missed Alert",IF(L80="","Triage Delay",IF(S80&lt;=T80,"Detected - Within SLA",IF(AND(R80&lt;&gt;"",R80&gt;IFERROR(INDEX(Settings!$C$5:$C$8,MATCH(G80,Settings!$A$5:$A$8,0)),1E+099)),"Triage Delay","Detected - SLA Breach"))))))</f>
        <v/>
      </c>
      <c r="W80" s="25" t="str">
        <f aca="false">IF(G80="","",IF(L80&lt;&gt;"",1,0))</f>
        <v/>
      </c>
      <c r="X80" s="32"/>
      <c r="Y80" s="32"/>
      <c r="Z80" s="32"/>
      <c r="AA80" s="24"/>
      <c r="AB80" s="24"/>
      <c r="AC80" s="33" t="str">
        <f aca="false">IF(AND(G80&lt;&gt;"",L80&lt;&gt;"",X80&lt;&gt;""),(X80-L80)*1440,"")</f>
        <v/>
      </c>
      <c r="AD80" s="33" t="str">
        <f aca="false">IF(AND(G80&lt;&gt;"",X80&lt;&gt;"",Y80&lt;&gt;""),(Y80-X80)*1440,"")</f>
        <v/>
      </c>
      <c r="AE80" s="33" t="str">
        <f aca="false">IF(AND(G80&lt;&gt;"",Y80&lt;&gt;"",Z80&lt;&gt;""),(Z80-Y80)*1440,"")</f>
        <v/>
      </c>
      <c r="AF80" s="33" t="str">
        <f aca="false">IF(AND(G80&lt;&gt;"",L80&lt;&gt;"",Z80&lt;&gt;""),(Z80-L80)*1440,"")</f>
        <v/>
      </c>
      <c r="AG80" s="33" t="str">
        <f aca="false">IF(G80="","",IFERROR(INDEX(Settings!$D$5:$D$8,MATCH(G80,Settings!$A$5:$A$8,0)),""))</f>
        <v/>
      </c>
      <c r="AH80" s="25" t="str">
        <f aca="false">IF(G80="","",IF(AF80="","No",IF(AF80&lt;=AG80,"Yes","No")))</f>
        <v/>
      </c>
      <c r="AI80" s="25" t="str">
        <f aca="false">IF(G80="","",IF(L80="","N/A - Not Detected",IF(AND(X80="",Y80="",Z80=""),"No Containment Action",IF(Z80="",IF(Y80&lt;&gt;"","C2 Persisted","Host Isolation Gap"),IF(AF80&lt;=AG80,"Contained - Within SLA","Contained - SLA Breach")))))</f>
        <v/>
      </c>
      <c r="AJ80" s="25" t="str">
        <f aca="false">IF(G80="","",IF(Z80&lt;&gt;"",1,0))</f>
        <v/>
      </c>
      <c r="AK80" s="34"/>
      <c r="AL80" s="34"/>
      <c r="AM80" s="35"/>
      <c r="AN80" s="34"/>
      <c r="AO80" s="34"/>
      <c r="AP80" s="35"/>
      <c r="AQ80" s="34"/>
      <c r="AR80" s="34"/>
      <c r="AS80" s="34"/>
      <c r="AT80" s="35"/>
      <c r="AU80" s="35"/>
    </row>
    <row r="81" customFormat="false" ht="15" hidden="false" customHeight="false" outlineLevel="0" collapsed="false">
      <c r="A81" s="24"/>
      <c r="B81" s="24"/>
      <c r="C81" s="24"/>
      <c r="D81" s="24"/>
      <c r="E81" s="24"/>
      <c r="F81" s="24"/>
      <c r="G81" s="24"/>
      <c r="H81" s="24"/>
      <c r="I81" s="32"/>
      <c r="J81" s="32"/>
      <c r="K81" s="32"/>
      <c r="L81" s="32"/>
      <c r="M81" s="24"/>
      <c r="N81" s="24"/>
      <c r="O81" s="24"/>
      <c r="P81" s="33" t="str">
        <f aca="false">IF(AND(G81&lt;&gt;"",I81&lt;&gt;"",J81&lt;&gt;""),(J81-I81)*1440,"")</f>
        <v/>
      </c>
      <c r="Q81" s="33" t="str">
        <f aca="false">IF(AND(G81&lt;&gt;"",J81&lt;&gt;"",K81&lt;&gt;""),(K81-J81)*1440,"")</f>
        <v/>
      </c>
      <c r="R81" s="33" t="str">
        <f aca="false">IF(AND(G81&lt;&gt;"",K81&lt;&gt;"",L81&lt;&gt;""),(L81-K81)*1440,"")</f>
        <v/>
      </c>
      <c r="S81" s="33" t="str">
        <f aca="false">IF(AND(G81&lt;&gt;"",I81&lt;&gt;"",L81&lt;&gt;""),(L81-I81)*1440,"")</f>
        <v/>
      </c>
      <c r="T81" s="33" t="str">
        <f aca="false">IF(G81="","",IFERROR(INDEX(Settings!$B$5:$B$8,MATCH(G81,Settings!$A$5:$A$8,0)),""))</f>
        <v/>
      </c>
      <c r="U81" s="25" t="str">
        <f aca="false">IF(G81="","",IF(S81="","No",IF(S81&lt;=T81,"Yes","No")))</f>
        <v/>
      </c>
      <c r="V81" s="25" t="str">
        <f aca="false">IF(G81="","",IF(AND(J81="",K81="",L81=""),"Telemetry Blind Spot",IF(AND(K81="",L81=""),"Missed Alert",IF(L81="","Triage Delay",IF(S81&lt;=T81,"Detected - Within SLA",IF(AND(R81&lt;&gt;"",R81&gt;IFERROR(INDEX(Settings!$C$5:$C$8,MATCH(G81,Settings!$A$5:$A$8,0)),1E+099)),"Triage Delay","Detected - SLA Breach"))))))</f>
        <v/>
      </c>
      <c r="W81" s="25" t="str">
        <f aca="false">IF(G81="","",IF(L81&lt;&gt;"",1,0))</f>
        <v/>
      </c>
      <c r="X81" s="32"/>
      <c r="Y81" s="32"/>
      <c r="Z81" s="32"/>
      <c r="AA81" s="24"/>
      <c r="AB81" s="24"/>
      <c r="AC81" s="33" t="str">
        <f aca="false">IF(AND(G81&lt;&gt;"",L81&lt;&gt;"",X81&lt;&gt;""),(X81-L81)*1440,"")</f>
        <v/>
      </c>
      <c r="AD81" s="33" t="str">
        <f aca="false">IF(AND(G81&lt;&gt;"",X81&lt;&gt;"",Y81&lt;&gt;""),(Y81-X81)*1440,"")</f>
        <v/>
      </c>
      <c r="AE81" s="33" t="str">
        <f aca="false">IF(AND(G81&lt;&gt;"",Y81&lt;&gt;"",Z81&lt;&gt;""),(Z81-Y81)*1440,"")</f>
        <v/>
      </c>
      <c r="AF81" s="33" t="str">
        <f aca="false">IF(AND(G81&lt;&gt;"",L81&lt;&gt;"",Z81&lt;&gt;""),(Z81-L81)*1440,"")</f>
        <v/>
      </c>
      <c r="AG81" s="33" t="str">
        <f aca="false">IF(G81="","",IFERROR(INDEX(Settings!$D$5:$D$8,MATCH(G81,Settings!$A$5:$A$8,0)),""))</f>
        <v/>
      </c>
      <c r="AH81" s="25" t="str">
        <f aca="false">IF(G81="","",IF(AF81="","No",IF(AF81&lt;=AG81,"Yes","No")))</f>
        <v/>
      </c>
      <c r="AI81" s="25" t="str">
        <f aca="false">IF(G81="","",IF(L81="","N/A - Not Detected",IF(AND(X81="",Y81="",Z81=""),"No Containment Action",IF(Z81="",IF(Y81&lt;&gt;"","C2 Persisted","Host Isolation Gap"),IF(AF81&lt;=AG81,"Contained - Within SLA","Contained - SLA Breach")))))</f>
        <v/>
      </c>
      <c r="AJ81" s="25" t="str">
        <f aca="false">IF(G81="","",IF(Z81&lt;&gt;"",1,0))</f>
        <v/>
      </c>
      <c r="AK81" s="34"/>
      <c r="AL81" s="34"/>
      <c r="AM81" s="35"/>
      <c r="AN81" s="34"/>
      <c r="AO81" s="34"/>
      <c r="AP81" s="35"/>
      <c r="AQ81" s="34"/>
      <c r="AR81" s="34"/>
      <c r="AS81" s="34"/>
      <c r="AT81" s="35"/>
      <c r="AU81" s="35"/>
    </row>
    <row r="82" customFormat="false" ht="15" hidden="false" customHeight="false" outlineLevel="0" collapsed="false">
      <c r="A82" s="24"/>
      <c r="B82" s="24"/>
      <c r="C82" s="24"/>
      <c r="D82" s="24"/>
      <c r="E82" s="24"/>
      <c r="F82" s="24"/>
      <c r="G82" s="24"/>
      <c r="H82" s="24"/>
      <c r="I82" s="32"/>
      <c r="J82" s="32"/>
      <c r="K82" s="32"/>
      <c r="L82" s="32"/>
      <c r="M82" s="24"/>
      <c r="N82" s="24"/>
      <c r="O82" s="24"/>
      <c r="P82" s="33" t="str">
        <f aca="false">IF(AND(G82&lt;&gt;"",I82&lt;&gt;"",J82&lt;&gt;""),(J82-I82)*1440,"")</f>
        <v/>
      </c>
      <c r="Q82" s="33" t="str">
        <f aca="false">IF(AND(G82&lt;&gt;"",J82&lt;&gt;"",K82&lt;&gt;""),(K82-J82)*1440,"")</f>
        <v/>
      </c>
      <c r="R82" s="33" t="str">
        <f aca="false">IF(AND(G82&lt;&gt;"",K82&lt;&gt;"",L82&lt;&gt;""),(L82-K82)*1440,"")</f>
        <v/>
      </c>
      <c r="S82" s="33" t="str">
        <f aca="false">IF(AND(G82&lt;&gt;"",I82&lt;&gt;"",L82&lt;&gt;""),(L82-I82)*1440,"")</f>
        <v/>
      </c>
      <c r="T82" s="33" t="str">
        <f aca="false">IF(G82="","",IFERROR(INDEX(Settings!$B$5:$B$8,MATCH(G82,Settings!$A$5:$A$8,0)),""))</f>
        <v/>
      </c>
      <c r="U82" s="25" t="str">
        <f aca="false">IF(G82="","",IF(S82="","No",IF(S82&lt;=T82,"Yes","No")))</f>
        <v/>
      </c>
      <c r="V82" s="25" t="str">
        <f aca="false">IF(G82="","",IF(AND(J82="",K82="",L82=""),"Telemetry Blind Spot",IF(AND(K82="",L82=""),"Missed Alert",IF(L82="","Triage Delay",IF(S82&lt;=T82,"Detected - Within SLA",IF(AND(R82&lt;&gt;"",R82&gt;IFERROR(INDEX(Settings!$C$5:$C$8,MATCH(G82,Settings!$A$5:$A$8,0)),1E+099)),"Triage Delay","Detected - SLA Breach"))))))</f>
        <v/>
      </c>
      <c r="W82" s="25" t="str">
        <f aca="false">IF(G82="","",IF(L82&lt;&gt;"",1,0))</f>
        <v/>
      </c>
      <c r="X82" s="32"/>
      <c r="Y82" s="32"/>
      <c r="Z82" s="32"/>
      <c r="AA82" s="24"/>
      <c r="AB82" s="24"/>
      <c r="AC82" s="33" t="str">
        <f aca="false">IF(AND(G82&lt;&gt;"",L82&lt;&gt;"",X82&lt;&gt;""),(X82-L82)*1440,"")</f>
        <v/>
      </c>
      <c r="AD82" s="33" t="str">
        <f aca="false">IF(AND(G82&lt;&gt;"",X82&lt;&gt;"",Y82&lt;&gt;""),(Y82-X82)*1440,"")</f>
        <v/>
      </c>
      <c r="AE82" s="33" t="str">
        <f aca="false">IF(AND(G82&lt;&gt;"",Y82&lt;&gt;"",Z82&lt;&gt;""),(Z82-Y82)*1440,"")</f>
        <v/>
      </c>
      <c r="AF82" s="33" t="str">
        <f aca="false">IF(AND(G82&lt;&gt;"",L82&lt;&gt;"",Z82&lt;&gt;""),(Z82-L82)*1440,"")</f>
        <v/>
      </c>
      <c r="AG82" s="33" t="str">
        <f aca="false">IF(G82="","",IFERROR(INDEX(Settings!$D$5:$D$8,MATCH(G82,Settings!$A$5:$A$8,0)),""))</f>
        <v/>
      </c>
      <c r="AH82" s="25" t="str">
        <f aca="false">IF(G82="","",IF(AF82="","No",IF(AF82&lt;=AG82,"Yes","No")))</f>
        <v/>
      </c>
      <c r="AI82" s="25" t="str">
        <f aca="false">IF(G82="","",IF(L82="","N/A - Not Detected",IF(AND(X82="",Y82="",Z82=""),"No Containment Action",IF(Z82="",IF(Y82&lt;&gt;"","C2 Persisted","Host Isolation Gap"),IF(AF82&lt;=AG82,"Contained - Within SLA","Contained - SLA Breach")))))</f>
        <v/>
      </c>
      <c r="AJ82" s="25" t="str">
        <f aca="false">IF(G82="","",IF(Z82&lt;&gt;"",1,0))</f>
        <v/>
      </c>
      <c r="AK82" s="34"/>
      <c r="AL82" s="34"/>
      <c r="AM82" s="35"/>
      <c r="AN82" s="34"/>
      <c r="AO82" s="34"/>
      <c r="AP82" s="35"/>
      <c r="AQ82" s="34"/>
      <c r="AR82" s="34"/>
      <c r="AS82" s="34"/>
      <c r="AT82" s="35"/>
      <c r="AU82" s="35"/>
    </row>
    <row r="83" customFormat="false" ht="15" hidden="false" customHeight="false" outlineLevel="0" collapsed="false">
      <c r="A83" s="24"/>
      <c r="B83" s="24"/>
      <c r="C83" s="24"/>
      <c r="D83" s="24"/>
      <c r="E83" s="24"/>
      <c r="F83" s="24"/>
      <c r="G83" s="24"/>
      <c r="H83" s="24"/>
      <c r="I83" s="32"/>
      <c r="J83" s="32"/>
      <c r="K83" s="32"/>
      <c r="L83" s="32"/>
      <c r="M83" s="24"/>
      <c r="N83" s="24"/>
      <c r="O83" s="24"/>
      <c r="P83" s="33" t="str">
        <f aca="false">IF(AND(G83&lt;&gt;"",I83&lt;&gt;"",J83&lt;&gt;""),(J83-I83)*1440,"")</f>
        <v/>
      </c>
      <c r="Q83" s="33" t="str">
        <f aca="false">IF(AND(G83&lt;&gt;"",J83&lt;&gt;"",K83&lt;&gt;""),(K83-J83)*1440,"")</f>
        <v/>
      </c>
      <c r="R83" s="33" t="str">
        <f aca="false">IF(AND(G83&lt;&gt;"",K83&lt;&gt;"",L83&lt;&gt;""),(L83-K83)*1440,"")</f>
        <v/>
      </c>
      <c r="S83" s="33" t="str">
        <f aca="false">IF(AND(G83&lt;&gt;"",I83&lt;&gt;"",L83&lt;&gt;""),(L83-I83)*1440,"")</f>
        <v/>
      </c>
      <c r="T83" s="33" t="str">
        <f aca="false">IF(G83="","",IFERROR(INDEX(Settings!$B$5:$B$8,MATCH(G83,Settings!$A$5:$A$8,0)),""))</f>
        <v/>
      </c>
      <c r="U83" s="25" t="str">
        <f aca="false">IF(G83="","",IF(S83="","No",IF(S83&lt;=T83,"Yes","No")))</f>
        <v/>
      </c>
      <c r="V83" s="25" t="str">
        <f aca="false">IF(G83="","",IF(AND(J83="",K83="",L83=""),"Telemetry Blind Spot",IF(AND(K83="",L83=""),"Missed Alert",IF(L83="","Triage Delay",IF(S83&lt;=T83,"Detected - Within SLA",IF(AND(R83&lt;&gt;"",R83&gt;IFERROR(INDEX(Settings!$C$5:$C$8,MATCH(G83,Settings!$A$5:$A$8,0)),1E+099)),"Triage Delay","Detected - SLA Breach"))))))</f>
        <v/>
      </c>
      <c r="W83" s="25" t="str">
        <f aca="false">IF(G83="","",IF(L83&lt;&gt;"",1,0))</f>
        <v/>
      </c>
      <c r="X83" s="32"/>
      <c r="Y83" s="32"/>
      <c r="Z83" s="32"/>
      <c r="AA83" s="24"/>
      <c r="AB83" s="24"/>
      <c r="AC83" s="33" t="str">
        <f aca="false">IF(AND(G83&lt;&gt;"",L83&lt;&gt;"",X83&lt;&gt;""),(X83-L83)*1440,"")</f>
        <v/>
      </c>
      <c r="AD83" s="33" t="str">
        <f aca="false">IF(AND(G83&lt;&gt;"",X83&lt;&gt;"",Y83&lt;&gt;""),(Y83-X83)*1440,"")</f>
        <v/>
      </c>
      <c r="AE83" s="33" t="str">
        <f aca="false">IF(AND(G83&lt;&gt;"",Y83&lt;&gt;"",Z83&lt;&gt;""),(Z83-Y83)*1440,"")</f>
        <v/>
      </c>
      <c r="AF83" s="33" t="str">
        <f aca="false">IF(AND(G83&lt;&gt;"",L83&lt;&gt;"",Z83&lt;&gt;""),(Z83-L83)*1440,"")</f>
        <v/>
      </c>
      <c r="AG83" s="33" t="str">
        <f aca="false">IF(G83="","",IFERROR(INDEX(Settings!$D$5:$D$8,MATCH(G83,Settings!$A$5:$A$8,0)),""))</f>
        <v/>
      </c>
      <c r="AH83" s="25" t="str">
        <f aca="false">IF(G83="","",IF(AF83="","No",IF(AF83&lt;=AG83,"Yes","No")))</f>
        <v/>
      </c>
      <c r="AI83" s="25" t="str">
        <f aca="false">IF(G83="","",IF(L83="","N/A - Not Detected",IF(AND(X83="",Y83="",Z83=""),"No Containment Action",IF(Z83="",IF(Y83&lt;&gt;"","C2 Persisted","Host Isolation Gap"),IF(AF83&lt;=AG83,"Contained - Within SLA","Contained - SLA Breach")))))</f>
        <v/>
      </c>
      <c r="AJ83" s="25" t="str">
        <f aca="false">IF(G83="","",IF(Z83&lt;&gt;"",1,0))</f>
        <v/>
      </c>
      <c r="AK83" s="34"/>
      <c r="AL83" s="34"/>
      <c r="AM83" s="35"/>
      <c r="AN83" s="34"/>
      <c r="AO83" s="34"/>
      <c r="AP83" s="35"/>
      <c r="AQ83" s="34"/>
      <c r="AR83" s="34"/>
      <c r="AS83" s="34"/>
      <c r="AT83" s="35"/>
      <c r="AU83" s="35"/>
    </row>
    <row r="84" customFormat="false" ht="15" hidden="false" customHeight="false" outlineLevel="0" collapsed="false">
      <c r="A84" s="24"/>
      <c r="B84" s="24"/>
      <c r="C84" s="24"/>
      <c r="D84" s="24"/>
      <c r="E84" s="24"/>
      <c r="F84" s="24"/>
      <c r="G84" s="24"/>
      <c r="H84" s="24"/>
      <c r="I84" s="32"/>
      <c r="J84" s="32"/>
      <c r="K84" s="32"/>
      <c r="L84" s="32"/>
      <c r="M84" s="24"/>
      <c r="N84" s="24"/>
      <c r="O84" s="24"/>
      <c r="P84" s="33" t="str">
        <f aca="false">IF(AND(G84&lt;&gt;"",I84&lt;&gt;"",J84&lt;&gt;""),(J84-I84)*1440,"")</f>
        <v/>
      </c>
      <c r="Q84" s="33" t="str">
        <f aca="false">IF(AND(G84&lt;&gt;"",J84&lt;&gt;"",K84&lt;&gt;""),(K84-J84)*1440,"")</f>
        <v/>
      </c>
      <c r="R84" s="33" t="str">
        <f aca="false">IF(AND(G84&lt;&gt;"",K84&lt;&gt;"",L84&lt;&gt;""),(L84-K84)*1440,"")</f>
        <v/>
      </c>
      <c r="S84" s="33" t="str">
        <f aca="false">IF(AND(G84&lt;&gt;"",I84&lt;&gt;"",L84&lt;&gt;""),(L84-I84)*1440,"")</f>
        <v/>
      </c>
      <c r="T84" s="33" t="str">
        <f aca="false">IF(G84="","",IFERROR(INDEX(Settings!$B$5:$B$8,MATCH(G84,Settings!$A$5:$A$8,0)),""))</f>
        <v/>
      </c>
      <c r="U84" s="25" t="str">
        <f aca="false">IF(G84="","",IF(S84="","No",IF(S84&lt;=T84,"Yes","No")))</f>
        <v/>
      </c>
      <c r="V84" s="25" t="str">
        <f aca="false">IF(G84="","",IF(AND(J84="",K84="",L84=""),"Telemetry Blind Spot",IF(AND(K84="",L84=""),"Missed Alert",IF(L84="","Triage Delay",IF(S84&lt;=T84,"Detected - Within SLA",IF(AND(R84&lt;&gt;"",R84&gt;IFERROR(INDEX(Settings!$C$5:$C$8,MATCH(G84,Settings!$A$5:$A$8,0)),1E+099)),"Triage Delay","Detected - SLA Breach"))))))</f>
        <v/>
      </c>
      <c r="W84" s="25" t="str">
        <f aca="false">IF(G84="","",IF(L84&lt;&gt;"",1,0))</f>
        <v/>
      </c>
      <c r="X84" s="32"/>
      <c r="Y84" s="32"/>
      <c r="Z84" s="32"/>
      <c r="AA84" s="24"/>
      <c r="AB84" s="24"/>
      <c r="AC84" s="33" t="str">
        <f aca="false">IF(AND(G84&lt;&gt;"",L84&lt;&gt;"",X84&lt;&gt;""),(X84-L84)*1440,"")</f>
        <v/>
      </c>
      <c r="AD84" s="33" t="str">
        <f aca="false">IF(AND(G84&lt;&gt;"",X84&lt;&gt;"",Y84&lt;&gt;""),(Y84-X84)*1440,"")</f>
        <v/>
      </c>
      <c r="AE84" s="33" t="str">
        <f aca="false">IF(AND(G84&lt;&gt;"",Y84&lt;&gt;"",Z84&lt;&gt;""),(Z84-Y84)*1440,"")</f>
        <v/>
      </c>
      <c r="AF84" s="33" t="str">
        <f aca="false">IF(AND(G84&lt;&gt;"",L84&lt;&gt;"",Z84&lt;&gt;""),(Z84-L84)*1440,"")</f>
        <v/>
      </c>
      <c r="AG84" s="33" t="str">
        <f aca="false">IF(G84="","",IFERROR(INDEX(Settings!$D$5:$D$8,MATCH(G84,Settings!$A$5:$A$8,0)),""))</f>
        <v/>
      </c>
      <c r="AH84" s="25" t="str">
        <f aca="false">IF(G84="","",IF(AF84="","No",IF(AF84&lt;=AG84,"Yes","No")))</f>
        <v/>
      </c>
      <c r="AI84" s="25" t="str">
        <f aca="false">IF(G84="","",IF(L84="","N/A - Not Detected",IF(AND(X84="",Y84="",Z84=""),"No Containment Action",IF(Z84="",IF(Y84&lt;&gt;"","C2 Persisted","Host Isolation Gap"),IF(AF84&lt;=AG84,"Contained - Within SLA","Contained - SLA Breach")))))</f>
        <v/>
      </c>
      <c r="AJ84" s="25" t="str">
        <f aca="false">IF(G84="","",IF(Z84&lt;&gt;"",1,0))</f>
        <v/>
      </c>
      <c r="AK84" s="34"/>
      <c r="AL84" s="34"/>
      <c r="AM84" s="35"/>
      <c r="AN84" s="34"/>
      <c r="AO84" s="34"/>
      <c r="AP84" s="35"/>
      <c r="AQ84" s="34"/>
      <c r="AR84" s="34"/>
      <c r="AS84" s="34"/>
      <c r="AT84" s="35"/>
      <c r="AU84" s="35"/>
    </row>
    <row r="85" customFormat="false" ht="15" hidden="false" customHeight="false" outlineLevel="0" collapsed="false">
      <c r="A85" s="24"/>
      <c r="B85" s="24"/>
      <c r="C85" s="24"/>
      <c r="D85" s="24"/>
      <c r="E85" s="24"/>
      <c r="F85" s="24"/>
      <c r="G85" s="24"/>
      <c r="H85" s="24"/>
      <c r="I85" s="32"/>
      <c r="J85" s="32"/>
      <c r="K85" s="32"/>
      <c r="L85" s="32"/>
      <c r="M85" s="24"/>
      <c r="N85" s="24"/>
      <c r="O85" s="24"/>
      <c r="P85" s="33" t="str">
        <f aca="false">IF(AND(G85&lt;&gt;"",I85&lt;&gt;"",J85&lt;&gt;""),(J85-I85)*1440,"")</f>
        <v/>
      </c>
      <c r="Q85" s="33" t="str">
        <f aca="false">IF(AND(G85&lt;&gt;"",J85&lt;&gt;"",K85&lt;&gt;""),(K85-J85)*1440,"")</f>
        <v/>
      </c>
      <c r="R85" s="33" t="str">
        <f aca="false">IF(AND(G85&lt;&gt;"",K85&lt;&gt;"",L85&lt;&gt;""),(L85-K85)*1440,"")</f>
        <v/>
      </c>
      <c r="S85" s="33" t="str">
        <f aca="false">IF(AND(G85&lt;&gt;"",I85&lt;&gt;"",L85&lt;&gt;""),(L85-I85)*1440,"")</f>
        <v/>
      </c>
      <c r="T85" s="33" t="str">
        <f aca="false">IF(G85="","",IFERROR(INDEX(Settings!$B$5:$B$8,MATCH(G85,Settings!$A$5:$A$8,0)),""))</f>
        <v/>
      </c>
      <c r="U85" s="25" t="str">
        <f aca="false">IF(G85="","",IF(S85="","No",IF(S85&lt;=T85,"Yes","No")))</f>
        <v/>
      </c>
      <c r="V85" s="25" t="str">
        <f aca="false">IF(G85="","",IF(AND(J85="",K85="",L85=""),"Telemetry Blind Spot",IF(AND(K85="",L85=""),"Missed Alert",IF(L85="","Triage Delay",IF(S85&lt;=T85,"Detected - Within SLA",IF(AND(R85&lt;&gt;"",R85&gt;IFERROR(INDEX(Settings!$C$5:$C$8,MATCH(G85,Settings!$A$5:$A$8,0)),1E+099)),"Triage Delay","Detected - SLA Breach"))))))</f>
        <v/>
      </c>
      <c r="W85" s="25" t="str">
        <f aca="false">IF(G85="","",IF(L85&lt;&gt;"",1,0))</f>
        <v/>
      </c>
      <c r="X85" s="32"/>
      <c r="Y85" s="32"/>
      <c r="Z85" s="32"/>
      <c r="AA85" s="24"/>
      <c r="AB85" s="24"/>
      <c r="AC85" s="33" t="str">
        <f aca="false">IF(AND(G85&lt;&gt;"",L85&lt;&gt;"",X85&lt;&gt;""),(X85-L85)*1440,"")</f>
        <v/>
      </c>
      <c r="AD85" s="33" t="str">
        <f aca="false">IF(AND(G85&lt;&gt;"",X85&lt;&gt;"",Y85&lt;&gt;""),(Y85-X85)*1440,"")</f>
        <v/>
      </c>
      <c r="AE85" s="33" t="str">
        <f aca="false">IF(AND(G85&lt;&gt;"",Y85&lt;&gt;"",Z85&lt;&gt;""),(Z85-Y85)*1440,"")</f>
        <v/>
      </c>
      <c r="AF85" s="33" t="str">
        <f aca="false">IF(AND(G85&lt;&gt;"",L85&lt;&gt;"",Z85&lt;&gt;""),(Z85-L85)*1440,"")</f>
        <v/>
      </c>
      <c r="AG85" s="33" t="str">
        <f aca="false">IF(G85="","",IFERROR(INDEX(Settings!$D$5:$D$8,MATCH(G85,Settings!$A$5:$A$8,0)),""))</f>
        <v/>
      </c>
      <c r="AH85" s="25" t="str">
        <f aca="false">IF(G85="","",IF(AF85="","No",IF(AF85&lt;=AG85,"Yes","No")))</f>
        <v/>
      </c>
      <c r="AI85" s="25" t="str">
        <f aca="false">IF(G85="","",IF(L85="","N/A - Not Detected",IF(AND(X85="",Y85="",Z85=""),"No Containment Action",IF(Z85="",IF(Y85&lt;&gt;"","C2 Persisted","Host Isolation Gap"),IF(AF85&lt;=AG85,"Contained - Within SLA","Contained - SLA Breach")))))</f>
        <v/>
      </c>
      <c r="AJ85" s="25" t="str">
        <f aca="false">IF(G85="","",IF(Z85&lt;&gt;"",1,0))</f>
        <v/>
      </c>
      <c r="AK85" s="34"/>
      <c r="AL85" s="34"/>
      <c r="AM85" s="35"/>
      <c r="AN85" s="34"/>
      <c r="AO85" s="34"/>
      <c r="AP85" s="35"/>
      <c r="AQ85" s="34"/>
      <c r="AR85" s="34"/>
      <c r="AS85" s="34"/>
      <c r="AT85" s="35"/>
      <c r="AU85" s="35"/>
    </row>
    <row r="86" customFormat="false" ht="15" hidden="false" customHeight="false" outlineLevel="0" collapsed="false">
      <c r="A86" s="24"/>
      <c r="B86" s="24"/>
      <c r="C86" s="24"/>
      <c r="D86" s="24"/>
      <c r="E86" s="24"/>
      <c r="F86" s="24"/>
      <c r="G86" s="24"/>
      <c r="H86" s="24"/>
      <c r="I86" s="32"/>
      <c r="J86" s="32"/>
      <c r="K86" s="32"/>
      <c r="L86" s="32"/>
      <c r="M86" s="24"/>
      <c r="N86" s="24"/>
      <c r="O86" s="24"/>
      <c r="P86" s="33" t="str">
        <f aca="false">IF(AND(G86&lt;&gt;"",I86&lt;&gt;"",J86&lt;&gt;""),(J86-I86)*1440,"")</f>
        <v/>
      </c>
      <c r="Q86" s="33" t="str">
        <f aca="false">IF(AND(G86&lt;&gt;"",J86&lt;&gt;"",K86&lt;&gt;""),(K86-J86)*1440,"")</f>
        <v/>
      </c>
      <c r="R86" s="33" t="str">
        <f aca="false">IF(AND(G86&lt;&gt;"",K86&lt;&gt;"",L86&lt;&gt;""),(L86-K86)*1440,"")</f>
        <v/>
      </c>
      <c r="S86" s="33" t="str">
        <f aca="false">IF(AND(G86&lt;&gt;"",I86&lt;&gt;"",L86&lt;&gt;""),(L86-I86)*1440,"")</f>
        <v/>
      </c>
      <c r="T86" s="33" t="str">
        <f aca="false">IF(G86="","",IFERROR(INDEX(Settings!$B$5:$B$8,MATCH(G86,Settings!$A$5:$A$8,0)),""))</f>
        <v/>
      </c>
      <c r="U86" s="25" t="str">
        <f aca="false">IF(G86="","",IF(S86="","No",IF(S86&lt;=T86,"Yes","No")))</f>
        <v/>
      </c>
      <c r="V86" s="25" t="str">
        <f aca="false">IF(G86="","",IF(AND(J86="",K86="",L86=""),"Telemetry Blind Spot",IF(AND(K86="",L86=""),"Missed Alert",IF(L86="","Triage Delay",IF(S86&lt;=T86,"Detected - Within SLA",IF(AND(R86&lt;&gt;"",R86&gt;IFERROR(INDEX(Settings!$C$5:$C$8,MATCH(G86,Settings!$A$5:$A$8,0)),1E+099)),"Triage Delay","Detected - SLA Breach"))))))</f>
        <v/>
      </c>
      <c r="W86" s="25" t="str">
        <f aca="false">IF(G86="","",IF(L86&lt;&gt;"",1,0))</f>
        <v/>
      </c>
      <c r="X86" s="32"/>
      <c r="Y86" s="32"/>
      <c r="Z86" s="32"/>
      <c r="AA86" s="24"/>
      <c r="AB86" s="24"/>
      <c r="AC86" s="33" t="str">
        <f aca="false">IF(AND(G86&lt;&gt;"",L86&lt;&gt;"",X86&lt;&gt;""),(X86-L86)*1440,"")</f>
        <v/>
      </c>
      <c r="AD86" s="33" t="str">
        <f aca="false">IF(AND(G86&lt;&gt;"",X86&lt;&gt;"",Y86&lt;&gt;""),(Y86-X86)*1440,"")</f>
        <v/>
      </c>
      <c r="AE86" s="33" t="str">
        <f aca="false">IF(AND(G86&lt;&gt;"",Y86&lt;&gt;"",Z86&lt;&gt;""),(Z86-Y86)*1440,"")</f>
        <v/>
      </c>
      <c r="AF86" s="33" t="str">
        <f aca="false">IF(AND(G86&lt;&gt;"",L86&lt;&gt;"",Z86&lt;&gt;""),(Z86-L86)*1440,"")</f>
        <v/>
      </c>
      <c r="AG86" s="33" t="str">
        <f aca="false">IF(G86="","",IFERROR(INDEX(Settings!$D$5:$D$8,MATCH(G86,Settings!$A$5:$A$8,0)),""))</f>
        <v/>
      </c>
      <c r="AH86" s="25" t="str">
        <f aca="false">IF(G86="","",IF(AF86="","No",IF(AF86&lt;=AG86,"Yes","No")))</f>
        <v/>
      </c>
      <c r="AI86" s="25" t="str">
        <f aca="false">IF(G86="","",IF(L86="","N/A - Not Detected",IF(AND(X86="",Y86="",Z86=""),"No Containment Action",IF(Z86="",IF(Y86&lt;&gt;"","C2 Persisted","Host Isolation Gap"),IF(AF86&lt;=AG86,"Contained - Within SLA","Contained - SLA Breach")))))</f>
        <v/>
      </c>
      <c r="AJ86" s="25" t="str">
        <f aca="false">IF(G86="","",IF(Z86&lt;&gt;"",1,0))</f>
        <v/>
      </c>
      <c r="AK86" s="34"/>
      <c r="AL86" s="34"/>
      <c r="AM86" s="35"/>
      <c r="AN86" s="34"/>
      <c r="AO86" s="34"/>
      <c r="AP86" s="35"/>
      <c r="AQ86" s="34"/>
      <c r="AR86" s="34"/>
      <c r="AS86" s="34"/>
      <c r="AT86" s="35"/>
      <c r="AU86" s="35"/>
    </row>
    <row r="87" customFormat="false" ht="15" hidden="false" customHeight="false" outlineLevel="0" collapsed="false">
      <c r="A87" s="24"/>
      <c r="B87" s="24"/>
      <c r="C87" s="24"/>
      <c r="D87" s="24"/>
      <c r="E87" s="24"/>
      <c r="F87" s="24"/>
      <c r="G87" s="24"/>
      <c r="H87" s="24"/>
      <c r="I87" s="32"/>
      <c r="J87" s="32"/>
      <c r="K87" s="32"/>
      <c r="L87" s="32"/>
      <c r="M87" s="24"/>
      <c r="N87" s="24"/>
      <c r="O87" s="24"/>
      <c r="P87" s="33" t="str">
        <f aca="false">IF(AND(G87&lt;&gt;"",I87&lt;&gt;"",J87&lt;&gt;""),(J87-I87)*1440,"")</f>
        <v/>
      </c>
      <c r="Q87" s="33" t="str">
        <f aca="false">IF(AND(G87&lt;&gt;"",J87&lt;&gt;"",K87&lt;&gt;""),(K87-J87)*1440,"")</f>
        <v/>
      </c>
      <c r="R87" s="33" t="str">
        <f aca="false">IF(AND(G87&lt;&gt;"",K87&lt;&gt;"",L87&lt;&gt;""),(L87-K87)*1440,"")</f>
        <v/>
      </c>
      <c r="S87" s="33" t="str">
        <f aca="false">IF(AND(G87&lt;&gt;"",I87&lt;&gt;"",L87&lt;&gt;""),(L87-I87)*1440,"")</f>
        <v/>
      </c>
      <c r="T87" s="33" t="str">
        <f aca="false">IF(G87="","",IFERROR(INDEX(Settings!$B$5:$B$8,MATCH(G87,Settings!$A$5:$A$8,0)),""))</f>
        <v/>
      </c>
      <c r="U87" s="25" t="str">
        <f aca="false">IF(G87="","",IF(S87="","No",IF(S87&lt;=T87,"Yes","No")))</f>
        <v/>
      </c>
      <c r="V87" s="25" t="str">
        <f aca="false">IF(G87="","",IF(AND(J87="",K87="",L87=""),"Telemetry Blind Spot",IF(AND(K87="",L87=""),"Missed Alert",IF(L87="","Triage Delay",IF(S87&lt;=T87,"Detected - Within SLA",IF(AND(R87&lt;&gt;"",R87&gt;IFERROR(INDEX(Settings!$C$5:$C$8,MATCH(G87,Settings!$A$5:$A$8,0)),1E+099)),"Triage Delay","Detected - SLA Breach"))))))</f>
        <v/>
      </c>
      <c r="W87" s="25" t="str">
        <f aca="false">IF(G87="","",IF(L87&lt;&gt;"",1,0))</f>
        <v/>
      </c>
      <c r="X87" s="32"/>
      <c r="Y87" s="32"/>
      <c r="Z87" s="32"/>
      <c r="AA87" s="24"/>
      <c r="AB87" s="24"/>
      <c r="AC87" s="33" t="str">
        <f aca="false">IF(AND(G87&lt;&gt;"",L87&lt;&gt;"",X87&lt;&gt;""),(X87-L87)*1440,"")</f>
        <v/>
      </c>
      <c r="AD87" s="33" t="str">
        <f aca="false">IF(AND(G87&lt;&gt;"",X87&lt;&gt;"",Y87&lt;&gt;""),(Y87-X87)*1440,"")</f>
        <v/>
      </c>
      <c r="AE87" s="33" t="str">
        <f aca="false">IF(AND(G87&lt;&gt;"",Y87&lt;&gt;"",Z87&lt;&gt;""),(Z87-Y87)*1440,"")</f>
        <v/>
      </c>
      <c r="AF87" s="33" t="str">
        <f aca="false">IF(AND(G87&lt;&gt;"",L87&lt;&gt;"",Z87&lt;&gt;""),(Z87-L87)*1440,"")</f>
        <v/>
      </c>
      <c r="AG87" s="33" t="str">
        <f aca="false">IF(G87="","",IFERROR(INDEX(Settings!$D$5:$D$8,MATCH(G87,Settings!$A$5:$A$8,0)),""))</f>
        <v/>
      </c>
      <c r="AH87" s="25" t="str">
        <f aca="false">IF(G87="","",IF(AF87="","No",IF(AF87&lt;=AG87,"Yes","No")))</f>
        <v/>
      </c>
      <c r="AI87" s="25" t="str">
        <f aca="false">IF(G87="","",IF(L87="","N/A - Not Detected",IF(AND(X87="",Y87="",Z87=""),"No Containment Action",IF(Z87="",IF(Y87&lt;&gt;"","C2 Persisted","Host Isolation Gap"),IF(AF87&lt;=AG87,"Contained - Within SLA","Contained - SLA Breach")))))</f>
        <v/>
      </c>
      <c r="AJ87" s="25" t="str">
        <f aca="false">IF(G87="","",IF(Z87&lt;&gt;"",1,0))</f>
        <v/>
      </c>
      <c r="AK87" s="34"/>
      <c r="AL87" s="34"/>
      <c r="AM87" s="35"/>
      <c r="AN87" s="34"/>
      <c r="AO87" s="34"/>
      <c r="AP87" s="35"/>
      <c r="AQ87" s="34"/>
      <c r="AR87" s="34"/>
      <c r="AS87" s="34"/>
      <c r="AT87" s="35"/>
      <c r="AU87" s="35"/>
    </row>
    <row r="88" customFormat="false" ht="15" hidden="false" customHeight="false" outlineLevel="0" collapsed="false">
      <c r="A88" s="24"/>
      <c r="B88" s="24"/>
      <c r="C88" s="24"/>
      <c r="D88" s="24"/>
      <c r="E88" s="24"/>
      <c r="F88" s="24"/>
      <c r="G88" s="24"/>
      <c r="H88" s="24"/>
      <c r="I88" s="32"/>
      <c r="J88" s="32"/>
      <c r="K88" s="32"/>
      <c r="L88" s="32"/>
      <c r="M88" s="24"/>
      <c r="N88" s="24"/>
      <c r="O88" s="24"/>
      <c r="P88" s="33" t="str">
        <f aca="false">IF(AND(G88&lt;&gt;"",I88&lt;&gt;"",J88&lt;&gt;""),(J88-I88)*1440,"")</f>
        <v/>
      </c>
      <c r="Q88" s="33" t="str">
        <f aca="false">IF(AND(G88&lt;&gt;"",J88&lt;&gt;"",K88&lt;&gt;""),(K88-J88)*1440,"")</f>
        <v/>
      </c>
      <c r="R88" s="33" t="str">
        <f aca="false">IF(AND(G88&lt;&gt;"",K88&lt;&gt;"",L88&lt;&gt;""),(L88-K88)*1440,"")</f>
        <v/>
      </c>
      <c r="S88" s="33" t="str">
        <f aca="false">IF(AND(G88&lt;&gt;"",I88&lt;&gt;"",L88&lt;&gt;""),(L88-I88)*1440,"")</f>
        <v/>
      </c>
      <c r="T88" s="33" t="str">
        <f aca="false">IF(G88="","",IFERROR(INDEX(Settings!$B$5:$B$8,MATCH(G88,Settings!$A$5:$A$8,0)),""))</f>
        <v/>
      </c>
      <c r="U88" s="25" t="str">
        <f aca="false">IF(G88="","",IF(S88="","No",IF(S88&lt;=T88,"Yes","No")))</f>
        <v/>
      </c>
      <c r="V88" s="25" t="str">
        <f aca="false">IF(G88="","",IF(AND(J88="",K88="",L88=""),"Telemetry Blind Spot",IF(AND(K88="",L88=""),"Missed Alert",IF(L88="","Triage Delay",IF(S88&lt;=T88,"Detected - Within SLA",IF(AND(R88&lt;&gt;"",R88&gt;IFERROR(INDEX(Settings!$C$5:$C$8,MATCH(G88,Settings!$A$5:$A$8,0)),1E+099)),"Triage Delay","Detected - SLA Breach"))))))</f>
        <v/>
      </c>
      <c r="W88" s="25" t="str">
        <f aca="false">IF(G88="","",IF(L88&lt;&gt;"",1,0))</f>
        <v/>
      </c>
      <c r="X88" s="32"/>
      <c r="Y88" s="32"/>
      <c r="Z88" s="32"/>
      <c r="AA88" s="24"/>
      <c r="AB88" s="24"/>
      <c r="AC88" s="33" t="str">
        <f aca="false">IF(AND(G88&lt;&gt;"",L88&lt;&gt;"",X88&lt;&gt;""),(X88-L88)*1440,"")</f>
        <v/>
      </c>
      <c r="AD88" s="33" t="str">
        <f aca="false">IF(AND(G88&lt;&gt;"",X88&lt;&gt;"",Y88&lt;&gt;""),(Y88-X88)*1440,"")</f>
        <v/>
      </c>
      <c r="AE88" s="33" t="str">
        <f aca="false">IF(AND(G88&lt;&gt;"",Y88&lt;&gt;"",Z88&lt;&gt;""),(Z88-Y88)*1440,"")</f>
        <v/>
      </c>
      <c r="AF88" s="33" t="str">
        <f aca="false">IF(AND(G88&lt;&gt;"",L88&lt;&gt;"",Z88&lt;&gt;""),(Z88-L88)*1440,"")</f>
        <v/>
      </c>
      <c r="AG88" s="33" t="str">
        <f aca="false">IF(G88="","",IFERROR(INDEX(Settings!$D$5:$D$8,MATCH(G88,Settings!$A$5:$A$8,0)),""))</f>
        <v/>
      </c>
      <c r="AH88" s="25" t="str">
        <f aca="false">IF(G88="","",IF(AF88="","No",IF(AF88&lt;=AG88,"Yes","No")))</f>
        <v/>
      </c>
      <c r="AI88" s="25" t="str">
        <f aca="false">IF(G88="","",IF(L88="","N/A - Not Detected",IF(AND(X88="",Y88="",Z88=""),"No Containment Action",IF(Z88="",IF(Y88&lt;&gt;"","C2 Persisted","Host Isolation Gap"),IF(AF88&lt;=AG88,"Contained - Within SLA","Contained - SLA Breach")))))</f>
        <v/>
      </c>
      <c r="AJ88" s="25" t="str">
        <f aca="false">IF(G88="","",IF(Z88&lt;&gt;"",1,0))</f>
        <v/>
      </c>
      <c r="AK88" s="34"/>
      <c r="AL88" s="34"/>
      <c r="AM88" s="35"/>
      <c r="AN88" s="34"/>
      <c r="AO88" s="34"/>
      <c r="AP88" s="35"/>
      <c r="AQ88" s="34"/>
      <c r="AR88" s="34"/>
      <c r="AS88" s="34"/>
      <c r="AT88" s="35"/>
      <c r="AU88" s="35"/>
    </row>
    <row r="89" customFormat="false" ht="15" hidden="false" customHeight="false" outlineLevel="0" collapsed="false">
      <c r="A89" s="24"/>
      <c r="B89" s="24"/>
      <c r="C89" s="24"/>
      <c r="D89" s="24"/>
      <c r="E89" s="24"/>
      <c r="F89" s="24"/>
      <c r="G89" s="24"/>
      <c r="H89" s="24"/>
      <c r="I89" s="32"/>
      <c r="J89" s="32"/>
      <c r="K89" s="32"/>
      <c r="L89" s="32"/>
      <c r="M89" s="24"/>
      <c r="N89" s="24"/>
      <c r="O89" s="24"/>
      <c r="P89" s="33" t="str">
        <f aca="false">IF(AND(G89&lt;&gt;"",I89&lt;&gt;"",J89&lt;&gt;""),(J89-I89)*1440,"")</f>
        <v/>
      </c>
      <c r="Q89" s="33" t="str">
        <f aca="false">IF(AND(G89&lt;&gt;"",J89&lt;&gt;"",K89&lt;&gt;""),(K89-J89)*1440,"")</f>
        <v/>
      </c>
      <c r="R89" s="33" t="str">
        <f aca="false">IF(AND(G89&lt;&gt;"",K89&lt;&gt;"",L89&lt;&gt;""),(L89-K89)*1440,"")</f>
        <v/>
      </c>
      <c r="S89" s="33" t="str">
        <f aca="false">IF(AND(G89&lt;&gt;"",I89&lt;&gt;"",L89&lt;&gt;""),(L89-I89)*1440,"")</f>
        <v/>
      </c>
      <c r="T89" s="33" t="str">
        <f aca="false">IF(G89="","",IFERROR(INDEX(Settings!$B$5:$B$8,MATCH(G89,Settings!$A$5:$A$8,0)),""))</f>
        <v/>
      </c>
      <c r="U89" s="25" t="str">
        <f aca="false">IF(G89="","",IF(S89="","No",IF(S89&lt;=T89,"Yes","No")))</f>
        <v/>
      </c>
      <c r="V89" s="25" t="str">
        <f aca="false">IF(G89="","",IF(AND(J89="",K89="",L89=""),"Telemetry Blind Spot",IF(AND(K89="",L89=""),"Missed Alert",IF(L89="","Triage Delay",IF(S89&lt;=T89,"Detected - Within SLA",IF(AND(R89&lt;&gt;"",R89&gt;IFERROR(INDEX(Settings!$C$5:$C$8,MATCH(G89,Settings!$A$5:$A$8,0)),1E+099)),"Triage Delay","Detected - SLA Breach"))))))</f>
        <v/>
      </c>
      <c r="W89" s="25" t="str">
        <f aca="false">IF(G89="","",IF(L89&lt;&gt;"",1,0))</f>
        <v/>
      </c>
      <c r="X89" s="32"/>
      <c r="Y89" s="32"/>
      <c r="Z89" s="32"/>
      <c r="AA89" s="24"/>
      <c r="AB89" s="24"/>
      <c r="AC89" s="33" t="str">
        <f aca="false">IF(AND(G89&lt;&gt;"",L89&lt;&gt;"",X89&lt;&gt;""),(X89-L89)*1440,"")</f>
        <v/>
      </c>
      <c r="AD89" s="33" t="str">
        <f aca="false">IF(AND(G89&lt;&gt;"",X89&lt;&gt;"",Y89&lt;&gt;""),(Y89-X89)*1440,"")</f>
        <v/>
      </c>
      <c r="AE89" s="33" t="str">
        <f aca="false">IF(AND(G89&lt;&gt;"",Y89&lt;&gt;"",Z89&lt;&gt;""),(Z89-Y89)*1440,"")</f>
        <v/>
      </c>
      <c r="AF89" s="33" t="str">
        <f aca="false">IF(AND(G89&lt;&gt;"",L89&lt;&gt;"",Z89&lt;&gt;""),(Z89-L89)*1440,"")</f>
        <v/>
      </c>
      <c r="AG89" s="33" t="str">
        <f aca="false">IF(G89="","",IFERROR(INDEX(Settings!$D$5:$D$8,MATCH(G89,Settings!$A$5:$A$8,0)),""))</f>
        <v/>
      </c>
      <c r="AH89" s="25" t="str">
        <f aca="false">IF(G89="","",IF(AF89="","No",IF(AF89&lt;=AG89,"Yes","No")))</f>
        <v/>
      </c>
      <c r="AI89" s="25" t="str">
        <f aca="false">IF(G89="","",IF(L89="","N/A - Not Detected",IF(AND(X89="",Y89="",Z89=""),"No Containment Action",IF(Z89="",IF(Y89&lt;&gt;"","C2 Persisted","Host Isolation Gap"),IF(AF89&lt;=AG89,"Contained - Within SLA","Contained - SLA Breach")))))</f>
        <v/>
      </c>
      <c r="AJ89" s="25" t="str">
        <f aca="false">IF(G89="","",IF(Z89&lt;&gt;"",1,0))</f>
        <v/>
      </c>
      <c r="AK89" s="34"/>
      <c r="AL89" s="34"/>
      <c r="AM89" s="35"/>
      <c r="AN89" s="34"/>
      <c r="AO89" s="34"/>
      <c r="AP89" s="35"/>
      <c r="AQ89" s="34"/>
      <c r="AR89" s="34"/>
      <c r="AS89" s="34"/>
      <c r="AT89" s="35"/>
      <c r="AU89" s="35"/>
    </row>
    <row r="90" customFormat="false" ht="15" hidden="false" customHeight="false" outlineLevel="0" collapsed="false">
      <c r="A90" s="24"/>
      <c r="B90" s="24"/>
      <c r="C90" s="24"/>
      <c r="D90" s="24"/>
      <c r="E90" s="24"/>
      <c r="F90" s="24"/>
      <c r="G90" s="24"/>
      <c r="H90" s="24"/>
      <c r="I90" s="32"/>
      <c r="J90" s="32"/>
      <c r="K90" s="32"/>
      <c r="L90" s="32"/>
      <c r="M90" s="24"/>
      <c r="N90" s="24"/>
      <c r="O90" s="24"/>
      <c r="P90" s="33" t="str">
        <f aca="false">IF(AND(G90&lt;&gt;"",I90&lt;&gt;"",J90&lt;&gt;""),(J90-I90)*1440,"")</f>
        <v/>
      </c>
      <c r="Q90" s="33" t="str">
        <f aca="false">IF(AND(G90&lt;&gt;"",J90&lt;&gt;"",K90&lt;&gt;""),(K90-J90)*1440,"")</f>
        <v/>
      </c>
      <c r="R90" s="33" t="str">
        <f aca="false">IF(AND(G90&lt;&gt;"",K90&lt;&gt;"",L90&lt;&gt;""),(L90-K90)*1440,"")</f>
        <v/>
      </c>
      <c r="S90" s="33" t="str">
        <f aca="false">IF(AND(G90&lt;&gt;"",I90&lt;&gt;"",L90&lt;&gt;""),(L90-I90)*1440,"")</f>
        <v/>
      </c>
      <c r="T90" s="33" t="str">
        <f aca="false">IF(G90="","",IFERROR(INDEX(Settings!$B$5:$B$8,MATCH(G90,Settings!$A$5:$A$8,0)),""))</f>
        <v/>
      </c>
      <c r="U90" s="25" t="str">
        <f aca="false">IF(G90="","",IF(S90="","No",IF(S90&lt;=T90,"Yes","No")))</f>
        <v/>
      </c>
      <c r="V90" s="25" t="str">
        <f aca="false">IF(G90="","",IF(AND(J90="",K90="",L90=""),"Telemetry Blind Spot",IF(AND(K90="",L90=""),"Missed Alert",IF(L90="","Triage Delay",IF(S90&lt;=T90,"Detected - Within SLA",IF(AND(R90&lt;&gt;"",R90&gt;IFERROR(INDEX(Settings!$C$5:$C$8,MATCH(G90,Settings!$A$5:$A$8,0)),1E+099)),"Triage Delay","Detected - SLA Breach"))))))</f>
        <v/>
      </c>
      <c r="W90" s="25" t="str">
        <f aca="false">IF(G90="","",IF(L90&lt;&gt;"",1,0))</f>
        <v/>
      </c>
      <c r="X90" s="32"/>
      <c r="Y90" s="32"/>
      <c r="Z90" s="32"/>
      <c r="AA90" s="24"/>
      <c r="AB90" s="24"/>
      <c r="AC90" s="33" t="str">
        <f aca="false">IF(AND(G90&lt;&gt;"",L90&lt;&gt;"",X90&lt;&gt;""),(X90-L90)*1440,"")</f>
        <v/>
      </c>
      <c r="AD90" s="33" t="str">
        <f aca="false">IF(AND(G90&lt;&gt;"",X90&lt;&gt;"",Y90&lt;&gt;""),(Y90-X90)*1440,"")</f>
        <v/>
      </c>
      <c r="AE90" s="33" t="str">
        <f aca="false">IF(AND(G90&lt;&gt;"",Y90&lt;&gt;"",Z90&lt;&gt;""),(Z90-Y90)*1440,"")</f>
        <v/>
      </c>
      <c r="AF90" s="33" t="str">
        <f aca="false">IF(AND(G90&lt;&gt;"",L90&lt;&gt;"",Z90&lt;&gt;""),(Z90-L90)*1440,"")</f>
        <v/>
      </c>
      <c r="AG90" s="33" t="str">
        <f aca="false">IF(G90="","",IFERROR(INDEX(Settings!$D$5:$D$8,MATCH(G90,Settings!$A$5:$A$8,0)),""))</f>
        <v/>
      </c>
      <c r="AH90" s="25" t="str">
        <f aca="false">IF(G90="","",IF(AF90="","No",IF(AF90&lt;=AG90,"Yes","No")))</f>
        <v/>
      </c>
      <c r="AI90" s="25" t="str">
        <f aca="false">IF(G90="","",IF(L90="","N/A - Not Detected",IF(AND(X90="",Y90="",Z90=""),"No Containment Action",IF(Z90="",IF(Y90&lt;&gt;"","C2 Persisted","Host Isolation Gap"),IF(AF90&lt;=AG90,"Contained - Within SLA","Contained - SLA Breach")))))</f>
        <v/>
      </c>
      <c r="AJ90" s="25" t="str">
        <f aca="false">IF(G90="","",IF(Z90&lt;&gt;"",1,0))</f>
        <v/>
      </c>
      <c r="AK90" s="34"/>
      <c r="AL90" s="34"/>
      <c r="AM90" s="35"/>
      <c r="AN90" s="34"/>
      <c r="AO90" s="34"/>
      <c r="AP90" s="35"/>
      <c r="AQ90" s="34"/>
      <c r="AR90" s="34"/>
      <c r="AS90" s="34"/>
      <c r="AT90" s="35"/>
      <c r="AU90" s="35"/>
    </row>
    <row r="91" customFormat="false" ht="15" hidden="false" customHeight="false" outlineLevel="0" collapsed="false">
      <c r="A91" s="24"/>
      <c r="B91" s="24"/>
      <c r="C91" s="24"/>
      <c r="D91" s="24"/>
      <c r="E91" s="24"/>
      <c r="F91" s="24"/>
      <c r="G91" s="24"/>
      <c r="H91" s="24"/>
      <c r="I91" s="32"/>
      <c r="J91" s="32"/>
      <c r="K91" s="32"/>
      <c r="L91" s="32"/>
      <c r="M91" s="24"/>
      <c r="N91" s="24"/>
      <c r="O91" s="24"/>
      <c r="P91" s="33" t="str">
        <f aca="false">IF(AND(G91&lt;&gt;"",I91&lt;&gt;"",J91&lt;&gt;""),(J91-I91)*1440,"")</f>
        <v/>
      </c>
      <c r="Q91" s="33" t="str">
        <f aca="false">IF(AND(G91&lt;&gt;"",J91&lt;&gt;"",K91&lt;&gt;""),(K91-J91)*1440,"")</f>
        <v/>
      </c>
      <c r="R91" s="33" t="str">
        <f aca="false">IF(AND(G91&lt;&gt;"",K91&lt;&gt;"",L91&lt;&gt;""),(L91-K91)*1440,"")</f>
        <v/>
      </c>
      <c r="S91" s="33" t="str">
        <f aca="false">IF(AND(G91&lt;&gt;"",I91&lt;&gt;"",L91&lt;&gt;""),(L91-I91)*1440,"")</f>
        <v/>
      </c>
      <c r="T91" s="33" t="str">
        <f aca="false">IF(G91="","",IFERROR(INDEX(Settings!$B$5:$B$8,MATCH(G91,Settings!$A$5:$A$8,0)),""))</f>
        <v/>
      </c>
      <c r="U91" s="25" t="str">
        <f aca="false">IF(G91="","",IF(S91="","No",IF(S91&lt;=T91,"Yes","No")))</f>
        <v/>
      </c>
      <c r="V91" s="25" t="str">
        <f aca="false">IF(G91="","",IF(AND(J91="",K91="",L91=""),"Telemetry Blind Spot",IF(AND(K91="",L91=""),"Missed Alert",IF(L91="","Triage Delay",IF(S91&lt;=T91,"Detected - Within SLA",IF(AND(R91&lt;&gt;"",R91&gt;IFERROR(INDEX(Settings!$C$5:$C$8,MATCH(G91,Settings!$A$5:$A$8,0)),1E+099)),"Triage Delay","Detected - SLA Breach"))))))</f>
        <v/>
      </c>
      <c r="W91" s="25" t="str">
        <f aca="false">IF(G91="","",IF(L91&lt;&gt;"",1,0))</f>
        <v/>
      </c>
      <c r="X91" s="32"/>
      <c r="Y91" s="32"/>
      <c r="Z91" s="32"/>
      <c r="AA91" s="24"/>
      <c r="AB91" s="24"/>
      <c r="AC91" s="33" t="str">
        <f aca="false">IF(AND(G91&lt;&gt;"",L91&lt;&gt;"",X91&lt;&gt;""),(X91-L91)*1440,"")</f>
        <v/>
      </c>
      <c r="AD91" s="33" t="str">
        <f aca="false">IF(AND(G91&lt;&gt;"",X91&lt;&gt;"",Y91&lt;&gt;""),(Y91-X91)*1440,"")</f>
        <v/>
      </c>
      <c r="AE91" s="33" t="str">
        <f aca="false">IF(AND(G91&lt;&gt;"",Y91&lt;&gt;"",Z91&lt;&gt;""),(Z91-Y91)*1440,"")</f>
        <v/>
      </c>
      <c r="AF91" s="33" t="str">
        <f aca="false">IF(AND(G91&lt;&gt;"",L91&lt;&gt;"",Z91&lt;&gt;""),(Z91-L91)*1440,"")</f>
        <v/>
      </c>
      <c r="AG91" s="33" t="str">
        <f aca="false">IF(G91="","",IFERROR(INDEX(Settings!$D$5:$D$8,MATCH(G91,Settings!$A$5:$A$8,0)),""))</f>
        <v/>
      </c>
      <c r="AH91" s="25" t="str">
        <f aca="false">IF(G91="","",IF(AF91="","No",IF(AF91&lt;=AG91,"Yes","No")))</f>
        <v/>
      </c>
      <c r="AI91" s="25" t="str">
        <f aca="false">IF(G91="","",IF(L91="","N/A - Not Detected",IF(AND(X91="",Y91="",Z91=""),"No Containment Action",IF(Z91="",IF(Y91&lt;&gt;"","C2 Persisted","Host Isolation Gap"),IF(AF91&lt;=AG91,"Contained - Within SLA","Contained - SLA Breach")))))</f>
        <v/>
      </c>
      <c r="AJ91" s="25" t="str">
        <f aca="false">IF(G91="","",IF(Z91&lt;&gt;"",1,0))</f>
        <v/>
      </c>
      <c r="AK91" s="34"/>
      <c r="AL91" s="34"/>
      <c r="AM91" s="35"/>
      <c r="AN91" s="34"/>
      <c r="AO91" s="34"/>
      <c r="AP91" s="35"/>
      <c r="AQ91" s="34"/>
      <c r="AR91" s="34"/>
      <c r="AS91" s="34"/>
      <c r="AT91" s="35"/>
      <c r="AU91" s="35"/>
    </row>
    <row r="92" customFormat="false" ht="15" hidden="false" customHeight="false" outlineLevel="0" collapsed="false">
      <c r="A92" s="24"/>
      <c r="B92" s="24"/>
      <c r="C92" s="24"/>
      <c r="D92" s="24"/>
      <c r="E92" s="24"/>
      <c r="F92" s="24"/>
      <c r="G92" s="24"/>
      <c r="H92" s="24"/>
      <c r="I92" s="32"/>
      <c r="J92" s="32"/>
      <c r="K92" s="32"/>
      <c r="L92" s="32"/>
      <c r="M92" s="24"/>
      <c r="N92" s="24"/>
      <c r="O92" s="24"/>
      <c r="P92" s="33" t="str">
        <f aca="false">IF(AND(G92&lt;&gt;"",I92&lt;&gt;"",J92&lt;&gt;""),(J92-I92)*1440,"")</f>
        <v/>
      </c>
      <c r="Q92" s="33" t="str">
        <f aca="false">IF(AND(G92&lt;&gt;"",J92&lt;&gt;"",K92&lt;&gt;""),(K92-J92)*1440,"")</f>
        <v/>
      </c>
      <c r="R92" s="33" t="str">
        <f aca="false">IF(AND(G92&lt;&gt;"",K92&lt;&gt;"",L92&lt;&gt;""),(L92-K92)*1440,"")</f>
        <v/>
      </c>
      <c r="S92" s="33" t="str">
        <f aca="false">IF(AND(G92&lt;&gt;"",I92&lt;&gt;"",L92&lt;&gt;""),(L92-I92)*1440,"")</f>
        <v/>
      </c>
      <c r="T92" s="33" t="str">
        <f aca="false">IF(G92="","",IFERROR(INDEX(Settings!$B$5:$B$8,MATCH(G92,Settings!$A$5:$A$8,0)),""))</f>
        <v/>
      </c>
      <c r="U92" s="25" t="str">
        <f aca="false">IF(G92="","",IF(S92="","No",IF(S92&lt;=T92,"Yes","No")))</f>
        <v/>
      </c>
      <c r="V92" s="25" t="str">
        <f aca="false">IF(G92="","",IF(AND(J92="",K92="",L92=""),"Telemetry Blind Spot",IF(AND(K92="",L92=""),"Missed Alert",IF(L92="","Triage Delay",IF(S92&lt;=T92,"Detected - Within SLA",IF(AND(R92&lt;&gt;"",R92&gt;IFERROR(INDEX(Settings!$C$5:$C$8,MATCH(G92,Settings!$A$5:$A$8,0)),1E+099)),"Triage Delay","Detected - SLA Breach"))))))</f>
        <v/>
      </c>
      <c r="W92" s="25" t="str">
        <f aca="false">IF(G92="","",IF(L92&lt;&gt;"",1,0))</f>
        <v/>
      </c>
      <c r="X92" s="32"/>
      <c r="Y92" s="32"/>
      <c r="Z92" s="32"/>
      <c r="AA92" s="24"/>
      <c r="AB92" s="24"/>
      <c r="AC92" s="33" t="str">
        <f aca="false">IF(AND(G92&lt;&gt;"",L92&lt;&gt;"",X92&lt;&gt;""),(X92-L92)*1440,"")</f>
        <v/>
      </c>
      <c r="AD92" s="33" t="str">
        <f aca="false">IF(AND(G92&lt;&gt;"",X92&lt;&gt;"",Y92&lt;&gt;""),(Y92-X92)*1440,"")</f>
        <v/>
      </c>
      <c r="AE92" s="33" t="str">
        <f aca="false">IF(AND(G92&lt;&gt;"",Y92&lt;&gt;"",Z92&lt;&gt;""),(Z92-Y92)*1440,"")</f>
        <v/>
      </c>
      <c r="AF92" s="33" t="str">
        <f aca="false">IF(AND(G92&lt;&gt;"",L92&lt;&gt;"",Z92&lt;&gt;""),(Z92-L92)*1440,"")</f>
        <v/>
      </c>
      <c r="AG92" s="33" t="str">
        <f aca="false">IF(G92="","",IFERROR(INDEX(Settings!$D$5:$D$8,MATCH(G92,Settings!$A$5:$A$8,0)),""))</f>
        <v/>
      </c>
      <c r="AH92" s="25" t="str">
        <f aca="false">IF(G92="","",IF(AF92="","No",IF(AF92&lt;=AG92,"Yes","No")))</f>
        <v/>
      </c>
      <c r="AI92" s="25" t="str">
        <f aca="false">IF(G92="","",IF(L92="","N/A - Not Detected",IF(AND(X92="",Y92="",Z92=""),"No Containment Action",IF(Z92="",IF(Y92&lt;&gt;"","C2 Persisted","Host Isolation Gap"),IF(AF92&lt;=AG92,"Contained - Within SLA","Contained - SLA Breach")))))</f>
        <v/>
      </c>
      <c r="AJ92" s="25" t="str">
        <f aca="false">IF(G92="","",IF(Z92&lt;&gt;"",1,0))</f>
        <v/>
      </c>
      <c r="AK92" s="34"/>
      <c r="AL92" s="34"/>
      <c r="AM92" s="35"/>
      <c r="AN92" s="34"/>
      <c r="AO92" s="34"/>
      <c r="AP92" s="35"/>
      <c r="AQ92" s="34"/>
      <c r="AR92" s="34"/>
      <c r="AS92" s="34"/>
      <c r="AT92" s="35"/>
      <c r="AU92" s="35"/>
    </row>
    <row r="93" customFormat="false" ht="15" hidden="false" customHeight="false" outlineLevel="0" collapsed="false">
      <c r="A93" s="24"/>
      <c r="B93" s="24"/>
      <c r="C93" s="24"/>
      <c r="D93" s="24"/>
      <c r="E93" s="24"/>
      <c r="F93" s="24"/>
      <c r="G93" s="24"/>
      <c r="H93" s="24"/>
      <c r="I93" s="32"/>
      <c r="J93" s="32"/>
      <c r="K93" s="32"/>
      <c r="L93" s="32"/>
      <c r="M93" s="24"/>
      <c r="N93" s="24"/>
      <c r="O93" s="24"/>
      <c r="P93" s="33" t="str">
        <f aca="false">IF(AND(G93&lt;&gt;"",I93&lt;&gt;"",J93&lt;&gt;""),(J93-I93)*1440,"")</f>
        <v/>
      </c>
      <c r="Q93" s="33" t="str">
        <f aca="false">IF(AND(G93&lt;&gt;"",J93&lt;&gt;"",K93&lt;&gt;""),(K93-J93)*1440,"")</f>
        <v/>
      </c>
      <c r="R93" s="33" t="str">
        <f aca="false">IF(AND(G93&lt;&gt;"",K93&lt;&gt;"",L93&lt;&gt;""),(L93-K93)*1440,"")</f>
        <v/>
      </c>
      <c r="S93" s="33" t="str">
        <f aca="false">IF(AND(G93&lt;&gt;"",I93&lt;&gt;"",L93&lt;&gt;""),(L93-I93)*1440,"")</f>
        <v/>
      </c>
      <c r="T93" s="33" t="str">
        <f aca="false">IF(G93="","",IFERROR(INDEX(Settings!$B$5:$B$8,MATCH(G93,Settings!$A$5:$A$8,0)),""))</f>
        <v/>
      </c>
      <c r="U93" s="25" t="str">
        <f aca="false">IF(G93="","",IF(S93="","No",IF(S93&lt;=T93,"Yes","No")))</f>
        <v/>
      </c>
      <c r="V93" s="25" t="str">
        <f aca="false">IF(G93="","",IF(AND(J93="",K93="",L93=""),"Telemetry Blind Spot",IF(AND(K93="",L93=""),"Missed Alert",IF(L93="","Triage Delay",IF(S93&lt;=T93,"Detected - Within SLA",IF(AND(R93&lt;&gt;"",R93&gt;IFERROR(INDEX(Settings!$C$5:$C$8,MATCH(G93,Settings!$A$5:$A$8,0)),1E+099)),"Triage Delay","Detected - SLA Breach"))))))</f>
        <v/>
      </c>
      <c r="W93" s="25" t="str">
        <f aca="false">IF(G93="","",IF(L93&lt;&gt;"",1,0))</f>
        <v/>
      </c>
      <c r="X93" s="32"/>
      <c r="Y93" s="32"/>
      <c r="Z93" s="32"/>
      <c r="AA93" s="24"/>
      <c r="AB93" s="24"/>
      <c r="AC93" s="33" t="str">
        <f aca="false">IF(AND(G93&lt;&gt;"",L93&lt;&gt;"",X93&lt;&gt;""),(X93-L93)*1440,"")</f>
        <v/>
      </c>
      <c r="AD93" s="33" t="str">
        <f aca="false">IF(AND(G93&lt;&gt;"",X93&lt;&gt;"",Y93&lt;&gt;""),(Y93-X93)*1440,"")</f>
        <v/>
      </c>
      <c r="AE93" s="33" t="str">
        <f aca="false">IF(AND(G93&lt;&gt;"",Y93&lt;&gt;"",Z93&lt;&gt;""),(Z93-Y93)*1440,"")</f>
        <v/>
      </c>
      <c r="AF93" s="33" t="str">
        <f aca="false">IF(AND(G93&lt;&gt;"",L93&lt;&gt;"",Z93&lt;&gt;""),(Z93-L93)*1440,"")</f>
        <v/>
      </c>
      <c r="AG93" s="33" t="str">
        <f aca="false">IF(G93="","",IFERROR(INDEX(Settings!$D$5:$D$8,MATCH(G93,Settings!$A$5:$A$8,0)),""))</f>
        <v/>
      </c>
      <c r="AH93" s="25" t="str">
        <f aca="false">IF(G93="","",IF(AF93="","No",IF(AF93&lt;=AG93,"Yes","No")))</f>
        <v/>
      </c>
      <c r="AI93" s="25" t="str">
        <f aca="false">IF(G93="","",IF(L93="","N/A - Not Detected",IF(AND(X93="",Y93="",Z93=""),"No Containment Action",IF(Z93="",IF(Y93&lt;&gt;"","C2 Persisted","Host Isolation Gap"),IF(AF93&lt;=AG93,"Contained - Within SLA","Contained - SLA Breach")))))</f>
        <v/>
      </c>
      <c r="AJ93" s="25" t="str">
        <f aca="false">IF(G93="","",IF(Z93&lt;&gt;"",1,0))</f>
        <v/>
      </c>
      <c r="AK93" s="34"/>
      <c r="AL93" s="34"/>
      <c r="AM93" s="35"/>
      <c r="AN93" s="34"/>
      <c r="AO93" s="34"/>
      <c r="AP93" s="35"/>
      <c r="AQ93" s="34"/>
      <c r="AR93" s="34"/>
      <c r="AS93" s="34"/>
      <c r="AT93" s="35"/>
      <c r="AU93" s="35"/>
    </row>
    <row r="94" customFormat="false" ht="15" hidden="false" customHeight="false" outlineLevel="0" collapsed="false">
      <c r="A94" s="24"/>
      <c r="B94" s="24"/>
      <c r="C94" s="24"/>
      <c r="D94" s="24"/>
      <c r="E94" s="24"/>
      <c r="F94" s="24"/>
      <c r="G94" s="24"/>
      <c r="H94" s="24"/>
      <c r="I94" s="32"/>
      <c r="J94" s="32"/>
      <c r="K94" s="32"/>
      <c r="L94" s="32"/>
      <c r="M94" s="24"/>
      <c r="N94" s="24"/>
      <c r="O94" s="24"/>
      <c r="P94" s="33" t="str">
        <f aca="false">IF(AND(G94&lt;&gt;"",I94&lt;&gt;"",J94&lt;&gt;""),(J94-I94)*1440,"")</f>
        <v/>
      </c>
      <c r="Q94" s="33" t="str">
        <f aca="false">IF(AND(G94&lt;&gt;"",J94&lt;&gt;"",K94&lt;&gt;""),(K94-J94)*1440,"")</f>
        <v/>
      </c>
      <c r="R94" s="33" t="str">
        <f aca="false">IF(AND(G94&lt;&gt;"",K94&lt;&gt;"",L94&lt;&gt;""),(L94-K94)*1440,"")</f>
        <v/>
      </c>
      <c r="S94" s="33" t="str">
        <f aca="false">IF(AND(G94&lt;&gt;"",I94&lt;&gt;"",L94&lt;&gt;""),(L94-I94)*1440,"")</f>
        <v/>
      </c>
      <c r="T94" s="33" t="str">
        <f aca="false">IF(G94="","",IFERROR(INDEX(Settings!$B$5:$B$8,MATCH(G94,Settings!$A$5:$A$8,0)),""))</f>
        <v/>
      </c>
      <c r="U94" s="25" t="str">
        <f aca="false">IF(G94="","",IF(S94="","No",IF(S94&lt;=T94,"Yes","No")))</f>
        <v/>
      </c>
      <c r="V94" s="25" t="str">
        <f aca="false">IF(G94="","",IF(AND(J94="",K94="",L94=""),"Telemetry Blind Spot",IF(AND(K94="",L94=""),"Missed Alert",IF(L94="","Triage Delay",IF(S94&lt;=T94,"Detected - Within SLA",IF(AND(R94&lt;&gt;"",R94&gt;IFERROR(INDEX(Settings!$C$5:$C$8,MATCH(G94,Settings!$A$5:$A$8,0)),1E+099)),"Triage Delay","Detected - SLA Breach"))))))</f>
        <v/>
      </c>
      <c r="W94" s="25" t="str">
        <f aca="false">IF(G94="","",IF(L94&lt;&gt;"",1,0))</f>
        <v/>
      </c>
      <c r="X94" s="32"/>
      <c r="Y94" s="32"/>
      <c r="Z94" s="32"/>
      <c r="AA94" s="24"/>
      <c r="AB94" s="24"/>
      <c r="AC94" s="33" t="str">
        <f aca="false">IF(AND(G94&lt;&gt;"",L94&lt;&gt;"",X94&lt;&gt;""),(X94-L94)*1440,"")</f>
        <v/>
      </c>
      <c r="AD94" s="33" t="str">
        <f aca="false">IF(AND(G94&lt;&gt;"",X94&lt;&gt;"",Y94&lt;&gt;""),(Y94-X94)*1440,"")</f>
        <v/>
      </c>
      <c r="AE94" s="33" t="str">
        <f aca="false">IF(AND(G94&lt;&gt;"",Y94&lt;&gt;"",Z94&lt;&gt;""),(Z94-Y94)*1440,"")</f>
        <v/>
      </c>
      <c r="AF94" s="33" t="str">
        <f aca="false">IF(AND(G94&lt;&gt;"",L94&lt;&gt;"",Z94&lt;&gt;""),(Z94-L94)*1440,"")</f>
        <v/>
      </c>
      <c r="AG94" s="33" t="str">
        <f aca="false">IF(G94="","",IFERROR(INDEX(Settings!$D$5:$D$8,MATCH(G94,Settings!$A$5:$A$8,0)),""))</f>
        <v/>
      </c>
      <c r="AH94" s="25" t="str">
        <f aca="false">IF(G94="","",IF(AF94="","No",IF(AF94&lt;=AG94,"Yes","No")))</f>
        <v/>
      </c>
      <c r="AI94" s="25" t="str">
        <f aca="false">IF(G94="","",IF(L94="","N/A - Not Detected",IF(AND(X94="",Y94="",Z94=""),"No Containment Action",IF(Z94="",IF(Y94&lt;&gt;"","C2 Persisted","Host Isolation Gap"),IF(AF94&lt;=AG94,"Contained - Within SLA","Contained - SLA Breach")))))</f>
        <v/>
      </c>
      <c r="AJ94" s="25" t="str">
        <f aca="false">IF(G94="","",IF(Z94&lt;&gt;"",1,0))</f>
        <v/>
      </c>
      <c r="AK94" s="34"/>
      <c r="AL94" s="34"/>
      <c r="AM94" s="35"/>
      <c r="AN94" s="34"/>
      <c r="AO94" s="34"/>
      <c r="AP94" s="35"/>
      <c r="AQ94" s="34"/>
      <c r="AR94" s="34"/>
      <c r="AS94" s="34"/>
      <c r="AT94" s="35"/>
      <c r="AU94" s="35"/>
    </row>
    <row r="95" customFormat="false" ht="15" hidden="false" customHeight="false" outlineLevel="0" collapsed="false">
      <c r="A95" s="24"/>
      <c r="B95" s="24"/>
      <c r="C95" s="24"/>
      <c r="D95" s="24"/>
      <c r="E95" s="24"/>
      <c r="F95" s="24"/>
      <c r="G95" s="24"/>
      <c r="H95" s="24"/>
      <c r="I95" s="32"/>
      <c r="J95" s="32"/>
      <c r="K95" s="32"/>
      <c r="L95" s="32"/>
      <c r="M95" s="24"/>
      <c r="N95" s="24"/>
      <c r="O95" s="24"/>
      <c r="P95" s="33" t="str">
        <f aca="false">IF(AND(G95&lt;&gt;"",I95&lt;&gt;"",J95&lt;&gt;""),(J95-I95)*1440,"")</f>
        <v/>
      </c>
      <c r="Q95" s="33" t="str">
        <f aca="false">IF(AND(G95&lt;&gt;"",J95&lt;&gt;"",K95&lt;&gt;""),(K95-J95)*1440,"")</f>
        <v/>
      </c>
      <c r="R95" s="33" t="str">
        <f aca="false">IF(AND(G95&lt;&gt;"",K95&lt;&gt;"",L95&lt;&gt;""),(L95-K95)*1440,"")</f>
        <v/>
      </c>
      <c r="S95" s="33" t="str">
        <f aca="false">IF(AND(G95&lt;&gt;"",I95&lt;&gt;"",L95&lt;&gt;""),(L95-I95)*1440,"")</f>
        <v/>
      </c>
      <c r="T95" s="33" t="str">
        <f aca="false">IF(G95="","",IFERROR(INDEX(Settings!$B$5:$B$8,MATCH(G95,Settings!$A$5:$A$8,0)),""))</f>
        <v/>
      </c>
      <c r="U95" s="25" t="str">
        <f aca="false">IF(G95="","",IF(S95="","No",IF(S95&lt;=T95,"Yes","No")))</f>
        <v/>
      </c>
      <c r="V95" s="25" t="str">
        <f aca="false">IF(G95="","",IF(AND(J95="",K95="",L95=""),"Telemetry Blind Spot",IF(AND(K95="",L95=""),"Missed Alert",IF(L95="","Triage Delay",IF(S95&lt;=T95,"Detected - Within SLA",IF(AND(R95&lt;&gt;"",R95&gt;IFERROR(INDEX(Settings!$C$5:$C$8,MATCH(G95,Settings!$A$5:$A$8,0)),1E+099)),"Triage Delay","Detected - SLA Breach"))))))</f>
        <v/>
      </c>
      <c r="W95" s="25" t="str">
        <f aca="false">IF(G95="","",IF(L95&lt;&gt;"",1,0))</f>
        <v/>
      </c>
      <c r="X95" s="32"/>
      <c r="Y95" s="32"/>
      <c r="Z95" s="32"/>
      <c r="AA95" s="24"/>
      <c r="AB95" s="24"/>
      <c r="AC95" s="33" t="str">
        <f aca="false">IF(AND(G95&lt;&gt;"",L95&lt;&gt;"",X95&lt;&gt;""),(X95-L95)*1440,"")</f>
        <v/>
      </c>
      <c r="AD95" s="33" t="str">
        <f aca="false">IF(AND(G95&lt;&gt;"",X95&lt;&gt;"",Y95&lt;&gt;""),(Y95-X95)*1440,"")</f>
        <v/>
      </c>
      <c r="AE95" s="33" t="str">
        <f aca="false">IF(AND(G95&lt;&gt;"",Y95&lt;&gt;"",Z95&lt;&gt;""),(Z95-Y95)*1440,"")</f>
        <v/>
      </c>
      <c r="AF95" s="33" t="str">
        <f aca="false">IF(AND(G95&lt;&gt;"",L95&lt;&gt;"",Z95&lt;&gt;""),(Z95-L95)*1440,"")</f>
        <v/>
      </c>
      <c r="AG95" s="33" t="str">
        <f aca="false">IF(G95="","",IFERROR(INDEX(Settings!$D$5:$D$8,MATCH(G95,Settings!$A$5:$A$8,0)),""))</f>
        <v/>
      </c>
      <c r="AH95" s="25" t="str">
        <f aca="false">IF(G95="","",IF(AF95="","No",IF(AF95&lt;=AG95,"Yes","No")))</f>
        <v/>
      </c>
      <c r="AI95" s="25" t="str">
        <f aca="false">IF(G95="","",IF(L95="","N/A - Not Detected",IF(AND(X95="",Y95="",Z95=""),"No Containment Action",IF(Z95="",IF(Y95&lt;&gt;"","C2 Persisted","Host Isolation Gap"),IF(AF95&lt;=AG95,"Contained - Within SLA","Contained - SLA Breach")))))</f>
        <v/>
      </c>
      <c r="AJ95" s="25" t="str">
        <f aca="false">IF(G95="","",IF(Z95&lt;&gt;"",1,0))</f>
        <v/>
      </c>
      <c r="AK95" s="34"/>
      <c r="AL95" s="34"/>
      <c r="AM95" s="35"/>
      <c r="AN95" s="34"/>
      <c r="AO95" s="34"/>
      <c r="AP95" s="35"/>
      <c r="AQ95" s="34"/>
      <c r="AR95" s="34"/>
      <c r="AS95" s="34"/>
      <c r="AT95" s="35"/>
      <c r="AU95" s="35"/>
    </row>
    <row r="96" customFormat="false" ht="15" hidden="false" customHeight="false" outlineLevel="0" collapsed="false">
      <c r="A96" s="24"/>
      <c r="B96" s="24"/>
      <c r="C96" s="24"/>
      <c r="D96" s="24"/>
      <c r="E96" s="24"/>
      <c r="F96" s="24"/>
      <c r="G96" s="24"/>
      <c r="H96" s="24"/>
      <c r="I96" s="32"/>
      <c r="J96" s="32"/>
      <c r="K96" s="32"/>
      <c r="L96" s="32"/>
      <c r="M96" s="24"/>
      <c r="N96" s="24"/>
      <c r="O96" s="24"/>
      <c r="P96" s="33" t="str">
        <f aca="false">IF(AND(G96&lt;&gt;"",I96&lt;&gt;"",J96&lt;&gt;""),(J96-I96)*1440,"")</f>
        <v/>
      </c>
      <c r="Q96" s="33" t="str">
        <f aca="false">IF(AND(G96&lt;&gt;"",J96&lt;&gt;"",K96&lt;&gt;""),(K96-J96)*1440,"")</f>
        <v/>
      </c>
      <c r="R96" s="33" t="str">
        <f aca="false">IF(AND(G96&lt;&gt;"",K96&lt;&gt;"",L96&lt;&gt;""),(L96-K96)*1440,"")</f>
        <v/>
      </c>
      <c r="S96" s="33" t="str">
        <f aca="false">IF(AND(G96&lt;&gt;"",I96&lt;&gt;"",L96&lt;&gt;""),(L96-I96)*1440,"")</f>
        <v/>
      </c>
      <c r="T96" s="33" t="str">
        <f aca="false">IF(G96="","",IFERROR(INDEX(Settings!$B$5:$B$8,MATCH(G96,Settings!$A$5:$A$8,0)),""))</f>
        <v/>
      </c>
      <c r="U96" s="25" t="str">
        <f aca="false">IF(G96="","",IF(S96="","No",IF(S96&lt;=T96,"Yes","No")))</f>
        <v/>
      </c>
      <c r="V96" s="25" t="str">
        <f aca="false">IF(G96="","",IF(AND(J96="",K96="",L96=""),"Telemetry Blind Spot",IF(AND(K96="",L96=""),"Missed Alert",IF(L96="","Triage Delay",IF(S96&lt;=T96,"Detected - Within SLA",IF(AND(R96&lt;&gt;"",R96&gt;IFERROR(INDEX(Settings!$C$5:$C$8,MATCH(G96,Settings!$A$5:$A$8,0)),1E+099)),"Triage Delay","Detected - SLA Breach"))))))</f>
        <v/>
      </c>
      <c r="W96" s="25" t="str">
        <f aca="false">IF(G96="","",IF(L96&lt;&gt;"",1,0))</f>
        <v/>
      </c>
      <c r="X96" s="32"/>
      <c r="Y96" s="32"/>
      <c r="Z96" s="32"/>
      <c r="AA96" s="24"/>
      <c r="AB96" s="24"/>
      <c r="AC96" s="33" t="str">
        <f aca="false">IF(AND(G96&lt;&gt;"",L96&lt;&gt;"",X96&lt;&gt;""),(X96-L96)*1440,"")</f>
        <v/>
      </c>
      <c r="AD96" s="33" t="str">
        <f aca="false">IF(AND(G96&lt;&gt;"",X96&lt;&gt;"",Y96&lt;&gt;""),(Y96-X96)*1440,"")</f>
        <v/>
      </c>
      <c r="AE96" s="33" t="str">
        <f aca="false">IF(AND(G96&lt;&gt;"",Y96&lt;&gt;"",Z96&lt;&gt;""),(Z96-Y96)*1440,"")</f>
        <v/>
      </c>
      <c r="AF96" s="33" t="str">
        <f aca="false">IF(AND(G96&lt;&gt;"",L96&lt;&gt;"",Z96&lt;&gt;""),(Z96-L96)*1440,"")</f>
        <v/>
      </c>
      <c r="AG96" s="33" t="str">
        <f aca="false">IF(G96="","",IFERROR(INDEX(Settings!$D$5:$D$8,MATCH(G96,Settings!$A$5:$A$8,0)),""))</f>
        <v/>
      </c>
      <c r="AH96" s="25" t="str">
        <f aca="false">IF(G96="","",IF(AF96="","No",IF(AF96&lt;=AG96,"Yes","No")))</f>
        <v/>
      </c>
      <c r="AI96" s="25" t="str">
        <f aca="false">IF(G96="","",IF(L96="","N/A - Not Detected",IF(AND(X96="",Y96="",Z96=""),"No Containment Action",IF(Z96="",IF(Y96&lt;&gt;"","C2 Persisted","Host Isolation Gap"),IF(AF96&lt;=AG96,"Contained - Within SLA","Contained - SLA Breach")))))</f>
        <v/>
      </c>
      <c r="AJ96" s="25" t="str">
        <f aca="false">IF(G96="","",IF(Z96&lt;&gt;"",1,0))</f>
        <v/>
      </c>
      <c r="AK96" s="34"/>
      <c r="AL96" s="34"/>
      <c r="AM96" s="35"/>
      <c r="AN96" s="34"/>
      <c r="AO96" s="34"/>
      <c r="AP96" s="35"/>
      <c r="AQ96" s="34"/>
      <c r="AR96" s="34"/>
      <c r="AS96" s="34"/>
      <c r="AT96" s="35"/>
      <c r="AU96" s="35"/>
    </row>
    <row r="97" customFormat="false" ht="15" hidden="false" customHeight="false" outlineLevel="0" collapsed="false">
      <c r="A97" s="24"/>
      <c r="B97" s="24"/>
      <c r="C97" s="24"/>
      <c r="D97" s="24"/>
      <c r="E97" s="24"/>
      <c r="F97" s="24"/>
      <c r="G97" s="24"/>
      <c r="H97" s="24"/>
      <c r="I97" s="32"/>
      <c r="J97" s="32"/>
      <c r="K97" s="32"/>
      <c r="L97" s="32"/>
      <c r="M97" s="24"/>
      <c r="N97" s="24"/>
      <c r="O97" s="24"/>
      <c r="P97" s="33" t="str">
        <f aca="false">IF(AND(G97&lt;&gt;"",I97&lt;&gt;"",J97&lt;&gt;""),(J97-I97)*1440,"")</f>
        <v/>
      </c>
      <c r="Q97" s="33" t="str">
        <f aca="false">IF(AND(G97&lt;&gt;"",J97&lt;&gt;"",K97&lt;&gt;""),(K97-J97)*1440,"")</f>
        <v/>
      </c>
      <c r="R97" s="33" t="str">
        <f aca="false">IF(AND(G97&lt;&gt;"",K97&lt;&gt;"",L97&lt;&gt;""),(L97-K97)*1440,"")</f>
        <v/>
      </c>
      <c r="S97" s="33" t="str">
        <f aca="false">IF(AND(G97&lt;&gt;"",I97&lt;&gt;"",L97&lt;&gt;""),(L97-I97)*1440,"")</f>
        <v/>
      </c>
      <c r="T97" s="33" t="str">
        <f aca="false">IF(G97="","",IFERROR(INDEX(Settings!$B$5:$B$8,MATCH(G97,Settings!$A$5:$A$8,0)),""))</f>
        <v/>
      </c>
      <c r="U97" s="25" t="str">
        <f aca="false">IF(G97="","",IF(S97="","No",IF(S97&lt;=T97,"Yes","No")))</f>
        <v/>
      </c>
      <c r="V97" s="25" t="str">
        <f aca="false">IF(G97="","",IF(AND(J97="",K97="",L97=""),"Telemetry Blind Spot",IF(AND(K97="",L97=""),"Missed Alert",IF(L97="","Triage Delay",IF(S97&lt;=T97,"Detected - Within SLA",IF(AND(R97&lt;&gt;"",R97&gt;IFERROR(INDEX(Settings!$C$5:$C$8,MATCH(G97,Settings!$A$5:$A$8,0)),1E+099)),"Triage Delay","Detected - SLA Breach"))))))</f>
        <v/>
      </c>
      <c r="W97" s="25" t="str">
        <f aca="false">IF(G97="","",IF(L97&lt;&gt;"",1,0))</f>
        <v/>
      </c>
      <c r="X97" s="32"/>
      <c r="Y97" s="32"/>
      <c r="Z97" s="32"/>
      <c r="AA97" s="24"/>
      <c r="AB97" s="24"/>
      <c r="AC97" s="33" t="str">
        <f aca="false">IF(AND(G97&lt;&gt;"",L97&lt;&gt;"",X97&lt;&gt;""),(X97-L97)*1440,"")</f>
        <v/>
      </c>
      <c r="AD97" s="33" t="str">
        <f aca="false">IF(AND(G97&lt;&gt;"",X97&lt;&gt;"",Y97&lt;&gt;""),(Y97-X97)*1440,"")</f>
        <v/>
      </c>
      <c r="AE97" s="33" t="str">
        <f aca="false">IF(AND(G97&lt;&gt;"",Y97&lt;&gt;"",Z97&lt;&gt;""),(Z97-Y97)*1440,"")</f>
        <v/>
      </c>
      <c r="AF97" s="33" t="str">
        <f aca="false">IF(AND(G97&lt;&gt;"",L97&lt;&gt;"",Z97&lt;&gt;""),(Z97-L97)*1440,"")</f>
        <v/>
      </c>
      <c r="AG97" s="33" t="str">
        <f aca="false">IF(G97="","",IFERROR(INDEX(Settings!$D$5:$D$8,MATCH(G97,Settings!$A$5:$A$8,0)),""))</f>
        <v/>
      </c>
      <c r="AH97" s="25" t="str">
        <f aca="false">IF(G97="","",IF(AF97="","No",IF(AF97&lt;=AG97,"Yes","No")))</f>
        <v/>
      </c>
      <c r="AI97" s="25" t="str">
        <f aca="false">IF(G97="","",IF(L97="","N/A - Not Detected",IF(AND(X97="",Y97="",Z97=""),"No Containment Action",IF(Z97="",IF(Y97&lt;&gt;"","C2 Persisted","Host Isolation Gap"),IF(AF97&lt;=AG97,"Contained - Within SLA","Contained - SLA Breach")))))</f>
        <v/>
      </c>
      <c r="AJ97" s="25" t="str">
        <f aca="false">IF(G97="","",IF(Z97&lt;&gt;"",1,0))</f>
        <v/>
      </c>
      <c r="AK97" s="34"/>
      <c r="AL97" s="34"/>
      <c r="AM97" s="35"/>
      <c r="AN97" s="34"/>
      <c r="AO97" s="34"/>
      <c r="AP97" s="35"/>
      <c r="AQ97" s="34"/>
      <c r="AR97" s="34"/>
      <c r="AS97" s="34"/>
      <c r="AT97" s="35"/>
      <c r="AU97" s="35"/>
    </row>
    <row r="98" customFormat="false" ht="15" hidden="false" customHeight="false" outlineLevel="0" collapsed="false">
      <c r="A98" s="24"/>
      <c r="B98" s="24"/>
      <c r="C98" s="24"/>
      <c r="D98" s="24"/>
      <c r="E98" s="24"/>
      <c r="F98" s="24"/>
      <c r="G98" s="24"/>
      <c r="H98" s="24"/>
      <c r="I98" s="32"/>
      <c r="J98" s="32"/>
      <c r="K98" s="32"/>
      <c r="L98" s="32"/>
      <c r="M98" s="24"/>
      <c r="N98" s="24"/>
      <c r="O98" s="24"/>
      <c r="P98" s="33" t="str">
        <f aca="false">IF(AND(G98&lt;&gt;"",I98&lt;&gt;"",J98&lt;&gt;""),(J98-I98)*1440,"")</f>
        <v/>
      </c>
      <c r="Q98" s="33" t="str">
        <f aca="false">IF(AND(G98&lt;&gt;"",J98&lt;&gt;"",K98&lt;&gt;""),(K98-J98)*1440,"")</f>
        <v/>
      </c>
      <c r="R98" s="33" t="str">
        <f aca="false">IF(AND(G98&lt;&gt;"",K98&lt;&gt;"",L98&lt;&gt;""),(L98-K98)*1440,"")</f>
        <v/>
      </c>
      <c r="S98" s="33" t="str">
        <f aca="false">IF(AND(G98&lt;&gt;"",I98&lt;&gt;"",L98&lt;&gt;""),(L98-I98)*1440,"")</f>
        <v/>
      </c>
      <c r="T98" s="33" t="str">
        <f aca="false">IF(G98="","",IFERROR(INDEX(Settings!$B$5:$B$8,MATCH(G98,Settings!$A$5:$A$8,0)),""))</f>
        <v/>
      </c>
      <c r="U98" s="25" t="str">
        <f aca="false">IF(G98="","",IF(S98="","No",IF(S98&lt;=T98,"Yes","No")))</f>
        <v/>
      </c>
      <c r="V98" s="25" t="str">
        <f aca="false">IF(G98="","",IF(AND(J98="",K98="",L98=""),"Telemetry Blind Spot",IF(AND(K98="",L98=""),"Missed Alert",IF(L98="","Triage Delay",IF(S98&lt;=T98,"Detected - Within SLA",IF(AND(R98&lt;&gt;"",R98&gt;IFERROR(INDEX(Settings!$C$5:$C$8,MATCH(G98,Settings!$A$5:$A$8,0)),1E+099)),"Triage Delay","Detected - SLA Breach"))))))</f>
        <v/>
      </c>
      <c r="W98" s="25" t="str">
        <f aca="false">IF(G98="","",IF(L98&lt;&gt;"",1,0))</f>
        <v/>
      </c>
      <c r="X98" s="32"/>
      <c r="Y98" s="32"/>
      <c r="Z98" s="32"/>
      <c r="AA98" s="24"/>
      <c r="AB98" s="24"/>
      <c r="AC98" s="33" t="str">
        <f aca="false">IF(AND(G98&lt;&gt;"",L98&lt;&gt;"",X98&lt;&gt;""),(X98-L98)*1440,"")</f>
        <v/>
      </c>
      <c r="AD98" s="33" t="str">
        <f aca="false">IF(AND(G98&lt;&gt;"",X98&lt;&gt;"",Y98&lt;&gt;""),(Y98-X98)*1440,"")</f>
        <v/>
      </c>
      <c r="AE98" s="33" t="str">
        <f aca="false">IF(AND(G98&lt;&gt;"",Y98&lt;&gt;"",Z98&lt;&gt;""),(Z98-Y98)*1440,"")</f>
        <v/>
      </c>
      <c r="AF98" s="33" t="str">
        <f aca="false">IF(AND(G98&lt;&gt;"",L98&lt;&gt;"",Z98&lt;&gt;""),(Z98-L98)*1440,"")</f>
        <v/>
      </c>
      <c r="AG98" s="33" t="str">
        <f aca="false">IF(G98="","",IFERROR(INDEX(Settings!$D$5:$D$8,MATCH(G98,Settings!$A$5:$A$8,0)),""))</f>
        <v/>
      </c>
      <c r="AH98" s="25" t="str">
        <f aca="false">IF(G98="","",IF(AF98="","No",IF(AF98&lt;=AG98,"Yes","No")))</f>
        <v/>
      </c>
      <c r="AI98" s="25" t="str">
        <f aca="false">IF(G98="","",IF(L98="","N/A - Not Detected",IF(AND(X98="",Y98="",Z98=""),"No Containment Action",IF(Z98="",IF(Y98&lt;&gt;"","C2 Persisted","Host Isolation Gap"),IF(AF98&lt;=AG98,"Contained - Within SLA","Contained - SLA Breach")))))</f>
        <v/>
      </c>
      <c r="AJ98" s="25" t="str">
        <f aca="false">IF(G98="","",IF(Z98&lt;&gt;"",1,0))</f>
        <v/>
      </c>
      <c r="AK98" s="34"/>
      <c r="AL98" s="34"/>
      <c r="AM98" s="35"/>
      <c r="AN98" s="34"/>
      <c r="AO98" s="34"/>
      <c r="AP98" s="35"/>
      <c r="AQ98" s="34"/>
      <c r="AR98" s="34"/>
      <c r="AS98" s="34"/>
      <c r="AT98" s="35"/>
      <c r="AU98" s="35"/>
    </row>
    <row r="99" customFormat="false" ht="15" hidden="false" customHeight="false" outlineLevel="0" collapsed="false">
      <c r="A99" s="24"/>
      <c r="B99" s="24"/>
      <c r="C99" s="24"/>
      <c r="D99" s="24"/>
      <c r="E99" s="24"/>
      <c r="F99" s="24"/>
      <c r="G99" s="24"/>
      <c r="H99" s="24"/>
      <c r="I99" s="32"/>
      <c r="J99" s="32"/>
      <c r="K99" s="32"/>
      <c r="L99" s="32"/>
      <c r="M99" s="24"/>
      <c r="N99" s="24"/>
      <c r="O99" s="24"/>
      <c r="P99" s="33" t="str">
        <f aca="false">IF(AND(G99&lt;&gt;"",I99&lt;&gt;"",J99&lt;&gt;""),(J99-I99)*1440,"")</f>
        <v/>
      </c>
      <c r="Q99" s="33" t="str">
        <f aca="false">IF(AND(G99&lt;&gt;"",J99&lt;&gt;"",K99&lt;&gt;""),(K99-J99)*1440,"")</f>
        <v/>
      </c>
      <c r="R99" s="33" t="str">
        <f aca="false">IF(AND(G99&lt;&gt;"",K99&lt;&gt;"",L99&lt;&gt;""),(L99-K99)*1440,"")</f>
        <v/>
      </c>
      <c r="S99" s="33" t="str">
        <f aca="false">IF(AND(G99&lt;&gt;"",I99&lt;&gt;"",L99&lt;&gt;""),(L99-I99)*1440,"")</f>
        <v/>
      </c>
      <c r="T99" s="33" t="str">
        <f aca="false">IF(G99="","",IFERROR(INDEX(Settings!$B$5:$B$8,MATCH(G99,Settings!$A$5:$A$8,0)),""))</f>
        <v/>
      </c>
      <c r="U99" s="25" t="str">
        <f aca="false">IF(G99="","",IF(S99="","No",IF(S99&lt;=T99,"Yes","No")))</f>
        <v/>
      </c>
      <c r="V99" s="25" t="str">
        <f aca="false">IF(G99="","",IF(AND(J99="",K99="",L99=""),"Telemetry Blind Spot",IF(AND(K99="",L99=""),"Missed Alert",IF(L99="","Triage Delay",IF(S99&lt;=T99,"Detected - Within SLA",IF(AND(R99&lt;&gt;"",R99&gt;IFERROR(INDEX(Settings!$C$5:$C$8,MATCH(G99,Settings!$A$5:$A$8,0)),1E+099)),"Triage Delay","Detected - SLA Breach"))))))</f>
        <v/>
      </c>
      <c r="W99" s="25" t="str">
        <f aca="false">IF(G99="","",IF(L99&lt;&gt;"",1,0))</f>
        <v/>
      </c>
      <c r="X99" s="32"/>
      <c r="Y99" s="32"/>
      <c r="Z99" s="32"/>
      <c r="AA99" s="24"/>
      <c r="AB99" s="24"/>
      <c r="AC99" s="33" t="str">
        <f aca="false">IF(AND(G99&lt;&gt;"",L99&lt;&gt;"",X99&lt;&gt;""),(X99-L99)*1440,"")</f>
        <v/>
      </c>
      <c r="AD99" s="33" t="str">
        <f aca="false">IF(AND(G99&lt;&gt;"",X99&lt;&gt;"",Y99&lt;&gt;""),(Y99-X99)*1440,"")</f>
        <v/>
      </c>
      <c r="AE99" s="33" t="str">
        <f aca="false">IF(AND(G99&lt;&gt;"",Y99&lt;&gt;"",Z99&lt;&gt;""),(Z99-Y99)*1440,"")</f>
        <v/>
      </c>
      <c r="AF99" s="33" t="str">
        <f aca="false">IF(AND(G99&lt;&gt;"",L99&lt;&gt;"",Z99&lt;&gt;""),(Z99-L99)*1440,"")</f>
        <v/>
      </c>
      <c r="AG99" s="33" t="str">
        <f aca="false">IF(G99="","",IFERROR(INDEX(Settings!$D$5:$D$8,MATCH(G99,Settings!$A$5:$A$8,0)),""))</f>
        <v/>
      </c>
      <c r="AH99" s="25" t="str">
        <f aca="false">IF(G99="","",IF(AF99="","No",IF(AF99&lt;=AG99,"Yes","No")))</f>
        <v/>
      </c>
      <c r="AI99" s="25" t="str">
        <f aca="false">IF(G99="","",IF(L99="","N/A - Not Detected",IF(AND(X99="",Y99="",Z99=""),"No Containment Action",IF(Z99="",IF(Y99&lt;&gt;"","C2 Persisted","Host Isolation Gap"),IF(AF99&lt;=AG99,"Contained - Within SLA","Contained - SLA Breach")))))</f>
        <v/>
      </c>
      <c r="AJ99" s="25" t="str">
        <f aca="false">IF(G99="","",IF(Z99&lt;&gt;"",1,0))</f>
        <v/>
      </c>
      <c r="AK99" s="34"/>
      <c r="AL99" s="34"/>
      <c r="AM99" s="35"/>
      <c r="AN99" s="34"/>
      <c r="AO99" s="34"/>
      <c r="AP99" s="35"/>
      <c r="AQ99" s="34"/>
      <c r="AR99" s="34"/>
      <c r="AS99" s="34"/>
      <c r="AT99" s="35"/>
      <c r="AU99" s="35"/>
    </row>
    <row r="100" customFormat="false" ht="15" hidden="false" customHeight="false" outlineLevel="0" collapsed="false">
      <c r="A100" s="24"/>
      <c r="B100" s="24"/>
      <c r="C100" s="24"/>
      <c r="D100" s="24"/>
      <c r="E100" s="24"/>
      <c r="F100" s="24"/>
      <c r="G100" s="24"/>
      <c r="H100" s="24"/>
      <c r="I100" s="32"/>
      <c r="J100" s="32"/>
      <c r="K100" s="32"/>
      <c r="L100" s="32"/>
      <c r="M100" s="24"/>
      <c r="N100" s="24"/>
      <c r="O100" s="24"/>
      <c r="P100" s="33" t="str">
        <f aca="false">IF(AND(G100&lt;&gt;"",I100&lt;&gt;"",J100&lt;&gt;""),(J100-I100)*1440,"")</f>
        <v/>
      </c>
      <c r="Q100" s="33" t="str">
        <f aca="false">IF(AND(G100&lt;&gt;"",J100&lt;&gt;"",K100&lt;&gt;""),(K100-J100)*1440,"")</f>
        <v/>
      </c>
      <c r="R100" s="33" t="str">
        <f aca="false">IF(AND(G100&lt;&gt;"",K100&lt;&gt;"",L100&lt;&gt;""),(L100-K100)*1440,"")</f>
        <v/>
      </c>
      <c r="S100" s="33" t="str">
        <f aca="false">IF(AND(G100&lt;&gt;"",I100&lt;&gt;"",L100&lt;&gt;""),(L100-I100)*1440,"")</f>
        <v/>
      </c>
      <c r="T100" s="33" t="str">
        <f aca="false">IF(G100="","",IFERROR(INDEX(Settings!$B$5:$B$8,MATCH(G100,Settings!$A$5:$A$8,0)),""))</f>
        <v/>
      </c>
      <c r="U100" s="25" t="str">
        <f aca="false">IF(G100="","",IF(S100="","No",IF(S100&lt;=T100,"Yes","No")))</f>
        <v/>
      </c>
      <c r="V100" s="25" t="str">
        <f aca="false">IF(G100="","",IF(AND(J100="",K100="",L100=""),"Telemetry Blind Spot",IF(AND(K100="",L100=""),"Missed Alert",IF(L100="","Triage Delay",IF(S100&lt;=T100,"Detected - Within SLA",IF(AND(R100&lt;&gt;"",R100&gt;IFERROR(INDEX(Settings!$C$5:$C$8,MATCH(G100,Settings!$A$5:$A$8,0)),1E+099)),"Triage Delay","Detected - SLA Breach"))))))</f>
        <v/>
      </c>
      <c r="W100" s="25" t="str">
        <f aca="false">IF(G100="","",IF(L100&lt;&gt;"",1,0))</f>
        <v/>
      </c>
      <c r="X100" s="32"/>
      <c r="Y100" s="32"/>
      <c r="Z100" s="32"/>
      <c r="AA100" s="24"/>
      <c r="AB100" s="24"/>
      <c r="AC100" s="33" t="str">
        <f aca="false">IF(AND(G100&lt;&gt;"",L100&lt;&gt;"",X100&lt;&gt;""),(X100-L100)*1440,"")</f>
        <v/>
      </c>
      <c r="AD100" s="33" t="str">
        <f aca="false">IF(AND(G100&lt;&gt;"",X100&lt;&gt;"",Y100&lt;&gt;""),(Y100-X100)*1440,"")</f>
        <v/>
      </c>
      <c r="AE100" s="33" t="str">
        <f aca="false">IF(AND(G100&lt;&gt;"",Y100&lt;&gt;"",Z100&lt;&gt;""),(Z100-Y100)*1440,"")</f>
        <v/>
      </c>
      <c r="AF100" s="33" t="str">
        <f aca="false">IF(AND(G100&lt;&gt;"",L100&lt;&gt;"",Z100&lt;&gt;""),(Z100-L100)*1440,"")</f>
        <v/>
      </c>
      <c r="AG100" s="33" t="str">
        <f aca="false">IF(G100="","",IFERROR(INDEX(Settings!$D$5:$D$8,MATCH(G100,Settings!$A$5:$A$8,0)),""))</f>
        <v/>
      </c>
      <c r="AH100" s="25" t="str">
        <f aca="false">IF(G100="","",IF(AF100="","No",IF(AF100&lt;=AG100,"Yes","No")))</f>
        <v/>
      </c>
      <c r="AI100" s="25" t="str">
        <f aca="false">IF(G100="","",IF(L100="","N/A - Not Detected",IF(AND(X100="",Y100="",Z100=""),"No Containment Action",IF(Z100="",IF(Y100&lt;&gt;"","C2 Persisted","Host Isolation Gap"),IF(AF100&lt;=AG100,"Contained - Within SLA","Contained - SLA Breach")))))</f>
        <v/>
      </c>
      <c r="AJ100" s="25" t="str">
        <f aca="false">IF(G100="","",IF(Z100&lt;&gt;"",1,0))</f>
        <v/>
      </c>
      <c r="AK100" s="34"/>
      <c r="AL100" s="34"/>
      <c r="AM100" s="35"/>
      <c r="AN100" s="34"/>
      <c r="AO100" s="34"/>
      <c r="AP100" s="35"/>
      <c r="AQ100" s="34"/>
      <c r="AR100" s="34"/>
      <c r="AS100" s="34"/>
      <c r="AT100" s="35"/>
      <c r="AU100" s="35"/>
    </row>
    <row r="101" customFormat="false" ht="15" hidden="false" customHeight="false" outlineLevel="0" collapsed="false">
      <c r="A101" s="24"/>
      <c r="B101" s="24"/>
      <c r="C101" s="24"/>
      <c r="D101" s="24"/>
      <c r="E101" s="24"/>
      <c r="F101" s="24"/>
      <c r="G101" s="24"/>
      <c r="H101" s="24"/>
      <c r="I101" s="32"/>
      <c r="J101" s="32"/>
      <c r="K101" s="32"/>
      <c r="L101" s="32"/>
      <c r="M101" s="24"/>
      <c r="N101" s="24"/>
      <c r="O101" s="24"/>
      <c r="P101" s="33" t="str">
        <f aca="false">IF(AND(G101&lt;&gt;"",I101&lt;&gt;"",J101&lt;&gt;""),(J101-I101)*1440,"")</f>
        <v/>
      </c>
      <c r="Q101" s="33" t="str">
        <f aca="false">IF(AND(G101&lt;&gt;"",J101&lt;&gt;"",K101&lt;&gt;""),(K101-J101)*1440,"")</f>
        <v/>
      </c>
      <c r="R101" s="33" t="str">
        <f aca="false">IF(AND(G101&lt;&gt;"",K101&lt;&gt;"",L101&lt;&gt;""),(L101-K101)*1440,"")</f>
        <v/>
      </c>
      <c r="S101" s="33" t="str">
        <f aca="false">IF(AND(G101&lt;&gt;"",I101&lt;&gt;"",L101&lt;&gt;""),(L101-I101)*1440,"")</f>
        <v/>
      </c>
      <c r="T101" s="33" t="str">
        <f aca="false">IF(G101="","",IFERROR(INDEX(Settings!$B$5:$B$8,MATCH(G101,Settings!$A$5:$A$8,0)),""))</f>
        <v/>
      </c>
      <c r="U101" s="25" t="str">
        <f aca="false">IF(G101="","",IF(S101="","No",IF(S101&lt;=T101,"Yes","No")))</f>
        <v/>
      </c>
      <c r="V101" s="25" t="str">
        <f aca="false">IF(G101="","",IF(AND(J101="",K101="",L101=""),"Telemetry Blind Spot",IF(AND(K101="",L101=""),"Missed Alert",IF(L101="","Triage Delay",IF(S101&lt;=T101,"Detected - Within SLA",IF(AND(R101&lt;&gt;"",R101&gt;IFERROR(INDEX(Settings!$C$5:$C$8,MATCH(G101,Settings!$A$5:$A$8,0)),1E+099)),"Triage Delay","Detected - SLA Breach"))))))</f>
        <v/>
      </c>
      <c r="W101" s="25" t="str">
        <f aca="false">IF(G101="","",IF(L101&lt;&gt;"",1,0))</f>
        <v/>
      </c>
      <c r="X101" s="32"/>
      <c r="Y101" s="32"/>
      <c r="Z101" s="32"/>
      <c r="AA101" s="24"/>
      <c r="AB101" s="24"/>
      <c r="AC101" s="33" t="str">
        <f aca="false">IF(AND(G101&lt;&gt;"",L101&lt;&gt;"",X101&lt;&gt;""),(X101-L101)*1440,"")</f>
        <v/>
      </c>
      <c r="AD101" s="33" t="str">
        <f aca="false">IF(AND(G101&lt;&gt;"",X101&lt;&gt;"",Y101&lt;&gt;""),(Y101-X101)*1440,"")</f>
        <v/>
      </c>
      <c r="AE101" s="33" t="str">
        <f aca="false">IF(AND(G101&lt;&gt;"",Y101&lt;&gt;"",Z101&lt;&gt;""),(Z101-Y101)*1440,"")</f>
        <v/>
      </c>
      <c r="AF101" s="33" t="str">
        <f aca="false">IF(AND(G101&lt;&gt;"",L101&lt;&gt;"",Z101&lt;&gt;""),(Z101-L101)*1440,"")</f>
        <v/>
      </c>
      <c r="AG101" s="33" t="str">
        <f aca="false">IF(G101="","",IFERROR(INDEX(Settings!$D$5:$D$8,MATCH(G101,Settings!$A$5:$A$8,0)),""))</f>
        <v/>
      </c>
      <c r="AH101" s="25" t="str">
        <f aca="false">IF(G101="","",IF(AF101="","No",IF(AF101&lt;=AG101,"Yes","No")))</f>
        <v/>
      </c>
      <c r="AI101" s="25" t="str">
        <f aca="false">IF(G101="","",IF(L101="","N/A - Not Detected",IF(AND(X101="",Y101="",Z101=""),"No Containment Action",IF(Z101="",IF(Y101&lt;&gt;"","C2 Persisted","Host Isolation Gap"),IF(AF101&lt;=AG101,"Contained - Within SLA","Contained - SLA Breach")))))</f>
        <v/>
      </c>
      <c r="AJ101" s="25" t="str">
        <f aca="false">IF(G101="","",IF(Z101&lt;&gt;"",1,0))</f>
        <v/>
      </c>
      <c r="AK101" s="34"/>
      <c r="AL101" s="34"/>
      <c r="AM101" s="35"/>
      <c r="AN101" s="34"/>
      <c r="AO101" s="34"/>
      <c r="AP101" s="35"/>
      <c r="AQ101" s="34"/>
      <c r="AR101" s="34"/>
      <c r="AS101" s="34"/>
      <c r="AT101" s="35"/>
      <c r="AU101" s="35"/>
    </row>
    <row r="102" customFormat="false" ht="15" hidden="false" customHeight="false" outlineLevel="0" collapsed="false">
      <c r="A102" s="24"/>
      <c r="B102" s="24"/>
      <c r="C102" s="24"/>
      <c r="D102" s="24"/>
      <c r="E102" s="24"/>
      <c r="F102" s="24"/>
      <c r="G102" s="24"/>
      <c r="H102" s="24"/>
      <c r="I102" s="32"/>
      <c r="J102" s="32"/>
      <c r="K102" s="32"/>
      <c r="L102" s="32"/>
      <c r="M102" s="24"/>
      <c r="N102" s="24"/>
      <c r="O102" s="24"/>
      <c r="P102" s="33" t="str">
        <f aca="false">IF(AND(G102&lt;&gt;"",I102&lt;&gt;"",J102&lt;&gt;""),(J102-I102)*1440,"")</f>
        <v/>
      </c>
      <c r="Q102" s="33" t="str">
        <f aca="false">IF(AND(G102&lt;&gt;"",J102&lt;&gt;"",K102&lt;&gt;""),(K102-J102)*1440,"")</f>
        <v/>
      </c>
      <c r="R102" s="33" t="str">
        <f aca="false">IF(AND(G102&lt;&gt;"",K102&lt;&gt;"",L102&lt;&gt;""),(L102-K102)*1440,"")</f>
        <v/>
      </c>
      <c r="S102" s="33" t="str">
        <f aca="false">IF(AND(G102&lt;&gt;"",I102&lt;&gt;"",L102&lt;&gt;""),(L102-I102)*1440,"")</f>
        <v/>
      </c>
      <c r="T102" s="33" t="str">
        <f aca="false">IF(G102="","",IFERROR(INDEX(Settings!$B$5:$B$8,MATCH(G102,Settings!$A$5:$A$8,0)),""))</f>
        <v/>
      </c>
      <c r="U102" s="25" t="str">
        <f aca="false">IF(G102="","",IF(S102="","No",IF(S102&lt;=T102,"Yes","No")))</f>
        <v/>
      </c>
      <c r="V102" s="25" t="str">
        <f aca="false">IF(G102="","",IF(AND(J102="",K102="",L102=""),"Telemetry Blind Spot",IF(AND(K102="",L102=""),"Missed Alert",IF(L102="","Triage Delay",IF(S102&lt;=T102,"Detected - Within SLA",IF(AND(R102&lt;&gt;"",R102&gt;IFERROR(INDEX(Settings!$C$5:$C$8,MATCH(G102,Settings!$A$5:$A$8,0)),1E+099)),"Triage Delay","Detected - SLA Breach"))))))</f>
        <v/>
      </c>
      <c r="W102" s="25" t="str">
        <f aca="false">IF(G102="","",IF(L102&lt;&gt;"",1,0))</f>
        <v/>
      </c>
      <c r="X102" s="32"/>
      <c r="Y102" s="32"/>
      <c r="Z102" s="32"/>
      <c r="AA102" s="24"/>
      <c r="AB102" s="24"/>
      <c r="AC102" s="33" t="str">
        <f aca="false">IF(AND(G102&lt;&gt;"",L102&lt;&gt;"",X102&lt;&gt;""),(X102-L102)*1440,"")</f>
        <v/>
      </c>
      <c r="AD102" s="33" t="str">
        <f aca="false">IF(AND(G102&lt;&gt;"",X102&lt;&gt;"",Y102&lt;&gt;""),(Y102-X102)*1440,"")</f>
        <v/>
      </c>
      <c r="AE102" s="33" t="str">
        <f aca="false">IF(AND(G102&lt;&gt;"",Y102&lt;&gt;"",Z102&lt;&gt;""),(Z102-Y102)*1440,"")</f>
        <v/>
      </c>
      <c r="AF102" s="33" t="str">
        <f aca="false">IF(AND(G102&lt;&gt;"",L102&lt;&gt;"",Z102&lt;&gt;""),(Z102-L102)*1440,"")</f>
        <v/>
      </c>
      <c r="AG102" s="33" t="str">
        <f aca="false">IF(G102="","",IFERROR(INDEX(Settings!$D$5:$D$8,MATCH(G102,Settings!$A$5:$A$8,0)),""))</f>
        <v/>
      </c>
      <c r="AH102" s="25" t="str">
        <f aca="false">IF(G102="","",IF(AF102="","No",IF(AF102&lt;=AG102,"Yes","No")))</f>
        <v/>
      </c>
      <c r="AI102" s="25" t="str">
        <f aca="false">IF(G102="","",IF(L102="","N/A - Not Detected",IF(AND(X102="",Y102="",Z102=""),"No Containment Action",IF(Z102="",IF(Y102&lt;&gt;"","C2 Persisted","Host Isolation Gap"),IF(AF102&lt;=AG102,"Contained - Within SLA","Contained - SLA Breach")))))</f>
        <v/>
      </c>
      <c r="AJ102" s="25" t="str">
        <f aca="false">IF(G102="","",IF(Z102&lt;&gt;"",1,0))</f>
        <v/>
      </c>
      <c r="AK102" s="34"/>
      <c r="AL102" s="34"/>
      <c r="AM102" s="35"/>
      <c r="AN102" s="34"/>
      <c r="AO102" s="34"/>
      <c r="AP102" s="35"/>
      <c r="AQ102" s="34"/>
      <c r="AR102" s="34"/>
      <c r="AS102" s="34"/>
      <c r="AT102" s="35"/>
      <c r="AU102" s="35"/>
    </row>
    <row r="103" customFormat="false" ht="15" hidden="false" customHeight="false" outlineLevel="0" collapsed="false">
      <c r="A103" s="24"/>
      <c r="B103" s="24"/>
      <c r="C103" s="24"/>
      <c r="D103" s="24"/>
      <c r="E103" s="24"/>
      <c r="F103" s="24"/>
      <c r="G103" s="24"/>
      <c r="H103" s="24"/>
      <c r="I103" s="32"/>
      <c r="J103" s="32"/>
      <c r="K103" s="32"/>
      <c r="L103" s="32"/>
      <c r="M103" s="24"/>
      <c r="N103" s="24"/>
      <c r="O103" s="24"/>
      <c r="P103" s="33" t="str">
        <f aca="false">IF(AND(G103&lt;&gt;"",I103&lt;&gt;"",J103&lt;&gt;""),(J103-I103)*1440,"")</f>
        <v/>
      </c>
      <c r="Q103" s="33" t="str">
        <f aca="false">IF(AND(G103&lt;&gt;"",J103&lt;&gt;"",K103&lt;&gt;""),(K103-J103)*1440,"")</f>
        <v/>
      </c>
      <c r="R103" s="33" t="str">
        <f aca="false">IF(AND(G103&lt;&gt;"",K103&lt;&gt;"",L103&lt;&gt;""),(L103-K103)*1440,"")</f>
        <v/>
      </c>
      <c r="S103" s="33" t="str">
        <f aca="false">IF(AND(G103&lt;&gt;"",I103&lt;&gt;"",L103&lt;&gt;""),(L103-I103)*1440,"")</f>
        <v/>
      </c>
      <c r="T103" s="33" t="str">
        <f aca="false">IF(G103="","",IFERROR(INDEX(Settings!$B$5:$B$8,MATCH(G103,Settings!$A$5:$A$8,0)),""))</f>
        <v/>
      </c>
      <c r="U103" s="25" t="str">
        <f aca="false">IF(G103="","",IF(S103="","No",IF(S103&lt;=T103,"Yes","No")))</f>
        <v/>
      </c>
      <c r="V103" s="25" t="str">
        <f aca="false">IF(G103="","",IF(AND(J103="",K103="",L103=""),"Telemetry Blind Spot",IF(AND(K103="",L103=""),"Missed Alert",IF(L103="","Triage Delay",IF(S103&lt;=T103,"Detected - Within SLA",IF(AND(R103&lt;&gt;"",R103&gt;IFERROR(INDEX(Settings!$C$5:$C$8,MATCH(G103,Settings!$A$5:$A$8,0)),1E+099)),"Triage Delay","Detected - SLA Breach"))))))</f>
        <v/>
      </c>
      <c r="W103" s="25" t="str">
        <f aca="false">IF(G103="","",IF(L103&lt;&gt;"",1,0))</f>
        <v/>
      </c>
      <c r="X103" s="32"/>
      <c r="Y103" s="32"/>
      <c r="Z103" s="32"/>
      <c r="AA103" s="24"/>
      <c r="AB103" s="24"/>
      <c r="AC103" s="33" t="str">
        <f aca="false">IF(AND(G103&lt;&gt;"",L103&lt;&gt;"",X103&lt;&gt;""),(X103-L103)*1440,"")</f>
        <v/>
      </c>
      <c r="AD103" s="33" t="str">
        <f aca="false">IF(AND(G103&lt;&gt;"",X103&lt;&gt;"",Y103&lt;&gt;""),(Y103-X103)*1440,"")</f>
        <v/>
      </c>
      <c r="AE103" s="33" t="str">
        <f aca="false">IF(AND(G103&lt;&gt;"",Y103&lt;&gt;"",Z103&lt;&gt;""),(Z103-Y103)*1440,"")</f>
        <v/>
      </c>
      <c r="AF103" s="33" t="str">
        <f aca="false">IF(AND(G103&lt;&gt;"",L103&lt;&gt;"",Z103&lt;&gt;""),(Z103-L103)*1440,"")</f>
        <v/>
      </c>
      <c r="AG103" s="33" t="str">
        <f aca="false">IF(G103="","",IFERROR(INDEX(Settings!$D$5:$D$8,MATCH(G103,Settings!$A$5:$A$8,0)),""))</f>
        <v/>
      </c>
      <c r="AH103" s="25" t="str">
        <f aca="false">IF(G103="","",IF(AF103="","No",IF(AF103&lt;=AG103,"Yes","No")))</f>
        <v/>
      </c>
      <c r="AI103" s="25" t="str">
        <f aca="false">IF(G103="","",IF(L103="","N/A - Not Detected",IF(AND(X103="",Y103="",Z103=""),"No Containment Action",IF(Z103="",IF(Y103&lt;&gt;"","C2 Persisted","Host Isolation Gap"),IF(AF103&lt;=AG103,"Contained - Within SLA","Contained - SLA Breach")))))</f>
        <v/>
      </c>
      <c r="AJ103" s="25" t="str">
        <f aca="false">IF(G103="","",IF(Z103&lt;&gt;"",1,0))</f>
        <v/>
      </c>
      <c r="AK103" s="34"/>
      <c r="AL103" s="34"/>
      <c r="AM103" s="35"/>
      <c r="AN103" s="34"/>
      <c r="AO103" s="34"/>
      <c r="AP103" s="35"/>
      <c r="AQ103" s="34"/>
      <c r="AR103" s="34"/>
      <c r="AS103" s="34"/>
      <c r="AT103" s="35"/>
      <c r="AU103" s="35"/>
    </row>
    <row r="104" customFormat="false" ht="15" hidden="false" customHeight="false" outlineLevel="0" collapsed="false">
      <c r="A104" s="24"/>
      <c r="B104" s="24"/>
      <c r="C104" s="24"/>
      <c r="D104" s="24"/>
      <c r="E104" s="24"/>
      <c r="F104" s="24"/>
      <c r="G104" s="24"/>
      <c r="H104" s="24"/>
      <c r="I104" s="32"/>
      <c r="J104" s="32"/>
      <c r="K104" s="32"/>
      <c r="L104" s="32"/>
      <c r="M104" s="24"/>
      <c r="N104" s="24"/>
      <c r="O104" s="24"/>
      <c r="P104" s="33" t="str">
        <f aca="false">IF(AND(G104&lt;&gt;"",I104&lt;&gt;"",J104&lt;&gt;""),(J104-I104)*1440,"")</f>
        <v/>
      </c>
      <c r="Q104" s="33" t="str">
        <f aca="false">IF(AND(G104&lt;&gt;"",J104&lt;&gt;"",K104&lt;&gt;""),(K104-J104)*1440,"")</f>
        <v/>
      </c>
      <c r="R104" s="33" t="str">
        <f aca="false">IF(AND(G104&lt;&gt;"",K104&lt;&gt;"",L104&lt;&gt;""),(L104-K104)*1440,"")</f>
        <v/>
      </c>
      <c r="S104" s="33" t="str">
        <f aca="false">IF(AND(G104&lt;&gt;"",I104&lt;&gt;"",L104&lt;&gt;""),(L104-I104)*1440,"")</f>
        <v/>
      </c>
      <c r="T104" s="33" t="str">
        <f aca="false">IF(G104="","",IFERROR(INDEX(Settings!$B$5:$B$8,MATCH(G104,Settings!$A$5:$A$8,0)),""))</f>
        <v/>
      </c>
      <c r="U104" s="25" t="str">
        <f aca="false">IF(G104="","",IF(S104="","No",IF(S104&lt;=T104,"Yes","No")))</f>
        <v/>
      </c>
      <c r="V104" s="25" t="str">
        <f aca="false">IF(G104="","",IF(AND(J104="",K104="",L104=""),"Telemetry Blind Spot",IF(AND(K104="",L104=""),"Missed Alert",IF(L104="","Triage Delay",IF(S104&lt;=T104,"Detected - Within SLA",IF(AND(R104&lt;&gt;"",R104&gt;IFERROR(INDEX(Settings!$C$5:$C$8,MATCH(G104,Settings!$A$5:$A$8,0)),1E+099)),"Triage Delay","Detected - SLA Breach"))))))</f>
        <v/>
      </c>
      <c r="W104" s="25" t="str">
        <f aca="false">IF(G104="","",IF(L104&lt;&gt;"",1,0))</f>
        <v/>
      </c>
      <c r="X104" s="32"/>
      <c r="Y104" s="32"/>
      <c r="Z104" s="32"/>
      <c r="AA104" s="24"/>
      <c r="AB104" s="24"/>
      <c r="AC104" s="33" t="str">
        <f aca="false">IF(AND(G104&lt;&gt;"",L104&lt;&gt;"",X104&lt;&gt;""),(X104-L104)*1440,"")</f>
        <v/>
      </c>
      <c r="AD104" s="33" t="str">
        <f aca="false">IF(AND(G104&lt;&gt;"",X104&lt;&gt;"",Y104&lt;&gt;""),(Y104-X104)*1440,"")</f>
        <v/>
      </c>
      <c r="AE104" s="33" t="str">
        <f aca="false">IF(AND(G104&lt;&gt;"",Y104&lt;&gt;"",Z104&lt;&gt;""),(Z104-Y104)*1440,"")</f>
        <v/>
      </c>
      <c r="AF104" s="33" t="str">
        <f aca="false">IF(AND(G104&lt;&gt;"",L104&lt;&gt;"",Z104&lt;&gt;""),(Z104-L104)*1440,"")</f>
        <v/>
      </c>
      <c r="AG104" s="33" t="str">
        <f aca="false">IF(G104="","",IFERROR(INDEX(Settings!$D$5:$D$8,MATCH(G104,Settings!$A$5:$A$8,0)),""))</f>
        <v/>
      </c>
      <c r="AH104" s="25" t="str">
        <f aca="false">IF(G104="","",IF(AF104="","No",IF(AF104&lt;=AG104,"Yes","No")))</f>
        <v/>
      </c>
      <c r="AI104" s="25" t="str">
        <f aca="false">IF(G104="","",IF(L104="","N/A - Not Detected",IF(AND(X104="",Y104="",Z104=""),"No Containment Action",IF(Z104="",IF(Y104&lt;&gt;"","C2 Persisted","Host Isolation Gap"),IF(AF104&lt;=AG104,"Contained - Within SLA","Contained - SLA Breach")))))</f>
        <v/>
      </c>
      <c r="AJ104" s="25" t="str">
        <f aca="false">IF(G104="","",IF(Z104&lt;&gt;"",1,0))</f>
        <v/>
      </c>
      <c r="AK104" s="34"/>
      <c r="AL104" s="34"/>
      <c r="AM104" s="35"/>
      <c r="AN104" s="34"/>
      <c r="AO104" s="34"/>
      <c r="AP104" s="35"/>
      <c r="AQ104" s="34"/>
      <c r="AR104" s="34"/>
      <c r="AS104" s="34"/>
      <c r="AT104" s="35"/>
      <c r="AU104" s="35"/>
    </row>
    <row r="105" customFormat="false" ht="15" hidden="false" customHeight="false" outlineLevel="0" collapsed="false">
      <c r="A105" s="24"/>
      <c r="B105" s="24"/>
      <c r="C105" s="24"/>
      <c r="D105" s="24"/>
      <c r="E105" s="24"/>
      <c r="F105" s="24"/>
      <c r="G105" s="24"/>
      <c r="H105" s="24"/>
      <c r="I105" s="32"/>
      <c r="J105" s="32"/>
      <c r="K105" s="32"/>
      <c r="L105" s="32"/>
      <c r="M105" s="24"/>
      <c r="N105" s="24"/>
      <c r="O105" s="24"/>
      <c r="P105" s="33" t="str">
        <f aca="false">IF(AND(G105&lt;&gt;"",I105&lt;&gt;"",J105&lt;&gt;""),(J105-I105)*1440,"")</f>
        <v/>
      </c>
      <c r="Q105" s="33" t="str">
        <f aca="false">IF(AND(G105&lt;&gt;"",J105&lt;&gt;"",K105&lt;&gt;""),(K105-J105)*1440,"")</f>
        <v/>
      </c>
      <c r="R105" s="33" t="str">
        <f aca="false">IF(AND(G105&lt;&gt;"",K105&lt;&gt;"",L105&lt;&gt;""),(L105-K105)*1440,"")</f>
        <v/>
      </c>
      <c r="S105" s="33" t="str">
        <f aca="false">IF(AND(G105&lt;&gt;"",I105&lt;&gt;"",L105&lt;&gt;""),(L105-I105)*1440,"")</f>
        <v/>
      </c>
      <c r="T105" s="33" t="str">
        <f aca="false">IF(G105="","",IFERROR(INDEX(Settings!$B$5:$B$8,MATCH(G105,Settings!$A$5:$A$8,0)),""))</f>
        <v/>
      </c>
      <c r="U105" s="25" t="str">
        <f aca="false">IF(G105="","",IF(S105="","No",IF(S105&lt;=T105,"Yes","No")))</f>
        <v/>
      </c>
      <c r="V105" s="25" t="str">
        <f aca="false">IF(G105="","",IF(AND(J105="",K105="",L105=""),"Telemetry Blind Spot",IF(AND(K105="",L105=""),"Missed Alert",IF(L105="","Triage Delay",IF(S105&lt;=T105,"Detected - Within SLA",IF(AND(R105&lt;&gt;"",R105&gt;IFERROR(INDEX(Settings!$C$5:$C$8,MATCH(G105,Settings!$A$5:$A$8,0)),1E+099)),"Triage Delay","Detected - SLA Breach"))))))</f>
        <v/>
      </c>
      <c r="W105" s="25" t="str">
        <f aca="false">IF(G105="","",IF(L105&lt;&gt;"",1,0))</f>
        <v/>
      </c>
      <c r="X105" s="32"/>
      <c r="Y105" s="32"/>
      <c r="Z105" s="32"/>
      <c r="AA105" s="24"/>
      <c r="AB105" s="24"/>
      <c r="AC105" s="33" t="str">
        <f aca="false">IF(AND(G105&lt;&gt;"",L105&lt;&gt;"",X105&lt;&gt;""),(X105-L105)*1440,"")</f>
        <v/>
      </c>
      <c r="AD105" s="33" t="str">
        <f aca="false">IF(AND(G105&lt;&gt;"",X105&lt;&gt;"",Y105&lt;&gt;""),(Y105-X105)*1440,"")</f>
        <v/>
      </c>
      <c r="AE105" s="33" t="str">
        <f aca="false">IF(AND(G105&lt;&gt;"",Y105&lt;&gt;"",Z105&lt;&gt;""),(Z105-Y105)*1440,"")</f>
        <v/>
      </c>
      <c r="AF105" s="33" t="str">
        <f aca="false">IF(AND(G105&lt;&gt;"",L105&lt;&gt;"",Z105&lt;&gt;""),(Z105-L105)*1440,"")</f>
        <v/>
      </c>
      <c r="AG105" s="33" t="str">
        <f aca="false">IF(G105="","",IFERROR(INDEX(Settings!$D$5:$D$8,MATCH(G105,Settings!$A$5:$A$8,0)),""))</f>
        <v/>
      </c>
      <c r="AH105" s="25" t="str">
        <f aca="false">IF(G105="","",IF(AF105="","No",IF(AF105&lt;=AG105,"Yes","No")))</f>
        <v/>
      </c>
      <c r="AI105" s="25" t="str">
        <f aca="false">IF(G105="","",IF(L105="","N/A - Not Detected",IF(AND(X105="",Y105="",Z105=""),"No Containment Action",IF(Z105="",IF(Y105&lt;&gt;"","C2 Persisted","Host Isolation Gap"),IF(AF105&lt;=AG105,"Contained - Within SLA","Contained - SLA Breach")))))</f>
        <v/>
      </c>
      <c r="AJ105" s="25" t="str">
        <f aca="false">IF(G105="","",IF(Z105&lt;&gt;"",1,0))</f>
        <v/>
      </c>
      <c r="AK105" s="34"/>
      <c r="AL105" s="34"/>
      <c r="AM105" s="35"/>
      <c r="AN105" s="34"/>
      <c r="AO105" s="34"/>
      <c r="AP105" s="35"/>
      <c r="AQ105" s="34"/>
      <c r="AR105" s="34"/>
      <c r="AS105" s="34"/>
      <c r="AT105" s="35"/>
      <c r="AU105" s="35"/>
    </row>
    <row r="106" customFormat="false" ht="15" hidden="false" customHeight="false" outlineLevel="0" collapsed="false">
      <c r="A106" s="24"/>
      <c r="B106" s="24"/>
      <c r="C106" s="24"/>
      <c r="D106" s="24"/>
      <c r="E106" s="24"/>
      <c r="F106" s="24"/>
      <c r="G106" s="24"/>
      <c r="H106" s="24"/>
      <c r="I106" s="32"/>
      <c r="J106" s="32"/>
      <c r="K106" s="32"/>
      <c r="L106" s="32"/>
      <c r="M106" s="24"/>
      <c r="N106" s="24"/>
      <c r="O106" s="24"/>
      <c r="P106" s="33" t="str">
        <f aca="false">IF(AND(G106&lt;&gt;"",I106&lt;&gt;"",J106&lt;&gt;""),(J106-I106)*1440,"")</f>
        <v/>
      </c>
      <c r="Q106" s="33" t="str">
        <f aca="false">IF(AND(G106&lt;&gt;"",J106&lt;&gt;"",K106&lt;&gt;""),(K106-J106)*1440,"")</f>
        <v/>
      </c>
      <c r="R106" s="33" t="str">
        <f aca="false">IF(AND(G106&lt;&gt;"",K106&lt;&gt;"",L106&lt;&gt;""),(L106-K106)*1440,"")</f>
        <v/>
      </c>
      <c r="S106" s="33" t="str">
        <f aca="false">IF(AND(G106&lt;&gt;"",I106&lt;&gt;"",L106&lt;&gt;""),(L106-I106)*1440,"")</f>
        <v/>
      </c>
      <c r="T106" s="33" t="str">
        <f aca="false">IF(G106="","",IFERROR(INDEX(Settings!$B$5:$B$8,MATCH(G106,Settings!$A$5:$A$8,0)),""))</f>
        <v/>
      </c>
      <c r="U106" s="25" t="str">
        <f aca="false">IF(G106="","",IF(S106="","No",IF(S106&lt;=T106,"Yes","No")))</f>
        <v/>
      </c>
      <c r="V106" s="25" t="str">
        <f aca="false">IF(G106="","",IF(AND(J106="",K106="",L106=""),"Telemetry Blind Spot",IF(AND(K106="",L106=""),"Missed Alert",IF(L106="","Triage Delay",IF(S106&lt;=T106,"Detected - Within SLA",IF(AND(R106&lt;&gt;"",R106&gt;IFERROR(INDEX(Settings!$C$5:$C$8,MATCH(G106,Settings!$A$5:$A$8,0)),1E+099)),"Triage Delay","Detected - SLA Breach"))))))</f>
        <v/>
      </c>
      <c r="W106" s="25" t="str">
        <f aca="false">IF(G106="","",IF(L106&lt;&gt;"",1,0))</f>
        <v/>
      </c>
      <c r="X106" s="32"/>
      <c r="Y106" s="32"/>
      <c r="Z106" s="32"/>
      <c r="AA106" s="24"/>
      <c r="AB106" s="24"/>
      <c r="AC106" s="33" t="str">
        <f aca="false">IF(AND(G106&lt;&gt;"",L106&lt;&gt;"",X106&lt;&gt;""),(X106-L106)*1440,"")</f>
        <v/>
      </c>
      <c r="AD106" s="33" t="str">
        <f aca="false">IF(AND(G106&lt;&gt;"",X106&lt;&gt;"",Y106&lt;&gt;""),(Y106-X106)*1440,"")</f>
        <v/>
      </c>
      <c r="AE106" s="33" t="str">
        <f aca="false">IF(AND(G106&lt;&gt;"",Y106&lt;&gt;"",Z106&lt;&gt;""),(Z106-Y106)*1440,"")</f>
        <v/>
      </c>
      <c r="AF106" s="33" t="str">
        <f aca="false">IF(AND(G106&lt;&gt;"",L106&lt;&gt;"",Z106&lt;&gt;""),(Z106-L106)*1440,"")</f>
        <v/>
      </c>
      <c r="AG106" s="33" t="str">
        <f aca="false">IF(G106="","",IFERROR(INDEX(Settings!$D$5:$D$8,MATCH(G106,Settings!$A$5:$A$8,0)),""))</f>
        <v/>
      </c>
      <c r="AH106" s="25" t="str">
        <f aca="false">IF(G106="","",IF(AF106="","No",IF(AF106&lt;=AG106,"Yes","No")))</f>
        <v/>
      </c>
      <c r="AI106" s="25" t="str">
        <f aca="false">IF(G106="","",IF(L106="","N/A - Not Detected",IF(AND(X106="",Y106="",Z106=""),"No Containment Action",IF(Z106="",IF(Y106&lt;&gt;"","C2 Persisted","Host Isolation Gap"),IF(AF106&lt;=AG106,"Contained - Within SLA","Contained - SLA Breach")))))</f>
        <v/>
      </c>
      <c r="AJ106" s="25" t="str">
        <f aca="false">IF(G106="","",IF(Z106&lt;&gt;"",1,0))</f>
        <v/>
      </c>
      <c r="AK106" s="34"/>
      <c r="AL106" s="34"/>
      <c r="AM106" s="35"/>
      <c r="AN106" s="34"/>
      <c r="AO106" s="34"/>
      <c r="AP106" s="35"/>
      <c r="AQ106" s="34"/>
      <c r="AR106" s="34"/>
      <c r="AS106" s="34"/>
      <c r="AT106" s="35"/>
      <c r="AU106" s="35"/>
    </row>
    <row r="107" customFormat="false" ht="15" hidden="false" customHeight="false" outlineLevel="0" collapsed="false">
      <c r="A107" s="24"/>
      <c r="B107" s="24"/>
      <c r="C107" s="24"/>
      <c r="D107" s="24"/>
      <c r="E107" s="24"/>
      <c r="F107" s="24"/>
      <c r="G107" s="24"/>
      <c r="H107" s="24"/>
      <c r="I107" s="32"/>
      <c r="J107" s="32"/>
      <c r="K107" s="32"/>
      <c r="L107" s="32"/>
      <c r="M107" s="24"/>
      <c r="N107" s="24"/>
      <c r="O107" s="24"/>
      <c r="P107" s="33" t="str">
        <f aca="false">IF(AND(G107&lt;&gt;"",I107&lt;&gt;"",J107&lt;&gt;""),(J107-I107)*1440,"")</f>
        <v/>
      </c>
      <c r="Q107" s="33" t="str">
        <f aca="false">IF(AND(G107&lt;&gt;"",J107&lt;&gt;"",K107&lt;&gt;""),(K107-J107)*1440,"")</f>
        <v/>
      </c>
      <c r="R107" s="33" t="str">
        <f aca="false">IF(AND(G107&lt;&gt;"",K107&lt;&gt;"",L107&lt;&gt;""),(L107-K107)*1440,"")</f>
        <v/>
      </c>
      <c r="S107" s="33" t="str">
        <f aca="false">IF(AND(G107&lt;&gt;"",I107&lt;&gt;"",L107&lt;&gt;""),(L107-I107)*1440,"")</f>
        <v/>
      </c>
      <c r="T107" s="33" t="str">
        <f aca="false">IF(G107="","",IFERROR(INDEX(Settings!$B$5:$B$8,MATCH(G107,Settings!$A$5:$A$8,0)),""))</f>
        <v/>
      </c>
      <c r="U107" s="25" t="str">
        <f aca="false">IF(G107="","",IF(S107="","No",IF(S107&lt;=T107,"Yes","No")))</f>
        <v/>
      </c>
      <c r="V107" s="25" t="str">
        <f aca="false">IF(G107="","",IF(AND(J107="",K107="",L107=""),"Telemetry Blind Spot",IF(AND(K107="",L107=""),"Missed Alert",IF(L107="","Triage Delay",IF(S107&lt;=T107,"Detected - Within SLA",IF(AND(R107&lt;&gt;"",R107&gt;IFERROR(INDEX(Settings!$C$5:$C$8,MATCH(G107,Settings!$A$5:$A$8,0)),1E+099)),"Triage Delay","Detected - SLA Breach"))))))</f>
        <v/>
      </c>
      <c r="W107" s="25" t="str">
        <f aca="false">IF(G107="","",IF(L107&lt;&gt;"",1,0))</f>
        <v/>
      </c>
      <c r="X107" s="32"/>
      <c r="Y107" s="32"/>
      <c r="Z107" s="32"/>
      <c r="AA107" s="24"/>
      <c r="AB107" s="24"/>
      <c r="AC107" s="33" t="str">
        <f aca="false">IF(AND(G107&lt;&gt;"",L107&lt;&gt;"",X107&lt;&gt;""),(X107-L107)*1440,"")</f>
        <v/>
      </c>
      <c r="AD107" s="33" t="str">
        <f aca="false">IF(AND(G107&lt;&gt;"",X107&lt;&gt;"",Y107&lt;&gt;""),(Y107-X107)*1440,"")</f>
        <v/>
      </c>
      <c r="AE107" s="33" t="str">
        <f aca="false">IF(AND(G107&lt;&gt;"",Y107&lt;&gt;"",Z107&lt;&gt;""),(Z107-Y107)*1440,"")</f>
        <v/>
      </c>
      <c r="AF107" s="33" t="str">
        <f aca="false">IF(AND(G107&lt;&gt;"",L107&lt;&gt;"",Z107&lt;&gt;""),(Z107-L107)*1440,"")</f>
        <v/>
      </c>
      <c r="AG107" s="33" t="str">
        <f aca="false">IF(G107="","",IFERROR(INDEX(Settings!$D$5:$D$8,MATCH(G107,Settings!$A$5:$A$8,0)),""))</f>
        <v/>
      </c>
      <c r="AH107" s="25" t="str">
        <f aca="false">IF(G107="","",IF(AF107="","No",IF(AF107&lt;=AG107,"Yes","No")))</f>
        <v/>
      </c>
      <c r="AI107" s="25" t="str">
        <f aca="false">IF(G107="","",IF(L107="","N/A - Not Detected",IF(AND(X107="",Y107="",Z107=""),"No Containment Action",IF(Z107="",IF(Y107&lt;&gt;"","C2 Persisted","Host Isolation Gap"),IF(AF107&lt;=AG107,"Contained - Within SLA","Contained - SLA Breach")))))</f>
        <v/>
      </c>
      <c r="AJ107" s="25" t="str">
        <f aca="false">IF(G107="","",IF(Z107&lt;&gt;"",1,0))</f>
        <v/>
      </c>
      <c r="AK107" s="34"/>
      <c r="AL107" s="34"/>
      <c r="AM107" s="35"/>
      <c r="AN107" s="34"/>
      <c r="AO107" s="34"/>
      <c r="AP107" s="35"/>
      <c r="AQ107" s="34"/>
      <c r="AR107" s="34"/>
      <c r="AS107" s="34"/>
      <c r="AT107" s="35"/>
      <c r="AU107" s="35"/>
    </row>
    <row r="108" customFormat="false" ht="15" hidden="false" customHeight="false" outlineLevel="0" collapsed="false">
      <c r="A108" s="24"/>
      <c r="B108" s="24"/>
      <c r="C108" s="24"/>
      <c r="D108" s="24"/>
      <c r="E108" s="24"/>
      <c r="F108" s="24"/>
      <c r="G108" s="24"/>
      <c r="H108" s="24"/>
      <c r="I108" s="32"/>
      <c r="J108" s="32"/>
      <c r="K108" s="32"/>
      <c r="L108" s="32"/>
      <c r="M108" s="24"/>
      <c r="N108" s="24"/>
      <c r="O108" s="24"/>
      <c r="P108" s="33" t="str">
        <f aca="false">IF(AND(G108&lt;&gt;"",I108&lt;&gt;"",J108&lt;&gt;""),(J108-I108)*1440,"")</f>
        <v/>
      </c>
      <c r="Q108" s="33" t="str">
        <f aca="false">IF(AND(G108&lt;&gt;"",J108&lt;&gt;"",K108&lt;&gt;""),(K108-J108)*1440,"")</f>
        <v/>
      </c>
      <c r="R108" s="33" t="str">
        <f aca="false">IF(AND(G108&lt;&gt;"",K108&lt;&gt;"",L108&lt;&gt;""),(L108-K108)*1440,"")</f>
        <v/>
      </c>
      <c r="S108" s="33" t="str">
        <f aca="false">IF(AND(G108&lt;&gt;"",I108&lt;&gt;"",L108&lt;&gt;""),(L108-I108)*1440,"")</f>
        <v/>
      </c>
      <c r="T108" s="33" t="str">
        <f aca="false">IF(G108="","",IFERROR(INDEX(Settings!$B$5:$B$8,MATCH(G108,Settings!$A$5:$A$8,0)),""))</f>
        <v/>
      </c>
      <c r="U108" s="25" t="str">
        <f aca="false">IF(G108="","",IF(S108="","No",IF(S108&lt;=T108,"Yes","No")))</f>
        <v/>
      </c>
      <c r="V108" s="25" t="str">
        <f aca="false">IF(G108="","",IF(AND(J108="",K108="",L108=""),"Telemetry Blind Spot",IF(AND(K108="",L108=""),"Missed Alert",IF(L108="","Triage Delay",IF(S108&lt;=T108,"Detected - Within SLA",IF(AND(R108&lt;&gt;"",R108&gt;IFERROR(INDEX(Settings!$C$5:$C$8,MATCH(G108,Settings!$A$5:$A$8,0)),1E+099)),"Triage Delay","Detected - SLA Breach"))))))</f>
        <v/>
      </c>
      <c r="W108" s="25" t="str">
        <f aca="false">IF(G108="","",IF(L108&lt;&gt;"",1,0))</f>
        <v/>
      </c>
      <c r="X108" s="32"/>
      <c r="Y108" s="32"/>
      <c r="Z108" s="32"/>
      <c r="AA108" s="24"/>
      <c r="AB108" s="24"/>
      <c r="AC108" s="33" t="str">
        <f aca="false">IF(AND(G108&lt;&gt;"",L108&lt;&gt;"",X108&lt;&gt;""),(X108-L108)*1440,"")</f>
        <v/>
      </c>
      <c r="AD108" s="33" t="str">
        <f aca="false">IF(AND(G108&lt;&gt;"",X108&lt;&gt;"",Y108&lt;&gt;""),(Y108-X108)*1440,"")</f>
        <v/>
      </c>
      <c r="AE108" s="33" t="str">
        <f aca="false">IF(AND(G108&lt;&gt;"",Y108&lt;&gt;"",Z108&lt;&gt;""),(Z108-Y108)*1440,"")</f>
        <v/>
      </c>
      <c r="AF108" s="33" t="str">
        <f aca="false">IF(AND(G108&lt;&gt;"",L108&lt;&gt;"",Z108&lt;&gt;""),(Z108-L108)*1440,"")</f>
        <v/>
      </c>
      <c r="AG108" s="33" t="str">
        <f aca="false">IF(G108="","",IFERROR(INDEX(Settings!$D$5:$D$8,MATCH(G108,Settings!$A$5:$A$8,0)),""))</f>
        <v/>
      </c>
      <c r="AH108" s="25" t="str">
        <f aca="false">IF(G108="","",IF(AF108="","No",IF(AF108&lt;=AG108,"Yes","No")))</f>
        <v/>
      </c>
      <c r="AI108" s="25" t="str">
        <f aca="false">IF(G108="","",IF(L108="","N/A - Not Detected",IF(AND(X108="",Y108="",Z108=""),"No Containment Action",IF(Z108="",IF(Y108&lt;&gt;"","C2 Persisted","Host Isolation Gap"),IF(AF108&lt;=AG108,"Contained - Within SLA","Contained - SLA Breach")))))</f>
        <v/>
      </c>
      <c r="AJ108" s="25" t="str">
        <f aca="false">IF(G108="","",IF(Z108&lt;&gt;"",1,0))</f>
        <v/>
      </c>
      <c r="AK108" s="34"/>
      <c r="AL108" s="34"/>
      <c r="AM108" s="35"/>
      <c r="AN108" s="34"/>
      <c r="AO108" s="34"/>
      <c r="AP108" s="35"/>
      <c r="AQ108" s="34"/>
      <c r="AR108" s="34"/>
      <c r="AS108" s="34"/>
      <c r="AT108" s="35"/>
      <c r="AU108" s="35"/>
    </row>
    <row r="109" customFormat="false" ht="15" hidden="false" customHeight="false" outlineLevel="0" collapsed="false">
      <c r="A109" s="24"/>
      <c r="B109" s="24"/>
      <c r="C109" s="24"/>
      <c r="D109" s="24"/>
      <c r="E109" s="24"/>
      <c r="F109" s="24"/>
      <c r="G109" s="24"/>
      <c r="H109" s="24"/>
      <c r="I109" s="32"/>
      <c r="J109" s="32"/>
      <c r="K109" s="32"/>
      <c r="L109" s="32"/>
      <c r="M109" s="24"/>
      <c r="N109" s="24"/>
      <c r="O109" s="24"/>
      <c r="P109" s="33" t="str">
        <f aca="false">IF(AND(G109&lt;&gt;"",I109&lt;&gt;"",J109&lt;&gt;""),(J109-I109)*1440,"")</f>
        <v/>
      </c>
      <c r="Q109" s="33" t="str">
        <f aca="false">IF(AND(G109&lt;&gt;"",J109&lt;&gt;"",K109&lt;&gt;""),(K109-J109)*1440,"")</f>
        <v/>
      </c>
      <c r="R109" s="33" t="str">
        <f aca="false">IF(AND(G109&lt;&gt;"",K109&lt;&gt;"",L109&lt;&gt;""),(L109-K109)*1440,"")</f>
        <v/>
      </c>
      <c r="S109" s="33" t="str">
        <f aca="false">IF(AND(G109&lt;&gt;"",I109&lt;&gt;"",L109&lt;&gt;""),(L109-I109)*1440,"")</f>
        <v/>
      </c>
      <c r="T109" s="33" t="str">
        <f aca="false">IF(G109="","",IFERROR(INDEX(Settings!$B$5:$B$8,MATCH(G109,Settings!$A$5:$A$8,0)),""))</f>
        <v/>
      </c>
      <c r="U109" s="25" t="str">
        <f aca="false">IF(G109="","",IF(S109="","No",IF(S109&lt;=T109,"Yes","No")))</f>
        <v/>
      </c>
      <c r="V109" s="25" t="str">
        <f aca="false">IF(G109="","",IF(AND(J109="",K109="",L109=""),"Telemetry Blind Spot",IF(AND(K109="",L109=""),"Missed Alert",IF(L109="","Triage Delay",IF(S109&lt;=T109,"Detected - Within SLA",IF(AND(R109&lt;&gt;"",R109&gt;IFERROR(INDEX(Settings!$C$5:$C$8,MATCH(G109,Settings!$A$5:$A$8,0)),1E+099)),"Triage Delay","Detected - SLA Breach"))))))</f>
        <v/>
      </c>
      <c r="W109" s="25" t="str">
        <f aca="false">IF(G109="","",IF(L109&lt;&gt;"",1,0))</f>
        <v/>
      </c>
      <c r="X109" s="32"/>
      <c r="Y109" s="32"/>
      <c r="Z109" s="32"/>
      <c r="AA109" s="24"/>
      <c r="AB109" s="24"/>
      <c r="AC109" s="33" t="str">
        <f aca="false">IF(AND(G109&lt;&gt;"",L109&lt;&gt;"",X109&lt;&gt;""),(X109-L109)*1440,"")</f>
        <v/>
      </c>
      <c r="AD109" s="33" t="str">
        <f aca="false">IF(AND(G109&lt;&gt;"",X109&lt;&gt;"",Y109&lt;&gt;""),(Y109-X109)*1440,"")</f>
        <v/>
      </c>
      <c r="AE109" s="33" t="str">
        <f aca="false">IF(AND(G109&lt;&gt;"",Y109&lt;&gt;"",Z109&lt;&gt;""),(Z109-Y109)*1440,"")</f>
        <v/>
      </c>
      <c r="AF109" s="33" t="str">
        <f aca="false">IF(AND(G109&lt;&gt;"",L109&lt;&gt;"",Z109&lt;&gt;""),(Z109-L109)*1440,"")</f>
        <v/>
      </c>
      <c r="AG109" s="33" t="str">
        <f aca="false">IF(G109="","",IFERROR(INDEX(Settings!$D$5:$D$8,MATCH(G109,Settings!$A$5:$A$8,0)),""))</f>
        <v/>
      </c>
      <c r="AH109" s="25" t="str">
        <f aca="false">IF(G109="","",IF(AF109="","No",IF(AF109&lt;=AG109,"Yes","No")))</f>
        <v/>
      </c>
      <c r="AI109" s="25" t="str">
        <f aca="false">IF(G109="","",IF(L109="","N/A - Not Detected",IF(AND(X109="",Y109="",Z109=""),"No Containment Action",IF(Z109="",IF(Y109&lt;&gt;"","C2 Persisted","Host Isolation Gap"),IF(AF109&lt;=AG109,"Contained - Within SLA","Contained - SLA Breach")))))</f>
        <v/>
      </c>
      <c r="AJ109" s="25" t="str">
        <f aca="false">IF(G109="","",IF(Z109&lt;&gt;"",1,0))</f>
        <v/>
      </c>
      <c r="AK109" s="34"/>
      <c r="AL109" s="34"/>
      <c r="AM109" s="35"/>
      <c r="AN109" s="34"/>
      <c r="AO109" s="34"/>
      <c r="AP109" s="35"/>
      <c r="AQ109" s="34"/>
      <c r="AR109" s="34"/>
      <c r="AS109" s="34"/>
      <c r="AT109" s="35"/>
      <c r="AU109" s="35"/>
    </row>
    <row r="110" customFormat="false" ht="15" hidden="false" customHeight="false" outlineLevel="0" collapsed="false">
      <c r="A110" s="24"/>
      <c r="B110" s="24"/>
      <c r="C110" s="24"/>
      <c r="D110" s="24"/>
      <c r="E110" s="24"/>
      <c r="F110" s="24"/>
      <c r="G110" s="24"/>
      <c r="H110" s="24"/>
      <c r="I110" s="32"/>
      <c r="J110" s="32"/>
      <c r="K110" s="32"/>
      <c r="L110" s="32"/>
      <c r="M110" s="24"/>
      <c r="N110" s="24"/>
      <c r="O110" s="24"/>
      <c r="P110" s="33" t="str">
        <f aca="false">IF(AND(G110&lt;&gt;"",I110&lt;&gt;"",J110&lt;&gt;""),(J110-I110)*1440,"")</f>
        <v/>
      </c>
      <c r="Q110" s="33" t="str">
        <f aca="false">IF(AND(G110&lt;&gt;"",J110&lt;&gt;"",K110&lt;&gt;""),(K110-J110)*1440,"")</f>
        <v/>
      </c>
      <c r="R110" s="33" t="str">
        <f aca="false">IF(AND(G110&lt;&gt;"",K110&lt;&gt;"",L110&lt;&gt;""),(L110-K110)*1440,"")</f>
        <v/>
      </c>
      <c r="S110" s="33" t="str">
        <f aca="false">IF(AND(G110&lt;&gt;"",I110&lt;&gt;"",L110&lt;&gt;""),(L110-I110)*1440,"")</f>
        <v/>
      </c>
      <c r="T110" s="33" t="str">
        <f aca="false">IF(G110="","",IFERROR(INDEX(Settings!$B$5:$B$8,MATCH(G110,Settings!$A$5:$A$8,0)),""))</f>
        <v/>
      </c>
      <c r="U110" s="25" t="str">
        <f aca="false">IF(G110="","",IF(S110="","No",IF(S110&lt;=T110,"Yes","No")))</f>
        <v/>
      </c>
      <c r="V110" s="25" t="str">
        <f aca="false">IF(G110="","",IF(AND(J110="",K110="",L110=""),"Telemetry Blind Spot",IF(AND(K110="",L110=""),"Missed Alert",IF(L110="","Triage Delay",IF(S110&lt;=T110,"Detected - Within SLA",IF(AND(R110&lt;&gt;"",R110&gt;IFERROR(INDEX(Settings!$C$5:$C$8,MATCH(G110,Settings!$A$5:$A$8,0)),1E+099)),"Triage Delay","Detected - SLA Breach"))))))</f>
        <v/>
      </c>
      <c r="W110" s="25" t="str">
        <f aca="false">IF(G110="","",IF(L110&lt;&gt;"",1,0))</f>
        <v/>
      </c>
      <c r="X110" s="32"/>
      <c r="Y110" s="32"/>
      <c r="Z110" s="32"/>
      <c r="AA110" s="24"/>
      <c r="AB110" s="24"/>
      <c r="AC110" s="33" t="str">
        <f aca="false">IF(AND(G110&lt;&gt;"",L110&lt;&gt;"",X110&lt;&gt;""),(X110-L110)*1440,"")</f>
        <v/>
      </c>
      <c r="AD110" s="33" t="str">
        <f aca="false">IF(AND(G110&lt;&gt;"",X110&lt;&gt;"",Y110&lt;&gt;""),(Y110-X110)*1440,"")</f>
        <v/>
      </c>
      <c r="AE110" s="33" t="str">
        <f aca="false">IF(AND(G110&lt;&gt;"",Y110&lt;&gt;"",Z110&lt;&gt;""),(Z110-Y110)*1440,"")</f>
        <v/>
      </c>
      <c r="AF110" s="33" t="str">
        <f aca="false">IF(AND(G110&lt;&gt;"",L110&lt;&gt;"",Z110&lt;&gt;""),(Z110-L110)*1440,"")</f>
        <v/>
      </c>
      <c r="AG110" s="33" t="str">
        <f aca="false">IF(G110="","",IFERROR(INDEX(Settings!$D$5:$D$8,MATCH(G110,Settings!$A$5:$A$8,0)),""))</f>
        <v/>
      </c>
      <c r="AH110" s="25" t="str">
        <f aca="false">IF(G110="","",IF(AF110="","No",IF(AF110&lt;=AG110,"Yes","No")))</f>
        <v/>
      </c>
      <c r="AI110" s="25" t="str">
        <f aca="false">IF(G110="","",IF(L110="","N/A - Not Detected",IF(AND(X110="",Y110="",Z110=""),"No Containment Action",IF(Z110="",IF(Y110&lt;&gt;"","C2 Persisted","Host Isolation Gap"),IF(AF110&lt;=AG110,"Contained - Within SLA","Contained - SLA Breach")))))</f>
        <v/>
      </c>
      <c r="AJ110" s="25" t="str">
        <f aca="false">IF(G110="","",IF(Z110&lt;&gt;"",1,0))</f>
        <v/>
      </c>
      <c r="AK110" s="34"/>
      <c r="AL110" s="34"/>
      <c r="AM110" s="35"/>
      <c r="AN110" s="34"/>
      <c r="AO110" s="34"/>
      <c r="AP110" s="35"/>
      <c r="AQ110" s="34"/>
      <c r="AR110" s="34"/>
      <c r="AS110" s="34"/>
      <c r="AT110" s="35"/>
      <c r="AU110" s="35"/>
    </row>
    <row r="111" customFormat="false" ht="15" hidden="false" customHeight="false" outlineLevel="0" collapsed="false">
      <c r="A111" s="24"/>
      <c r="B111" s="24"/>
      <c r="C111" s="24"/>
      <c r="D111" s="24"/>
      <c r="E111" s="24"/>
      <c r="F111" s="24"/>
      <c r="G111" s="24"/>
      <c r="H111" s="24"/>
      <c r="I111" s="32"/>
      <c r="J111" s="32"/>
      <c r="K111" s="32"/>
      <c r="L111" s="32"/>
      <c r="M111" s="24"/>
      <c r="N111" s="24"/>
      <c r="O111" s="24"/>
      <c r="P111" s="33" t="str">
        <f aca="false">IF(AND(G111&lt;&gt;"",I111&lt;&gt;"",J111&lt;&gt;""),(J111-I111)*1440,"")</f>
        <v/>
      </c>
      <c r="Q111" s="33" t="str">
        <f aca="false">IF(AND(G111&lt;&gt;"",J111&lt;&gt;"",K111&lt;&gt;""),(K111-J111)*1440,"")</f>
        <v/>
      </c>
      <c r="R111" s="33" t="str">
        <f aca="false">IF(AND(G111&lt;&gt;"",K111&lt;&gt;"",L111&lt;&gt;""),(L111-K111)*1440,"")</f>
        <v/>
      </c>
      <c r="S111" s="33" t="str">
        <f aca="false">IF(AND(G111&lt;&gt;"",I111&lt;&gt;"",L111&lt;&gt;""),(L111-I111)*1440,"")</f>
        <v/>
      </c>
      <c r="T111" s="33" t="str">
        <f aca="false">IF(G111="","",IFERROR(INDEX(Settings!$B$5:$B$8,MATCH(G111,Settings!$A$5:$A$8,0)),""))</f>
        <v/>
      </c>
      <c r="U111" s="25" t="str">
        <f aca="false">IF(G111="","",IF(S111="","No",IF(S111&lt;=T111,"Yes","No")))</f>
        <v/>
      </c>
      <c r="V111" s="25" t="str">
        <f aca="false">IF(G111="","",IF(AND(J111="",K111="",L111=""),"Telemetry Blind Spot",IF(AND(K111="",L111=""),"Missed Alert",IF(L111="","Triage Delay",IF(S111&lt;=T111,"Detected - Within SLA",IF(AND(R111&lt;&gt;"",R111&gt;IFERROR(INDEX(Settings!$C$5:$C$8,MATCH(G111,Settings!$A$5:$A$8,0)),1E+099)),"Triage Delay","Detected - SLA Breach"))))))</f>
        <v/>
      </c>
      <c r="W111" s="25" t="str">
        <f aca="false">IF(G111="","",IF(L111&lt;&gt;"",1,0))</f>
        <v/>
      </c>
      <c r="X111" s="32"/>
      <c r="Y111" s="32"/>
      <c r="Z111" s="32"/>
      <c r="AA111" s="24"/>
      <c r="AB111" s="24"/>
      <c r="AC111" s="33" t="str">
        <f aca="false">IF(AND(G111&lt;&gt;"",L111&lt;&gt;"",X111&lt;&gt;""),(X111-L111)*1440,"")</f>
        <v/>
      </c>
      <c r="AD111" s="33" t="str">
        <f aca="false">IF(AND(G111&lt;&gt;"",X111&lt;&gt;"",Y111&lt;&gt;""),(Y111-X111)*1440,"")</f>
        <v/>
      </c>
      <c r="AE111" s="33" t="str">
        <f aca="false">IF(AND(G111&lt;&gt;"",Y111&lt;&gt;"",Z111&lt;&gt;""),(Z111-Y111)*1440,"")</f>
        <v/>
      </c>
      <c r="AF111" s="33" t="str">
        <f aca="false">IF(AND(G111&lt;&gt;"",L111&lt;&gt;"",Z111&lt;&gt;""),(Z111-L111)*1440,"")</f>
        <v/>
      </c>
      <c r="AG111" s="33" t="str">
        <f aca="false">IF(G111="","",IFERROR(INDEX(Settings!$D$5:$D$8,MATCH(G111,Settings!$A$5:$A$8,0)),""))</f>
        <v/>
      </c>
      <c r="AH111" s="25" t="str">
        <f aca="false">IF(G111="","",IF(AF111="","No",IF(AF111&lt;=AG111,"Yes","No")))</f>
        <v/>
      </c>
      <c r="AI111" s="25" t="str">
        <f aca="false">IF(G111="","",IF(L111="","N/A - Not Detected",IF(AND(X111="",Y111="",Z111=""),"No Containment Action",IF(Z111="",IF(Y111&lt;&gt;"","C2 Persisted","Host Isolation Gap"),IF(AF111&lt;=AG111,"Contained - Within SLA","Contained - SLA Breach")))))</f>
        <v/>
      </c>
      <c r="AJ111" s="25" t="str">
        <f aca="false">IF(G111="","",IF(Z111&lt;&gt;"",1,0))</f>
        <v/>
      </c>
      <c r="AK111" s="34"/>
      <c r="AL111" s="34"/>
      <c r="AM111" s="35"/>
      <c r="AN111" s="34"/>
      <c r="AO111" s="34"/>
      <c r="AP111" s="35"/>
      <c r="AQ111" s="34"/>
      <c r="AR111" s="34"/>
      <c r="AS111" s="34"/>
      <c r="AT111" s="35"/>
      <c r="AU111" s="35"/>
    </row>
    <row r="112" customFormat="false" ht="15" hidden="false" customHeight="false" outlineLevel="0" collapsed="false">
      <c r="A112" s="24"/>
      <c r="B112" s="24"/>
      <c r="C112" s="24"/>
      <c r="D112" s="24"/>
      <c r="E112" s="24"/>
      <c r="F112" s="24"/>
      <c r="G112" s="24"/>
      <c r="H112" s="24"/>
      <c r="I112" s="32"/>
      <c r="J112" s="32"/>
      <c r="K112" s="32"/>
      <c r="L112" s="32"/>
      <c r="M112" s="24"/>
      <c r="N112" s="24"/>
      <c r="O112" s="24"/>
      <c r="P112" s="33" t="str">
        <f aca="false">IF(AND(G112&lt;&gt;"",I112&lt;&gt;"",J112&lt;&gt;""),(J112-I112)*1440,"")</f>
        <v/>
      </c>
      <c r="Q112" s="33" t="str">
        <f aca="false">IF(AND(G112&lt;&gt;"",J112&lt;&gt;"",K112&lt;&gt;""),(K112-J112)*1440,"")</f>
        <v/>
      </c>
      <c r="R112" s="33" t="str">
        <f aca="false">IF(AND(G112&lt;&gt;"",K112&lt;&gt;"",L112&lt;&gt;""),(L112-K112)*1440,"")</f>
        <v/>
      </c>
      <c r="S112" s="33" t="str">
        <f aca="false">IF(AND(G112&lt;&gt;"",I112&lt;&gt;"",L112&lt;&gt;""),(L112-I112)*1440,"")</f>
        <v/>
      </c>
      <c r="T112" s="33" t="str">
        <f aca="false">IF(G112="","",IFERROR(INDEX(Settings!$B$5:$B$8,MATCH(G112,Settings!$A$5:$A$8,0)),""))</f>
        <v/>
      </c>
      <c r="U112" s="25" t="str">
        <f aca="false">IF(G112="","",IF(S112="","No",IF(S112&lt;=T112,"Yes","No")))</f>
        <v/>
      </c>
      <c r="V112" s="25" t="str">
        <f aca="false">IF(G112="","",IF(AND(J112="",K112="",L112=""),"Telemetry Blind Spot",IF(AND(K112="",L112=""),"Missed Alert",IF(L112="","Triage Delay",IF(S112&lt;=T112,"Detected - Within SLA",IF(AND(R112&lt;&gt;"",R112&gt;IFERROR(INDEX(Settings!$C$5:$C$8,MATCH(G112,Settings!$A$5:$A$8,0)),1E+099)),"Triage Delay","Detected - SLA Breach"))))))</f>
        <v/>
      </c>
      <c r="W112" s="25" t="str">
        <f aca="false">IF(G112="","",IF(L112&lt;&gt;"",1,0))</f>
        <v/>
      </c>
      <c r="X112" s="32"/>
      <c r="Y112" s="32"/>
      <c r="Z112" s="32"/>
      <c r="AA112" s="24"/>
      <c r="AB112" s="24"/>
      <c r="AC112" s="33" t="str">
        <f aca="false">IF(AND(G112&lt;&gt;"",L112&lt;&gt;"",X112&lt;&gt;""),(X112-L112)*1440,"")</f>
        <v/>
      </c>
      <c r="AD112" s="33" t="str">
        <f aca="false">IF(AND(G112&lt;&gt;"",X112&lt;&gt;"",Y112&lt;&gt;""),(Y112-X112)*1440,"")</f>
        <v/>
      </c>
      <c r="AE112" s="33" t="str">
        <f aca="false">IF(AND(G112&lt;&gt;"",Y112&lt;&gt;"",Z112&lt;&gt;""),(Z112-Y112)*1440,"")</f>
        <v/>
      </c>
      <c r="AF112" s="33" t="str">
        <f aca="false">IF(AND(G112&lt;&gt;"",L112&lt;&gt;"",Z112&lt;&gt;""),(Z112-L112)*1440,"")</f>
        <v/>
      </c>
      <c r="AG112" s="33" t="str">
        <f aca="false">IF(G112="","",IFERROR(INDEX(Settings!$D$5:$D$8,MATCH(G112,Settings!$A$5:$A$8,0)),""))</f>
        <v/>
      </c>
      <c r="AH112" s="25" t="str">
        <f aca="false">IF(G112="","",IF(AF112="","No",IF(AF112&lt;=AG112,"Yes","No")))</f>
        <v/>
      </c>
      <c r="AI112" s="25" t="str">
        <f aca="false">IF(G112="","",IF(L112="","N/A - Not Detected",IF(AND(X112="",Y112="",Z112=""),"No Containment Action",IF(Z112="",IF(Y112&lt;&gt;"","C2 Persisted","Host Isolation Gap"),IF(AF112&lt;=AG112,"Contained - Within SLA","Contained - SLA Breach")))))</f>
        <v/>
      </c>
      <c r="AJ112" s="25" t="str">
        <f aca="false">IF(G112="","",IF(Z112&lt;&gt;"",1,0))</f>
        <v/>
      </c>
      <c r="AK112" s="34"/>
      <c r="AL112" s="34"/>
      <c r="AM112" s="35"/>
      <c r="AN112" s="34"/>
      <c r="AO112" s="34"/>
      <c r="AP112" s="35"/>
      <c r="AQ112" s="34"/>
      <c r="AR112" s="34"/>
      <c r="AS112" s="34"/>
      <c r="AT112" s="35"/>
      <c r="AU112" s="35"/>
    </row>
    <row r="113" customFormat="false" ht="15" hidden="false" customHeight="false" outlineLevel="0" collapsed="false">
      <c r="A113" s="24"/>
      <c r="B113" s="24"/>
      <c r="C113" s="24"/>
      <c r="D113" s="24"/>
      <c r="E113" s="24"/>
      <c r="F113" s="24"/>
      <c r="G113" s="24"/>
      <c r="H113" s="24"/>
      <c r="I113" s="32"/>
      <c r="J113" s="32"/>
      <c r="K113" s="32"/>
      <c r="L113" s="32"/>
      <c r="M113" s="24"/>
      <c r="N113" s="24"/>
      <c r="O113" s="24"/>
      <c r="P113" s="33" t="str">
        <f aca="false">IF(AND(G113&lt;&gt;"",I113&lt;&gt;"",J113&lt;&gt;""),(J113-I113)*1440,"")</f>
        <v/>
      </c>
      <c r="Q113" s="33" t="str">
        <f aca="false">IF(AND(G113&lt;&gt;"",J113&lt;&gt;"",K113&lt;&gt;""),(K113-J113)*1440,"")</f>
        <v/>
      </c>
      <c r="R113" s="33" t="str">
        <f aca="false">IF(AND(G113&lt;&gt;"",K113&lt;&gt;"",L113&lt;&gt;""),(L113-K113)*1440,"")</f>
        <v/>
      </c>
      <c r="S113" s="33" t="str">
        <f aca="false">IF(AND(G113&lt;&gt;"",I113&lt;&gt;"",L113&lt;&gt;""),(L113-I113)*1440,"")</f>
        <v/>
      </c>
      <c r="T113" s="33" t="str">
        <f aca="false">IF(G113="","",IFERROR(INDEX(Settings!$B$5:$B$8,MATCH(G113,Settings!$A$5:$A$8,0)),""))</f>
        <v/>
      </c>
      <c r="U113" s="25" t="str">
        <f aca="false">IF(G113="","",IF(S113="","No",IF(S113&lt;=T113,"Yes","No")))</f>
        <v/>
      </c>
      <c r="V113" s="25" t="str">
        <f aca="false">IF(G113="","",IF(AND(J113="",K113="",L113=""),"Telemetry Blind Spot",IF(AND(K113="",L113=""),"Missed Alert",IF(L113="","Triage Delay",IF(S113&lt;=T113,"Detected - Within SLA",IF(AND(R113&lt;&gt;"",R113&gt;IFERROR(INDEX(Settings!$C$5:$C$8,MATCH(G113,Settings!$A$5:$A$8,0)),1E+099)),"Triage Delay","Detected - SLA Breach"))))))</f>
        <v/>
      </c>
      <c r="W113" s="25" t="str">
        <f aca="false">IF(G113="","",IF(L113&lt;&gt;"",1,0))</f>
        <v/>
      </c>
      <c r="X113" s="32"/>
      <c r="Y113" s="32"/>
      <c r="Z113" s="32"/>
      <c r="AA113" s="24"/>
      <c r="AB113" s="24"/>
      <c r="AC113" s="33" t="str">
        <f aca="false">IF(AND(G113&lt;&gt;"",L113&lt;&gt;"",X113&lt;&gt;""),(X113-L113)*1440,"")</f>
        <v/>
      </c>
      <c r="AD113" s="33" t="str">
        <f aca="false">IF(AND(G113&lt;&gt;"",X113&lt;&gt;"",Y113&lt;&gt;""),(Y113-X113)*1440,"")</f>
        <v/>
      </c>
      <c r="AE113" s="33" t="str">
        <f aca="false">IF(AND(G113&lt;&gt;"",Y113&lt;&gt;"",Z113&lt;&gt;""),(Z113-Y113)*1440,"")</f>
        <v/>
      </c>
      <c r="AF113" s="33" t="str">
        <f aca="false">IF(AND(G113&lt;&gt;"",L113&lt;&gt;"",Z113&lt;&gt;""),(Z113-L113)*1440,"")</f>
        <v/>
      </c>
      <c r="AG113" s="33" t="str">
        <f aca="false">IF(G113="","",IFERROR(INDEX(Settings!$D$5:$D$8,MATCH(G113,Settings!$A$5:$A$8,0)),""))</f>
        <v/>
      </c>
      <c r="AH113" s="25" t="str">
        <f aca="false">IF(G113="","",IF(AF113="","No",IF(AF113&lt;=AG113,"Yes","No")))</f>
        <v/>
      </c>
      <c r="AI113" s="25" t="str">
        <f aca="false">IF(G113="","",IF(L113="","N/A - Not Detected",IF(AND(X113="",Y113="",Z113=""),"No Containment Action",IF(Z113="",IF(Y113&lt;&gt;"","C2 Persisted","Host Isolation Gap"),IF(AF113&lt;=AG113,"Contained - Within SLA","Contained - SLA Breach")))))</f>
        <v/>
      </c>
      <c r="AJ113" s="25" t="str">
        <f aca="false">IF(G113="","",IF(Z113&lt;&gt;"",1,0))</f>
        <v/>
      </c>
      <c r="AK113" s="34"/>
      <c r="AL113" s="34"/>
      <c r="AM113" s="35"/>
      <c r="AN113" s="34"/>
      <c r="AO113" s="34"/>
      <c r="AP113" s="35"/>
      <c r="AQ113" s="34"/>
      <c r="AR113" s="34"/>
      <c r="AS113" s="34"/>
      <c r="AT113" s="35"/>
      <c r="AU113" s="35"/>
    </row>
    <row r="114" customFormat="false" ht="15" hidden="false" customHeight="false" outlineLevel="0" collapsed="false">
      <c r="A114" s="24"/>
      <c r="B114" s="24"/>
      <c r="C114" s="24"/>
      <c r="D114" s="24"/>
      <c r="E114" s="24"/>
      <c r="F114" s="24"/>
      <c r="G114" s="24"/>
      <c r="H114" s="24"/>
      <c r="I114" s="32"/>
      <c r="J114" s="32"/>
      <c r="K114" s="32"/>
      <c r="L114" s="32"/>
      <c r="M114" s="24"/>
      <c r="N114" s="24"/>
      <c r="O114" s="24"/>
      <c r="P114" s="33" t="str">
        <f aca="false">IF(AND(G114&lt;&gt;"",I114&lt;&gt;"",J114&lt;&gt;""),(J114-I114)*1440,"")</f>
        <v/>
      </c>
      <c r="Q114" s="33" t="str">
        <f aca="false">IF(AND(G114&lt;&gt;"",J114&lt;&gt;"",K114&lt;&gt;""),(K114-J114)*1440,"")</f>
        <v/>
      </c>
      <c r="R114" s="33" t="str">
        <f aca="false">IF(AND(G114&lt;&gt;"",K114&lt;&gt;"",L114&lt;&gt;""),(L114-K114)*1440,"")</f>
        <v/>
      </c>
      <c r="S114" s="33" t="str">
        <f aca="false">IF(AND(G114&lt;&gt;"",I114&lt;&gt;"",L114&lt;&gt;""),(L114-I114)*1440,"")</f>
        <v/>
      </c>
      <c r="T114" s="33" t="str">
        <f aca="false">IF(G114="","",IFERROR(INDEX(Settings!$B$5:$B$8,MATCH(G114,Settings!$A$5:$A$8,0)),""))</f>
        <v/>
      </c>
      <c r="U114" s="25" t="str">
        <f aca="false">IF(G114="","",IF(S114="","No",IF(S114&lt;=T114,"Yes","No")))</f>
        <v/>
      </c>
      <c r="V114" s="25" t="str">
        <f aca="false">IF(G114="","",IF(AND(J114="",K114="",L114=""),"Telemetry Blind Spot",IF(AND(K114="",L114=""),"Missed Alert",IF(L114="","Triage Delay",IF(S114&lt;=T114,"Detected - Within SLA",IF(AND(R114&lt;&gt;"",R114&gt;IFERROR(INDEX(Settings!$C$5:$C$8,MATCH(G114,Settings!$A$5:$A$8,0)),1E+099)),"Triage Delay","Detected - SLA Breach"))))))</f>
        <v/>
      </c>
      <c r="W114" s="25" t="str">
        <f aca="false">IF(G114="","",IF(L114&lt;&gt;"",1,0))</f>
        <v/>
      </c>
      <c r="X114" s="32"/>
      <c r="Y114" s="32"/>
      <c r="Z114" s="32"/>
      <c r="AA114" s="24"/>
      <c r="AB114" s="24"/>
      <c r="AC114" s="33" t="str">
        <f aca="false">IF(AND(G114&lt;&gt;"",L114&lt;&gt;"",X114&lt;&gt;""),(X114-L114)*1440,"")</f>
        <v/>
      </c>
      <c r="AD114" s="33" t="str">
        <f aca="false">IF(AND(G114&lt;&gt;"",X114&lt;&gt;"",Y114&lt;&gt;""),(Y114-X114)*1440,"")</f>
        <v/>
      </c>
      <c r="AE114" s="33" t="str">
        <f aca="false">IF(AND(G114&lt;&gt;"",Y114&lt;&gt;"",Z114&lt;&gt;""),(Z114-Y114)*1440,"")</f>
        <v/>
      </c>
      <c r="AF114" s="33" t="str">
        <f aca="false">IF(AND(G114&lt;&gt;"",L114&lt;&gt;"",Z114&lt;&gt;""),(Z114-L114)*1440,"")</f>
        <v/>
      </c>
      <c r="AG114" s="33" t="str">
        <f aca="false">IF(G114="","",IFERROR(INDEX(Settings!$D$5:$D$8,MATCH(G114,Settings!$A$5:$A$8,0)),""))</f>
        <v/>
      </c>
      <c r="AH114" s="25" t="str">
        <f aca="false">IF(G114="","",IF(AF114="","No",IF(AF114&lt;=AG114,"Yes","No")))</f>
        <v/>
      </c>
      <c r="AI114" s="25" t="str">
        <f aca="false">IF(G114="","",IF(L114="","N/A - Not Detected",IF(AND(X114="",Y114="",Z114=""),"No Containment Action",IF(Z114="",IF(Y114&lt;&gt;"","C2 Persisted","Host Isolation Gap"),IF(AF114&lt;=AG114,"Contained - Within SLA","Contained - SLA Breach")))))</f>
        <v/>
      </c>
      <c r="AJ114" s="25" t="str">
        <f aca="false">IF(G114="","",IF(Z114&lt;&gt;"",1,0))</f>
        <v/>
      </c>
      <c r="AK114" s="34"/>
      <c r="AL114" s="34"/>
      <c r="AM114" s="35"/>
      <c r="AN114" s="34"/>
      <c r="AO114" s="34"/>
      <c r="AP114" s="35"/>
      <c r="AQ114" s="34"/>
      <c r="AR114" s="34"/>
      <c r="AS114" s="34"/>
      <c r="AT114" s="35"/>
      <c r="AU114" s="35"/>
    </row>
    <row r="115" customFormat="false" ht="15" hidden="false" customHeight="false" outlineLevel="0" collapsed="false">
      <c r="A115" s="24"/>
      <c r="B115" s="24"/>
      <c r="C115" s="24"/>
      <c r="D115" s="24"/>
      <c r="E115" s="24"/>
      <c r="F115" s="24"/>
      <c r="G115" s="24"/>
      <c r="H115" s="24"/>
      <c r="I115" s="32"/>
      <c r="J115" s="32"/>
      <c r="K115" s="32"/>
      <c r="L115" s="32"/>
      <c r="M115" s="24"/>
      <c r="N115" s="24"/>
      <c r="O115" s="24"/>
      <c r="P115" s="33" t="str">
        <f aca="false">IF(AND(G115&lt;&gt;"",I115&lt;&gt;"",J115&lt;&gt;""),(J115-I115)*1440,"")</f>
        <v/>
      </c>
      <c r="Q115" s="33" t="str">
        <f aca="false">IF(AND(G115&lt;&gt;"",J115&lt;&gt;"",K115&lt;&gt;""),(K115-J115)*1440,"")</f>
        <v/>
      </c>
      <c r="R115" s="33" t="str">
        <f aca="false">IF(AND(G115&lt;&gt;"",K115&lt;&gt;"",L115&lt;&gt;""),(L115-K115)*1440,"")</f>
        <v/>
      </c>
      <c r="S115" s="33" t="str">
        <f aca="false">IF(AND(G115&lt;&gt;"",I115&lt;&gt;"",L115&lt;&gt;""),(L115-I115)*1440,"")</f>
        <v/>
      </c>
      <c r="T115" s="33" t="str">
        <f aca="false">IF(G115="","",IFERROR(INDEX(Settings!$B$5:$B$8,MATCH(G115,Settings!$A$5:$A$8,0)),""))</f>
        <v/>
      </c>
      <c r="U115" s="25" t="str">
        <f aca="false">IF(G115="","",IF(S115="","No",IF(S115&lt;=T115,"Yes","No")))</f>
        <v/>
      </c>
      <c r="V115" s="25" t="str">
        <f aca="false">IF(G115="","",IF(AND(J115="",K115="",L115=""),"Telemetry Blind Spot",IF(AND(K115="",L115=""),"Missed Alert",IF(L115="","Triage Delay",IF(S115&lt;=T115,"Detected - Within SLA",IF(AND(R115&lt;&gt;"",R115&gt;IFERROR(INDEX(Settings!$C$5:$C$8,MATCH(G115,Settings!$A$5:$A$8,0)),1E+099)),"Triage Delay","Detected - SLA Breach"))))))</f>
        <v/>
      </c>
      <c r="W115" s="25" t="str">
        <f aca="false">IF(G115="","",IF(L115&lt;&gt;"",1,0))</f>
        <v/>
      </c>
      <c r="X115" s="32"/>
      <c r="Y115" s="32"/>
      <c r="Z115" s="32"/>
      <c r="AA115" s="24"/>
      <c r="AB115" s="24"/>
      <c r="AC115" s="33" t="str">
        <f aca="false">IF(AND(G115&lt;&gt;"",L115&lt;&gt;"",X115&lt;&gt;""),(X115-L115)*1440,"")</f>
        <v/>
      </c>
      <c r="AD115" s="33" t="str">
        <f aca="false">IF(AND(G115&lt;&gt;"",X115&lt;&gt;"",Y115&lt;&gt;""),(Y115-X115)*1440,"")</f>
        <v/>
      </c>
      <c r="AE115" s="33" t="str">
        <f aca="false">IF(AND(G115&lt;&gt;"",Y115&lt;&gt;"",Z115&lt;&gt;""),(Z115-Y115)*1440,"")</f>
        <v/>
      </c>
      <c r="AF115" s="33" t="str">
        <f aca="false">IF(AND(G115&lt;&gt;"",L115&lt;&gt;"",Z115&lt;&gt;""),(Z115-L115)*1440,"")</f>
        <v/>
      </c>
      <c r="AG115" s="33" t="str">
        <f aca="false">IF(G115="","",IFERROR(INDEX(Settings!$D$5:$D$8,MATCH(G115,Settings!$A$5:$A$8,0)),""))</f>
        <v/>
      </c>
      <c r="AH115" s="25" t="str">
        <f aca="false">IF(G115="","",IF(AF115="","No",IF(AF115&lt;=AG115,"Yes","No")))</f>
        <v/>
      </c>
      <c r="AI115" s="25" t="str">
        <f aca="false">IF(G115="","",IF(L115="","N/A - Not Detected",IF(AND(X115="",Y115="",Z115=""),"No Containment Action",IF(Z115="",IF(Y115&lt;&gt;"","C2 Persisted","Host Isolation Gap"),IF(AF115&lt;=AG115,"Contained - Within SLA","Contained - SLA Breach")))))</f>
        <v/>
      </c>
      <c r="AJ115" s="25" t="str">
        <f aca="false">IF(G115="","",IF(Z115&lt;&gt;"",1,0))</f>
        <v/>
      </c>
      <c r="AK115" s="34"/>
      <c r="AL115" s="34"/>
      <c r="AM115" s="35"/>
      <c r="AN115" s="34"/>
      <c r="AO115" s="34"/>
      <c r="AP115" s="35"/>
      <c r="AQ115" s="34"/>
      <c r="AR115" s="34"/>
      <c r="AS115" s="34"/>
      <c r="AT115" s="35"/>
      <c r="AU115" s="35"/>
    </row>
    <row r="116" customFormat="false" ht="15" hidden="false" customHeight="false" outlineLevel="0" collapsed="false">
      <c r="A116" s="24"/>
      <c r="B116" s="24"/>
      <c r="C116" s="24"/>
      <c r="D116" s="24"/>
      <c r="E116" s="24"/>
      <c r="F116" s="24"/>
      <c r="G116" s="24"/>
      <c r="H116" s="24"/>
      <c r="I116" s="32"/>
      <c r="J116" s="32"/>
      <c r="K116" s="32"/>
      <c r="L116" s="32"/>
      <c r="M116" s="24"/>
      <c r="N116" s="24"/>
      <c r="O116" s="24"/>
      <c r="P116" s="33" t="str">
        <f aca="false">IF(AND(G116&lt;&gt;"",I116&lt;&gt;"",J116&lt;&gt;""),(J116-I116)*1440,"")</f>
        <v/>
      </c>
      <c r="Q116" s="33" t="str">
        <f aca="false">IF(AND(G116&lt;&gt;"",J116&lt;&gt;"",K116&lt;&gt;""),(K116-J116)*1440,"")</f>
        <v/>
      </c>
      <c r="R116" s="33" t="str">
        <f aca="false">IF(AND(G116&lt;&gt;"",K116&lt;&gt;"",L116&lt;&gt;""),(L116-K116)*1440,"")</f>
        <v/>
      </c>
      <c r="S116" s="33" t="str">
        <f aca="false">IF(AND(G116&lt;&gt;"",I116&lt;&gt;"",L116&lt;&gt;""),(L116-I116)*1440,"")</f>
        <v/>
      </c>
      <c r="T116" s="33" t="str">
        <f aca="false">IF(G116="","",IFERROR(INDEX(Settings!$B$5:$B$8,MATCH(G116,Settings!$A$5:$A$8,0)),""))</f>
        <v/>
      </c>
      <c r="U116" s="25" t="str">
        <f aca="false">IF(G116="","",IF(S116="","No",IF(S116&lt;=T116,"Yes","No")))</f>
        <v/>
      </c>
      <c r="V116" s="25" t="str">
        <f aca="false">IF(G116="","",IF(AND(J116="",K116="",L116=""),"Telemetry Blind Spot",IF(AND(K116="",L116=""),"Missed Alert",IF(L116="","Triage Delay",IF(S116&lt;=T116,"Detected - Within SLA",IF(AND(R116&lt;&gt;"",R116&gt;IFERROR(INDEX(Settings!$C$5:$C$8,MATCH(G116,Settings!$A$5:$A$8,0)),1E+099)),"Triage Delay","Detected - SLA Breach"))))))</f>
        <v/>
      </c>
      <c r="W116" s="25" t="str">
        <f aca="false">IF(G116="","",IF(L116&lt;&gt;"",1,0))</f>
        <v/>
      </c>
      <c r="X116" s="32"/>
      <c r="Y116" s="32"/>
      <c r="Z116" s="32"/>
      <c r="AA116" s="24"/>
      <c r="AB116" s="24"/>
      <c r="AC116" s="33" t="str">
        <f aca="false">IF(AND(G116&lt;&gt;"",L116&lt;&gt;"",X116&lt;&gt;""),(X116-L116)*1440,"")</f>
        <v/>
      </c>
      <c r="AD116" s="33" t="str">
        <f aca="false">IF(AND(G116&lt;&gt;"",X116&lt;&gt;"",Y116&lt;&gt;""),(Y116-X116)*1440,"")</f>
        <v/>
      </c>
      <c r="AE116" s="33" t="str">
        <f aca="false">IF(AND(G116&lt;&gt;"",Y116&lt;&gt;"",Z116&lt;&gt;""),(Z116-Y116)*1440,"")</f>
        <v/>
      </c>
      <c r="AF116" s="33" t="str">
        <f aca="false">IF(AND(G116&lt;&gt;"",L116&lt;&gt;"",Z116&lt;&gt;""),(Z116-L116)*1440,"")</f>
        <v/>
      </c>
      <c r="AG116" s="33" t="str">
        <f aca="false">IF(G116="","",IFERROR(INDEX(Settings!$D$5:$D$8,MATCH(G116,Settings!$A$5:$A$8,0)),""))</f>
        <v/>
      </c>
      <c r="AH116" s="25" t="str">
        <f aca="false">IF(G116="","",IF(AF116="","No",IF(AF116&lt;=AG116,"Yes","No")))</f>
        <v/>
      </c>
      <c r="AI116" s="25" t="str">
        <f aca="false">IF(G116="","",IF(L116="","N/A - Not Detected",IF(AND(X116="",Y116="",Z116=""),"No Containment Action",IF(Z116="",IF(Y116&lt;&gt;"","C2 Persisted","Host Isolation Gap"),IF(AF116&lt;=AG116,"Contained - Within SLA","Contained - SLA Breach")))))</f>
        <v/>
      </c>
      <c r="AJ116" s="25" t="str">
        <f aca="false">IF(G116="","",IF(Z116&lt;&gt;"",1,0))</f>
        <v/>
      </c>
      <c r="AK116" s="34"/>
      <c r="AL116" s="34"/>
      <c r="AM116" s="35"/>
      <c r="AN116" s="34"/>
      <c r="AO116" s="34"/>
      <c r="AP116" s="35"/>
      <c r="AQ116" s="34"/>
      <c r="AR116" s="34"/>
      <c r="AS116" s="34"/>
      <c r="AT116" s="35"/>
      <c r="AU116" s="35"/>
    </row>
    <row r="117" customFormat="false" ht="15" hidden="false" customHeight="false" outlineLevel="0" collapsed="false">
      <c r="A117" s="24"/>
      <c r="B117" s="24"/>
      <c r="C117" s="24"/>
      <c r="D117" s="24"/>
      <c r="E117" s="24"/>
      <c r="F117" s="24"/>
      <c r="G117" s="24"/>
      <c r="H117" s="24"/>
      <c r="I117" s="32"/>
      <c r="J117" s="32"/>
      <c r="K117" s="32"/>
      <c r="L117" s="32"/>
      <c r="M117" s="24"/>
      <c r="N117" s="24"/>
      <c r="O117" s="24"/>
      <c r="P117" s="33" t="str">
        <f aca="false">IF(AND(G117&lt;&gt;"",I117&lt;&gt;"",J117&lt;&gt;""),(J117-I117)*1440,"")</f>
        <v/>
      </c>
      <c r="Q117" s="33" t="str">
        <f aca="false">IF(AND(G117&lt;&gt;"",J117&lt;&gt;"",K117&lt;&gt;""),(K117-J117)*1440,"")</f>
        <v/>
      </c>
      <c r="R117" s="33" t="str">
        <f aca="false">IF(AND(G117&lt;&gt;"",K117&lt;&gt;"",L117&lt;&gt;""),(L117-K117)*1440,"")</f>
        <v/>
      </c>
      <c r="S117" s="33" t="str">
        <f aca="false">IF(AND(G117&lt;&gt;"",I117&lt;&gt;"",L117&lt;&gt;""),(L117-I117)*1440,"")</f>
        <v/>
      </c>
      <c r="T117" s="33" t="str">
        <f aca="false">IF(G117="","",IFERROR(INDEX(Settings!$B$5:$B$8,MATCH(G117,Settings!$A$5:$A$8,0)),""))</f>
        <v/>
      </c>
      <c r="U117" s="25" t="str">
        <f aca="false">IF(G117="","",IF(S117="","No",IF(S117&lt;=T117,"Yes","No")))</f>
        <v/>
      </c>
      <c r="V117" s="25" t="str">
        <f aca="false">IF(G117="","",IF(AND(J117="",K117="",L117=""),"Telemetry Blind Spot",IF(AND(K117="",L117=""),"Missed Alert",IF(L117="","Triage Delay",IF(S117&lt;=T117,"Detected - Within SLA",IF(AND(R117&lt;&gt;"",R117&gt;IFERROR(INDEX(Settings!$C$5:$C$8,MATCH(G117,Settings!$A$5:$A$8,0)),1E+099)),"Triage Delay","Detected - SLA Breach"))))))</f>
        <v/>
      </c>
      <c r="W117" s="25" t="str">
        <f aca="false">IF(G117="","",IF(L117&lt;&gt;"",1,0))</f>
        <v/>
      </c>
      <c r="X117" s="32"/>
      <c r="Y117" s="32"/>
      <c r="Z117" s="32"/>
      <c r="AA117" s="24"/>
      <c r="AB117" s="24"/>
      <c r="AC117" s="33" t="str">
        <f aca="false">IF(AND(G117&lt;&gt;"",L117&lt;&gt;"",X117&lt;&gt;""),(X117-L117)*1440,"")</f>
        <v/>
      </c>
      <c r="AD117" s="33" t="str">
        <f aca="false">IF(AND(G117&lt;&gt;"",X117&lt;&gt;"",Y117&lt;&gt;""),(Y117-X117)*1440,"")</f>
        <v/>
      </c>
      <c r="AE117" s="33" t="str">
        <f aca="false">IF(AND(G117&lt;&gt;"",Y117&lt;&gt;"",Z117&lt;&gt;""),(Z117-Y117)*1440,"")</f>
        <v/>
      </c>
      <c r="AF117" s="33" t="str">
        <f aca="false">IF(AND(G117&lt;&gt;"",L117&lt;&gt;"",Z117&lt;&gt;""),(Z117-L117)*1440,"")</f>
        <v/>
      </c>
      <c r="AG117" s="33" t="str">
        <f aca="false">IF(G117="","",IFERROR(INDEX(Settings!$D$5:$D$8,MATCH(G117,Settings!$A$5:$A$8,0)),""))</f>
        <v/>
      </c>
      <c r="AH117" s="25" t="str">
        <f aca="false">IF(G117="","",IF(AF117="","No",IF(AF117&lt;=AG117,"Yes","No")))</f>
        <v/>
      </c>
      <c r="AI117" s="25" t="str">
        <f aca="false">IF(G117="","",IF(L117="","N/A - Not Detected",IF(AND(X117="",Y117="",Z117=""),"No Containment Action",IF(Z117="",IF(Y117&lt;&gt;"","C2 Persisted","Host Isolation Gap"),IF(AF117&lt;=AG117,"Contained - Within SLA","Contained - SLA Breach")))))</f>
        <v/>
      </c>
      <c r="AJ117" s="25" t="str">
        <f aca="false">IF(G117="","",IF(Z117&lt;&gt;"",1,0))</f>
        <v/>
      </c>
      <c r="AK117" s="34"/>
      <c r="AL117" s="34"/>
      <c r="AM117" s="35"/>
      <c r="AN117" s="34"/>
      <c r="AO117" s="34"/>
      <c r="AP117" s="35"/>
      <c r="AQ117" s="34"/>
      <c r="AR117" s="34"/>
      <c r="AS117" s="34"/>
      <c r="AT117" s="35"/>
      <c r="AU117" s="35"/>
    </row>
    <row r="118" customFormat="false" ht="15" hidden="false" customHeight="false" outlineLevel="0" collapsed="false">
      <c r="A118" s="24"/>
      <c r="B118" s="24"/>
      <c r="C118" s="24"/>
      <c r="D118" s="24"/>
      <c r="E118" s="24"/>
      <c r="F118" s="24"/>
      <c r="G118" s="24"/>
      <c r="H118" s="24"/>
      <c r="I118" s="32"/>
      <c r="J118" s="32"/>
      <c r="K118" s="32"/>
      <c r="L118" s="32"/>
      <c r="M118" s="24"/>
      <c r="N118" s="24"/>
      <c r="O118" s="24"/>
      <c r="P118" s="33" t="str">
        <f aca="false">IF(AND(G118&lt;&gt;"",I118&lt;&gt;"",J118&lt;&gt;""),(J118-I118)*1440,"")</f>
        <v/>
      </c>
      <c r="Q118" s="33" t="str">
        <f aca="false">IF(AND(G118&lt;&gt;"",J118&lt;&gt;"",K118&lt;&gt;""),(K118-J118)*1440,"")</f>
        <v/>
      </c>
      <c r="R118" s="33" t="str">
        <f aca="false">IF(AND(G118&lt;&gt;"",K118&lt;&gt;"",L118&lt;&gt;""),(L118-K118)*1440,"")</f>
        <v/>
      </c>
      <c r="S118" s="33" t="str">
        <f aca="false">IF(AND(G118&lt;&gt;"",I118&lt;&gt;"",L118&lt;&gt;""),(L118-I118)*1440,"")</f>
        <v/>
      </c>
      <c r="T118" s="33" t="str">
        <f aca="false">IF(G118="","",IFERROR(INDEX(Settings!$B$5:$B$8,MATCH(G118,Settings!$A$5:$A$8,0)),""))</f>
        <v/>
      </c>
      <c r="U118" s="25" t="str">
        <f aca="false">IF(G118="","",IF(S118="","No",IF(S118&lt;=T118,"Yes","No")))</f>
        <v/>
      </c>
      <c r="V118" s="25" t="str">
        <f aca="false">IF(G118="","",IF(AND(J118="",K118="",L118=""),"Telemetry Blind Spot",IF(AND(K118="",L118=""),"Missed Alert",IF(L118="","Triage Delay",IF(S118&lt;=T118,"Detected - Within SLA",IF(AND(R118&lt;&gt;"",R118&gt;IFERROR(INDEX(Settings!$C$5:$C$8,MATCH(G118,Settings!$A$5:$A$8,0)),1E+099)),"Triage Delay","Detected - SLA Breach"))))))</f>
        <v/>
      </c>
      <c r="W118" s="25" t="str">
        <f aca="false">IF(G118="","",IF(L118&lt;&gt;"",1,0))</f>
        <v/>
      </c>
      <c r="X118" s="32"/>
      <c r="Y118" s="32"/>
      <c r="Z118" s="32"/>
      <c r="AA118" s="24"/>
      <c r="AB118" s="24"/>
      <c r="AC118" s="33" t="str">
        <f aca="false">IF(AND(G118&lt;&gt;"",L118&lt;&gt;"",X118&lt;&gt;""),(X118-L118)*1440,"")</f>
        <v/>
      </c>
      <c r="AD118" s="33" t="str">
        <f aca="false">IF(AND(G118&lt;&gt;"",X118&lt;&gt;"",Y118&lt;&gt;""),(Y118-X118)*1440,"")</f>
        <v/>
      </c>
      <c r="AE118" s="33" t="str">
        <f aca="false">IF(AND(G118&lt;&gt;"",Y118&lt;&gt;"",Z118&lt;&gt;""),(Z118-Y118)*1440,"")</f>
        <v/>
      </c>
      <c r="AF118" s="33" t="str">
        <f aca="false">IF(AND(G118&lt;&gt;"",L118&lt;&gt;"",Z118&lt;&gt;""),(Z118-L118)*1440,"")</f>
        <v/>
      </c>
      <c r="AG118" s="33" t="str">
        <f aca="false">IF(G118="","",IFERROR(INDEX(Settings!$D$5:$D$8,MATCH(G118,Settings!$A$5:$A$8,0)),""))</f>
        <v/>
      </c>
      <c r="AH118" s="25" t="str">
        <f aca="false">IF(G118="","",IF(AF118="","No",IF(AF118&lt;=AG118,"Yes","No")))</f>
        <v/>
      </c>
      <c r="AI118" s="25" t="str">
        <f aca="false">IF(G118="","",IF(L118="","N/A - Not Detected",IF(AND(X118="",Y118="",Z118=""),"No Containment Action",IF(Z118="",IF(Y118&lt;&gt;"","C2 Persisted","Host Isolation Gap"),IF(AF118&lt;=AG118,"Contained - Within SLA","Contained - SLA Breach")))))</f>
        <v/>
      </c>
      <c r="AJ118" s="25" t="str">
        <f aca="false">IF(G118="","",IF(Z118&lt;&gt;"",1,0))</f>
        <v/>
      </c>
      <c r="AK118" s="34"/>
      <c r="AL118" s="34"/>
      <c r="AM118" s="35"/>
      <c r="AN118" s="34"/>
      <c r="AO118" s="34"/>
      <c r="AP118" s="35"/>
      <c r="AQ118" s="34"/>
      <c r="AR118" s="34"/>
      <c r="AS118" s="34"/>
      <c r="AT118" s="35"/>
      <c r="AU118" s="35"/>
    </row>
    <row r="119" customFormat="false" ht="15" hidden="false" customHeight="false" outlineLevel="0" collapsed="false">
      <c r="A119" s="24"/>
      <c r="B119" s="24"/>
      <c r="C119" s="24"/>
      <c r="D119" s="24"/>
      <c r="E119" s="24"/>
      <c r="F119" s="24"/>
      <c r="G119" s="24"/>
      <c r="H119" s="24"/>
      <c r="I119" s="32"/>
      <c r="J119" s="32"/>
      <c r="K119" s="32"/>
      <c r="L119" s="32"/>
      <c r="M119" s="24"/>
      <c r="N119" s="24"/>
      <c r="O119" s="24"/>
      <c r="P119" s="33" t="str">
        <f aca="false">IF(AND(G119&lt;&gt;"",I119&lt;&gt;"",J119&lt;&gt;""),(J119-I119)*1440,"")</f>
        <v/>
      </c>
      <c r="Q119" s="33" t="str">
        <f aca="false">IF(AND(G119&lt;&gt;"",J119&lt;&gt;"",K119&lt;&gt;""),(K119-J119)*1440,"")</f>
        <v/>
      </c>
      <c r="R119" s="33" t="str">
        <f aca="false">IF(AND(G119&lt;&gt;"",K119&lt;&gt;"",L119&lt;&gt;""),(L119-K119)*1440,"")</f>
        <v/>
      </c>
      <c r="S119" s="33" t="str">
        <f aca="false">IF(AND(G119&lt;&gt;"",I119&lt;&gt;"",L119&lt;&gt;""),(L119-I119)*1440,"")</f>
        <v/>
      </c>
      <c r="T119" s="33" t="str">
        <f aca="false">IF(G119="","",IFERROR(INDEX(Settings!$B$5:$B$8,MATCH(G119,Settings!$A$5:$A$8,0)),""))</f>
        <v/>
      </c>
      <c r="U119" s="25" t="str">
        <f aca="false">IF(G119="","",IF(S119="","No",IF(S119&lt;=T119,"Yes","No")))</f>
        <v/>
      </c>
      <c r="V119" s="25" t="str">
        <f aca="false">IF(G119="","",IF(AND(J119="",K119="",L119=""),"Telemetry Blind Spot",IF(AND(K119="",L119=""),"Missed Alert",IF(L119="","Triage Delay",IF(S119&lt;=T119,"Detected - Within SLA",IF(AND(R119&lt;&gt;"",R119&gt;IFERROR(INDEX(Settings!$C$5:$C$8,MATCH(G119,Settings!$A$5:$A$8,0)),1E+099)),"Triage Delay","Detected - SLA Breach"))))))</f>
        <v/>
      </c>
      <c r="W119" s="25" t="str">
        <f aca="false">IF(G119="","",IF(L119&lt;&gt;"",1,0))</f>
        <v/>
      </c>
      <c r="X119" s="32"/>
      <c r="Y119" s="32"/>
      <c r="Z119" s="32"/>
      <c r="AA119" s="24"/>
      <c r="AB119" s="24"/>
      <c r="AC119" s="33" t="str">
        <f aca="false">IF(AND(G119&lt;&gt;"",L119&lt;&gt;"",X119&lt;&gt;""),(X119-L119)*1440,"")</f>
        <v/>
      </c>
      <c r="AD119" s="33" t="str">
        <f aca="false">IF(AND(G119&lt;&gt;"",X119&lt;&gt;"",Y119&lt;&gt;""),(Y119-X119)*1440,"")</f>
        <v/>
      </c>
      <c r="AE119" s="33" t="str">
        <f aca="false">IF(AND(G119&lt;&gt;"",Y119&lt;&gt;"",Z119&lt;&gt;""),(Z119-Y119)*1440,"")</f>
        <v/>
      </c>
      <c r="AF119" s="33" t="str">
        <f aca="false">IF(AND(G119&lt;&gt;"",L119&lt;&gt;"",Z119&lt;&gt;""),(Z119-L119)*1440,"")</f>
        <v/>
      </c>
      <c r="AG119" s="33" t="str">
        <f aca="false">IF(G119="","",IFERROR(INDEX(Settings!$D$5:$D$8,MATCH(G119,Settings!$A$5:$A$8,0)),""))</f>
        <v/>
      </c>
      <c r="AH119" s="25" t="str">
        <f aca="false">IF(G119="","",IF(AF119="","No",IF(AF119&lt;=AG119,"Yes","No")))</f>
        <v/>
      </c>
      <c r="AI119" s="25" t="str">
        <f aca="false">IF(G119="","",IF(L119="","N/A - Not Detected",IF(AND(X119="",Y119="",Z119=""),"No Containment Action",IF(Z119="",IF(Y119&lt;&gt;"","C2 Persisted","Host Isolation Gap"),IF(AF119&lt;=AG119,"Contained - Within SLA","Contained - SLA Breach")))))</f>
        <v/>
      </c>
      <c r="AJ119" s="25" t="str">
        <f aca="false">IF(G119="","",IF(Z119&lt;&gt;"",1,0))</f>
        <v/>
      </c>
      <c r="AK119" s="34"/>
      <c r="AL119" s="34"/>
      <c r="AM119" s="35"/>
      <c r="AN119" s="34"/>
      <c r="AO119" s="34"/>
      <c r="AP119" s="35"/>
      <c r="AQ119" s="34"/>
      <c r="AR119" s="34"/>
      <c r="AS119" s="34"/>
      <c r="AT119" s="35"/>
      <c r="AU119" s="35"/>
    </row>
    <row r="120" customFormat="false" ht="15" hidden="false" customHeight="false" outlineLevel="0" collapsed="false">
      <c r="A120" s="24"/>
      <c r="B120" s="24"/>
      <c r="C120" s="24"/>
      <c r="D120" s="24"/>
      <c r="E120" s="24"/>
      <c r="F120" s="24"/>
      <c r="G120" s="24"/>
      <c r="H120" s="24"/>
      <c r="I120" s="32"/>
      <c r="J120" s="32"/>
      <c r="K120" s="32"/>
      <c r="L120" s="32"/>
      <c r="M120" s="24"/>
      <c r="N120" s="24"/>
      <c r="O120" s="24"/>
      <c r="P120" s="33" t="str">
        <f aca="false">IF(AND(G120&lt;&gt;"",I120&lt;&gt;"",J120&lt;&gt;""),(J120-I120)*1440,"")</f>
        <v/>
      </c>
      <c r="Q120" s="33" t="str">
        <f aca="false">IF(AND(G120&lt;&gt;"",J120&lt;&gt;"",K120&lt;&gt;""),(K120-J120)*1440,"")</f>
        <v/>
      </c>
      <c r="R120" s="33" t="str">
        <f aca="false">IF(AND(G120&lt;&gt;"",K120&lt;&gt;"",L120&lt;&gt;""),(L120-K120)*1440,"")</f>
        <v/>
      </c>
      <c r="S120" s="33" t="str">
        <f aca="false">IF(AND(G120&lt;&gt;"",I120&lt;&gt;"",L120&lt;&gt;""),(L120-I120)*1440,"")</f>
        <v/>
      </c>
      <c r="T120" s="33" t="str">
        <f aca="false">IF(G120="","",IFERROR(INDEX(Settings!$B$5:$B$8,MATCH(G120,Settings!$A$5:$A$8,0)),""))</f>
        <v/>
      </c>
      <c r="U120" s="25" t="str">
        <f aca="false">IF(G120="","",IF(S120="","No",IF(S120&lt;=T120,"Yes","No")))</f>
        <v/>
      </c>
      <c r="V120" s="25" t="str">
        <f aca="false">IF(G120="","",IF(AND(J120="",K120="",L120=""),"Telemetry Blind Spot",IF(AND(K120="",L120=""),"Missed Alert",IF(L120="","Triage Delay",IF(S120&lt;=T120,"Detected - Within SLA",IF(AND(R120&lt;&gt;"",R120&gt;IFERROR(INDEX(Settings!$C$5:$C$8,MATCH(G120,Settings!$A$5:$A$8,0)),1E+099)),"Triage Delay","Detected - SLA Breach"))))))</f>
        <v/>
      </c>
      <c r="W120" s="25" t="str">
        <f aca="false">IF(G120="","",IF(L120&lt;&gt;"",1,0))</f>
        <v/>
      </c>
      <c r="X120" s="32"/>
      <c r="Y120" s="32"/>
      <c r="Z120" s="32"/>
      <c r="AA120" s="24"/>
      <c r="AB120" s="24"/>
      <c r="AC120" s="33" t="str">
        <f aca="false">IF(AND(G120&lt;&gt;"",L120&lt;&gt;"",X120&lt;&gt;""),(X120-L120)*1440,"")</f>
        <v/>
      </c>
      <c r="AD120" s="33" t="str">
        <f aca="false">IF(AND(G120&lt;&gt;"",X120&lt;&gt;"",Y120&lt;&gt;""),(Y120-X120)*1440,"")</f>
        <v/>
      </c>
      <c r="AE120" s="33" t="str">
        <f aca="false">IF(AND(G120&lt;&gt;"",Y120&lt;&gt;"",Z120&lt;&gt;""),(Z120-Y120)*1440,"")</f>
        <v/>
      </c>
      <c r="AF120" s="33" t="str">
        <f aca="false">IF(AND(G120&lt;&gt;"",L120&lt;&gt;"",Z120&lt;&gt;""),(Z120-L120)*1440,"")</f>
        <v/>
      </c>
      <c r="AG120" s="33" t="str">
        <f aca="false">IF(G120="","",IFERROR(INDEX(Settings!$D$5:$D$8,MATCH(G120,Settings!$A$5:$A$8,0)),""))</f>
        <v/>
      </c>
      <c r="AH120" s="25" t="str">
        <f aca="false">IF(G120="","",IF(AF120="","No",IF(AF120&lt;=AG120,"Yes","No")))</f>
        <v/>
      </c>
      <c r="AI120" s="25" t="str">
        <f aca="false">IF(G120="","",IF(L120="","N/A - Not Detected",IF(AND(X120="",Y120="",Z120=""),"No Containment Action",IF(Z120="",IF(Y120&lt;&gt;"","C2 Persisted","Host Isolation Gap"),IF(AF120&lt;=AG120,"Contained - Within SLA","Contained - SLA Breach")))))</f>
        <v/>
      </c>
      <c r="AJ120" s="25" t="str">
        <f aca="false">IF(G120="","",IF(Z120&lt;&gt;"",1,0))</f>
        <v/>
      </c>
      <c r="AK120" s="34"/>
      <c r="AL120" s="34"/>
      <c r="AM120" s="35"/>
      <c r="AN120" s="34"/>
      <c r="AO120" s="34"/>
      <c r="AP120" s="35"/>
      <c r="AQ120" s="34"/>
      <c r="AR120" s="34"/>
      <c r="AS120" s="34"/>
      <c r="AT120" s="35"/>
      <c r="AU120" s="35"/>
    </row>
    <row r="121" customFormat="false" ht="15" hidden="false" customHeight="false" outlineLevel="0" collapsed="false">
      <c r="A121" s="24"/>
      <c r="B121" s="24"/>
      <c r="C121" s="24"/>
      <c r="D121" s="24"/>
      <c r="E121" s="24"/>
      <c r="F121" s="24"/>
      <c r="G121" s="24"/>
      <c r="H121" s="24"/>
      <c r="I121" s="32"/>
      <c r="J121" s="32"/>
      <c r="K121" s="32"/>
      <c r="L121" s="32"/>
      <c r="M121" s="24"/>
      <c r="N121" s="24"/>
      <c r="O121" s="24"/>
      <c r="P121" s="33" t="str">
        <f aca="false">IF(AND(G121&lt;&gt;"",I121&lt;&gt;"",J121&lt;&gt;""),(J121-I121)*1440,"")</f>
        <v/>
      </c>
      <c r="Q121" s="33" t="str">
        <f aca="false">IF(AND(G121&lt;&gt;"",J121&lt;&gt;"",K121&lt;&gt;""),(K121-J121)*1440,"")</f>
        <v/>
      </c>
      <c r="R121" s="33" t="str">
        <f aca="false">IF(AND(G121&lt;&gt;"",K121&lt;&gt;"",L121&lt;&gt;""),(L121-K121)*1440,"")</f>
        <v/>
      </c>
      <c r="S121" s="33" t="str">
        <f aca="false">IF(AND(G121&lt;&gt;"",I121&lt;&gt;"",L121&lt;&gt;""),(L121-I121)*1440,"")</f>
        <v/>
      </c>
      <c r="T121" s="33" t="str">
        <f aca="false">IF(G121="","",IFERROR(INDEX(Settings!$B$5:$B$8,MATCH(G121,Settings!$A$5:$A$8,0)),""))</f>
        <v/>
      </c>
      <c r="U121" s="25" t="str">
        <f aca="false">IF(G121="","",IF(S121="","No",IF(S121&lt;=T121,"Yes","No")))</f>
        <v/>
      </c>
      <c r="V121" s="25" t="str">
        <f aca="false">IF(G121="","",IF(AND(J121="",K121="",L121=""),"Telemetry Blind Spot",IF(AND(K121="",L121=""),"Missed Alert",IF(L121="","Triage Delay",IF(S121&lt;=T121,"Detected - Within SLA",IF(AND(R121&lt;&gt;"",R121&gt;IFERROR(INDEX(Settings!$C$5:$C$8,MATCH(G121,Settings!$A$5:$A$8,0)),1E+099)),"Triage Delay","Detected - SLA Breach"))))))</f>
        <v/>
      </c>
      <c r="W121" s="25" t="str">
        <f aca="false">IF(G121="","",IF(L121&lt;&gt;"",1,0))</f>
        <v/>
      </c>
      <c r="X121" s="32"/>
      <c r="Y121" s="32"/>
      <c r="Z121" s="32"/>
      <c r="AA121" s="24"/>
      <c r="AB121" s="24"/>
      <c r="AC121" s="33" t="str">
        <f aca="false">IF(AND(G121&lt;&gt;"",L121&lt;&gt;"",X121&lt;&gt;""),(X121-L121)*1440,"")</f>
        <v/>
      </c>
      <c r="AD121" s="33" t="str">
        <f aca="false">IF(AND(G121&lt;&gt;"",X121&lt;&gt;"",Y121&lt;&gt;""),(Y121-X121)*1440,"")</f>
        <v/>
      </c>
      <c r="AE121" s="33" t="str">
        <f aca="false">IF(AND(G121&lt;&gt;"",Y121&lt;&gt;"",Z121&lt;&gt;""),(Z121-Y121)*1440,"")</f>
        <v/>
      </c>
      <c r="AF121" s="33" t="str">
        <f aca="false">IF(AND(G121&lt;&gt;"",L121&lt;&gt;"",Z121&lt;&gt;""),(Z121-L121)*1440,"")</f>
        <v/>
      </c>
      <c r="AG121" s="33" t="str">
        <f aca="false">IF(G121="","",IFERROR(INDEX(Settings!$D$5:$D$8,MATCH(G121,Settings!$A$5:$A$8,0)),""))</f>
        <v/>
      </c>
      <c r="AH121" s="25" t="str">
        <f aca="false">IF(G121="","",IF(AF121="","No",IF(AF121&lt;=AG121,"Yes","No")))</f>
        <v/>
      </c>
      <c r="AI121" s="25" t="str">
        <f aca="false">IF(G121="","",IF(L121="","N/A - Not Detected",IF(AND(X121="",Y121="",Z121=""),"No Containment Action",IF(Z121="",IF(Y121&lt;&gt;"","C2 Persisted","Host Isolation Gap"),IF(AF121&lt;=AG121,"Contained - Within SLA","Contained - SLA Breach")))))</f>
        <v/>
      </c>
      <c r="AJ121" s="25" t="str">
        <f aca="false">IF(G121="","",IF(Z121&lt;&gt;"",1,0))</f>
        <v/>
      </c>
      <c r="AK121" s="34"/>
      <c r="AL121" s="34"/>
      <c r="AM121" s="35"/>
      <c r="AN121" s="34"/>
      <c r="AO121" s="34"/>
      <c r="AP121" s="35"/>
      <c r="AQ121" s="34"/>
      <c r="AR121" s="34"/>
      <c r="AS121" s="34"/>
      <c r="AT121" s="35"/>
      <c r="AU121" s="35"/>
    </row>
    <row r="122" customFormat="false" ht="15" hidden="false" customHeight="false" outlineLevel="0" collapsed="false">
      <c r="A122" s="24"/>
      <c r="B122" s="24"/>
      <c r="C122" s="24"/>
      <c r="D122" s="24"/>
      <c r="E122" s="24"/>
      <c r="F122" s="24"/>
      <c r="G122" s="24"/>
      <c r="H122" s="24"/>
      <c r="I122" s="32"/>
      <c r="J122" s="32"/>
      <c r="K122" s="32"/>
      <c r="L122" s="32"/>
      <c r="M122" s="24"/>
      <c r="N122" s="24"/>
      <c r="O122" s="24"/>
      <c r="P122" s="33" t="str">
        <f aca="false">IF(AND(G122&lt;&gt;"",I122&lt;&gt;"",J122&lt;&gt;""),(J122-I122)*1440,"")</f>
        <v/>
      </c>
      <c r="Q122" s="33" t="str">
        <f aca="false">IF(AND(G122&lt;&gt;"",J122&lt;&gt;"",K122&lt;&gt;""),(K122-J122)*1440,"")</f>
        <v/>
      </c>
      <c r="R122" s="33" t="str">
        <f aca="false">IF(AND(G122&lt;&gt;"",K122&lt;&gt;"",L122&lt;&gt;""),(L122-K122)*1440,"")</f>
        <v/>
      </c>
      <c r="S122" s="33" t="str">
        <f aca="false">IF(AND(G122&lt;&gt;"",I122&lt;&gt;"",L122&lt;&gt;""),(L122-I122)*1440,"")</f>
        <v/>
      </c>
      <c r="T122" s="33" t="str">
        <f aca="false">IF(G122="","",IFERROR(INDEX(Settings!$B$5:$B$8,MATCH(G122,Settings!$A$5:$A$8,0)),""))</f>
        <v/>
      </c>
      <c r="U122" s="25" t="str">
        <f aca="false">IF(G122="","",IF(S122="","No",IF(S122&lt;=T122,"Yes","No")))</f>
        <v/>
      </c>
      <c r="V122" s="25" t="str">
        <f aca="false">IF(G122="","",IF(AND(J122="",K122="",L122=""),"Telemetry Blind Spot",IF(AND(K122="",L122=""),"Missed Alert",IF(L122="","Triage Delay",IF(S122&lt;=T122,"Detected - Within SLA",IF(AND(R122&lt;&gt;"",R122&gt;IFERROR(INDEX(Settings!$C$5:$C$8,MATCH(G122,Settings!$A$5:$A$8,0)),1E+099)),"Triage Delay","Detected - SLA Breach"))))))</f>
        <v/>
      </c>
      <c r="W122" s="25" t="str">
        <f aca="false">IF(G122="","",IF(L122&lt;&gt;"",1,0))</f>
        <v/>
      </c>
      <c r="X122" s="32"/>
      <c r="Y122" s="32"/>
      <c r="Z122" s="32"/>
      <c r="AA122" s="24"/>
      <c r="AB122" s="24"/>
      <c r="AC122" s="33" t="str">
        <f aca="false">IF(AND(G122&lt;&gt;"",L122&lt;&gt;"",X122&lt;&gt;""),(X122-L122)*1440,"")</f>
        <v/>
      </c>
      <c r="AD122" s="33" t="str">
        <f aca="false">IF(AND(G122&lt;&gt;"",X122&lt;&gt;"",Y122&lt;&gt;""),(Y122-X122)*1440,"")</f>
        <v/>
      </c>
      <c r="AE122" s="33" t="str">
        <f aca="false">IF(AND(G122&lt;&gt;"",Y122&lt;&gt;"",Z122&lt;&gt;""),(Z122-Y122)*1440,"")</f>
        <v/>
      </c>
      <c r="AF122" s="33" t="str">
        <f aca="false">IF(AND(G122&lt;&gt;"",L122&lt;&gt;"",Z122&lt;&gt;""),(Z122-L122)*1440,"")</f>
        <v/>
      </c>
      <c r="AG122" s="33" t="str">
        <f aca="false">IF(G122="","",IFERROR(INDEX(Settings!$D$5:$D$8,MATCH(G122,Settings!$A$5:$A$8,0)),""))</f>
        <v/>
      </c>
      <c r="AH122" s="25" t="str">
        <f aca="false">IF(G122="","",IF(AF122="","No",IF(AF122&lt;=AG122,"Yes","No")))</f>
        <v/>
      </c>
      <c r="AI122" s="25" t="str">
        <f aca="false">IF(G122="","",IF(L122="","N/A - Not Detected",IF(AND(X122="",Y122="",Z122=""),"No Containment Action",IF(Z122="",IF(Y122&lt;&gt;"","C2 Persisted","Host Isolation Gap"),IF(AF122&lt;=AG122,"Contained - Within SLA","Contained - SLA Breach")))))</f>
        <v/>
      </c>
      <c r="AJ122" s="25" t="str">
        <f aca="false">IF(G122="","",IF(Z122&lt;&gt;"",1,0))</f>
        <v/>
      </c>
      <c r="AK122" s="34"/>
      <c r="AL122" s="34"/>
      <c r="AM122" s="35"/>
      <c r="AN122" s="34"/>
      <c r="AO122" s="34"/>
      <c r="AP122" s="35"/>
      <c r="AQ122" s="34"/>
      <c r="AR122" s="34"/>
      <c r="AS122" s="34"/>
      <c r="AT122" s="35"/>
      <c r="AU122" s="35"/>
    </row>
    <row r="123" customFormat="false" ht="15" hidden="false" customHeight="false" outlineLevel="0" collapsed="false">
      <c r="A123" s="24"/>
      <c r="B123" s="24"/>
      <c r="C123" s="24"/>
      <c r="D123" s="24"/>
      <c r="E123" s="24"/>
      <c r="F123" s="24"/>
      <c r="G123" s="24"/>
      <c r="H123" s="24"/>
      <c r="I123" s="32"/>
      <c r="J123" s="32"/>
      <c r="K123" s="32"/>
      <c r="L123" s="32"/>
      <c r="M123" s="24"/>
      <c r="N123" s="24"/>
      <c r="O123" s="24"/>
      <c r="P123" s="33" t="str">
        <f aca="false">IF(AND(G123&lt;&gt;"",I123&lt;&gt;"",J123&lt;&gt;""),(J123-I123)*1440,"")</f>
        <v/>
      </c>
      <c r="Q123" s="33" t="str">
        <f aca="false">IF(AND(G123&lt;&gt;"",J123&lt;&gt;"",K123&lt;&gt;""),(K123-J123)*1440,"")</f>
        <v/>
      </c>
      <c r="R123" s="33" t="str">
        <f aca="false">IF(AND(G123&lt;&gt;"",K123&lt;&gt;"",L123&lt;&gt;""),(L123-K123)*1440,"")</f>
        <v/>
      </c>
      <c r="S123" s="33" t="str">
        <f aca="false">IF(AND(G123&lt;&gt;"",I123&lt;&gt;"",L123&lt;&gt;""),(L123-I123)*1440,"")</f>
        <v/>
      </c>
      <c r="T123" s="33" t="str">
        <f aca="false">IF(G123="","",IFERROR(INDEX(Settings!$B$5:$B$8,MATCH(G123,Settings!$A$5:$A$8,0)),""))</f>
        <v/>
      </c>
      <c r="U123" s="25" t="str">
        <f aca="false">IF(G123="","",IF(S123="","No",IF(S123&lt;=T123,"Yes","No")))</f>
        <v/>
      </c>
      <c r="V123" s="25" t="str">
        <f aca="false">IF(G123="","",IF(AND(J123="",K123="",L123=""),"Telemetry Blind Spot",IF(AND(K123="",L123=""),"Missed Alert",IF(L123="","Triage Delay",IF(S123&lt;=T123,"Detected - Within SLA",IF(AND(R123&lt;&gt;"",R123&gt;IFERROR(INDEX(Settings!$C$5:$C$8,MATCH(G123,Settings!$A$5:$A$8,0)),1E+099)),"Triage Delay","Detected - SLA Breach"))))))</f>
        <v/>
      </c>
      <c r="W123" s="25" t="str">
        <f aca="false">IF(G123="","",IF(L123&lt;&gt;"",1,0))</f>
        <v/>
      </c>
      <c r="X123" s="32"/>
      <c r="Y123" s="32"/>
      <c r="Z123" s="32"/>
      <c r="AA123" s="24"/>
      <c r="AB123" s="24"/>
      <c r="AC123" s="33" t="str">
        <f aca="false">IF(AND(G123&lt;&gt;"",L123&lt;&gt;"",X123&lt;&gt;""),(X123-L123)*1440,"")</f>
        <v/>
      </c>
      <c r="AD123" s="33" t="str">
        <f aca="false">IF(AND(G123&lt;&gt;"",X123&lt;&gt;"",Y123&lt;&gt;""),(Y123-X123)*1440,"")</f>
        <v/>
      </c>
      <c r="AE123" s="33" t="str">
        <f aca="false">IF(AND(G123&lt;&gt;"",Y123&lt;&gt;"",Z123&lt;&gt;""),(Z123-Y123)*1440,"")</f>
        <v/>
      </c>
      <c r="AF123" s="33" t="str">
        <f aca="false">IF(AND(G123&lt;&gt;"",L123&lt;&gt;"",Z123&lt;&gt;""),(Z123-L123)*1440,"")</f>
        <v/>
      </c>
      <c r="AG123" s="33" t="str">
        <f aca="false">IF(G123="","",IFERROR(INDEX(Settings!$D$5:$D$8,MATCH(G123,Settings!$A$5:$A$8,0)),""))</f>
        <v/>
      </c>
      <c r="AH123" s="25" t="str">
        <f aca="false">IF(G123="","",IF(AF123="","No",IF(AF123&lt;=AG123,"Yes","No")))</f>
        <v/>
      </c>
      <c r="AI123" s="25" t="str">
        <f aca="false">IF(G123="","",IF(L123="","N/A - Not Detected",IF(AND(X123="",Y123="",Z123=""),"No Containment Action",IF(Z123="",IF(Y123&lt;&gt;"","C2 Persisted","Host Isolation Gap"),IF(AF123&lt;=AG123,"Contained - Within SLA","Contained - SLA Breach")))))</f>
        <v/>
      </c>
      <c r="AJ123" s="25" t="str">
        <f aca="false">IF(G123="","",IF(Z123&lt;&gt;"",1,0))</f>
        <v/>
      </c>
      <c r="AK123" s="34"/>
      <c r="AL123" s="34"/>
      <c r="AM123" s="35"/>
      <c r="AN123" s="34"/>
      <c r="AO123" s="34"/>
      <c r="AP123" s="35"/>
      <c r="AQ123" s="34"/>
      <c r="AR123" s="34"/>
      <c r="AS123" s="34"/>
      <c r="AT123" s="35"/>
      <c r="AU123" s="35"/>
    </row>
    <row r="124" customFormat="false" ht="15" hidden="false" customHeight="false" outlineLevel="0" collapsed="false">
      <c r="A124" s="24"/>
      <c r="B124" s="24"/>
      <c r="C124" s="24"/>
      <c r="D124" s="24"/>
      <c r="E124" s="24"/>
      <c r="F124" s="24"/>
      <c r="G124" s="24"/>
      <c r="H124" s="24"/>
      <c r="I124" s="32"/>
      <c r="J124" s="32"/>
      <c r="K124" s="32"/>
      <c r="L124" s="32"/>
      <c r="M124" s="24"/>
      <c r="N124" s="24"/>
      <c r="O124" s="24"/>
      <c r="P124" s="33" t="str">
        <f aca="false">IF(AND(G124&lt;&gt;"",I124&lt;&gt;"",J124&lt;&gt;""),(J124-I124)*1440,"")</f>
        <v/>
      </c>
      <c r="Q124" s="33" t="str">
        <f aca="false">IF(AND(G124&lt;&gt;"",J124&lt;&gt;"",K124&lt;&gt;""),(K124-J124)*1440,"")</f>
        <v/>
      </c>
      <c r="R124" s="33" t="str">
        <f aca="false">IF(AND(G124&lt;&gt;"",K124&lt;&gt;"",L124&lt;&gt;""),(L124-K124)*1440,"")</f>
        <v/>
      </c>
      <c r="S124" s="33" t="str">
        <f aca="false">IF(AND(G124&lt;&gt;"",I124&lt;&gt;"",L124&lt;&gt;""),(L124-I124)*1440,"")</f>
        <v/>
      </c>
      <c r="T124" s="33" t="str">
        <f aca="false">IF(G124="","",IFERROR(INDEX(Settings!$B$5:$B$8,MATCH(G124,Settings!$A$5:$A$8,0)),""))</f>
        <v/>
      </c>
      <c r="U124" s="25" t="str">
        <f aca="false">IF(G124="","",IF(S124="","No",IF(S124&lt;=T124,"Yes","No")))</f>
        <v/>
      </c>
      <c r="V124" s="25" t="str">
        <f aca="false">IF(G124="","",IF(AND(J124="",K124="",L124=""),"Telemetry Blind Spot",IF(AND(K124="",L124=""),"Missed Alert",IF(L124="","Triage Delay",IF(S124&lt;=T124,"Detected - Within SLA",IF(AND(R124&lt;&gt;"",R124&gt;IFERROR(INDEX(Settings!$C$5:$C$8,MATCH(G124,Settings!$A$5:$A$8,0)),1E+099)),"Triage Delay","Detected - SLA Breach"))))))</f>
        <v/>
      </c>
      <c r="W124" s="25" t="str">
        <f aca="false">IF(G124="","",IF(L124&lt;&gt;"",1,0))</f>
        <v/>
      </c>
      <c r="X124" s="32"/>
      <c r="Y124" s="32"/>
      <c r="Z124" s="32"/>
      <c r="AA124" s="24"/>
      <c r="AB124" s="24"/>
      <c r="AC124" s="33" t="str">
        <f aca="false">IF(AND(G124&lt;&gt;"",L124&lt;&gt;"",X124&lt;&gt;""),(X124-L124)*1440,"")</f>
        <v/>
      </c>
      <c r="AD124" s="33" t="str">
        <f aca="false">IF(AND(G124&lt;&gt;"",X124&lt;&gt;"",Y124&lt;&gt;""),(Y124-X124)*1440,"")</f>
        <v/>
      </c>
      <c r="AE124" s="33" t="str">
        <f aca="false">IF(AND(G124&lt;&gt;"",Y124&lt;&gt;"",Z124&lt;&gt;""),(Z124-Y124)*1440,"")</f>
        <v/>
      </c>
      <c r="AF124" s="33" t="str">
        <f aca="false">IF(AND(G124&lt;&gt;"",L124&lt;&gt;"",Z124&lt;&gt;""),(Z124-L124)*1440,"")</f>
        <v/>
      </c>
      <c r="AG124" s="33" t="str">
        <f aca="false">IF(G124="","",IFERROR(INDEX(Settings!$D$5:$D$8,MATCH(G124,Settings!$A$5:$A$8,0)),""))</f>
        <v/>
      </c>
      <c r="AH124" s="25" t="str">
        <f aca="false">IF(G124="","",IF(AF124="","No",IF(AF124&lt;=AG124,"Yes","No")))</f>
        <v/>
      </c>
      <c r="AI124" s="25" t="str">
        <f aca="false">IF(G124="","",IF(L124="","N/A - Not Detected",IF(AND(X124="",Y124="",Z124=""),"No Containment Action",IF(Z124="",IF(Y124&lt;&gt;"","C2 Persisted","Host Isolation Gap"),IF(AF124&lt;=AG124,"Contained - Within SLA","Contained - SLA Breach")))))</f>
        <v/>
      </c>
      <c r="AJ124" s="25" t="str">
        <f aca="false">IF(G124="","",IF(Z124&lt;&gt;"",1,0))</f>
        <v/>
      </c>
      <c r="AK124" s="34"/>
      <c r="AL124" s="34"/>
      <c r="AM124" s="35"/>
      <c r="AN124" s="34"/>
      <c r="AO124" s="34"/>
      <c r="AP124" s="35"/>
      <c r="AQ124" s="34"/>
      <c r="AR124" s="34"/>
      <c r="AS124" s="34"/>
      <c r="AT124" s="35"/>
      <c r="AU124" s="35"/>
    </row>
    <row r="125" customFormat="false" ht="15" hidden="false" customHeight="false" outlineLevel="0" collapsed="false">
      <c r="A125" s="24"/>
      <c r="B125" s="24"/>
      <c r="C125" s="24"/>
      <c r="D125" s="24"/>
      <c r="E125" s="24"/>
      <c r="F125" s="24"/>
      <c r="G125" s="24"/>
      <c r="H125" s="24"/>
      <c r="I125" s="32"/>
      <c r="J125" s="32"/>
      <c r="K125" s="32"/>
      <c r="L125" s="32"/>
      <c r="M125" s="24"/>
      <c r="N125" s="24"/>
      <c r="O125" s="24"/>
      <c r="P125" s="33" t="str">
        <f aca="false">IF(AND(G125&lt;&gt;"",I125&lt;&gt;"",J125&lt;&gt;""),(J125-I125)*1440,"")</f>
        <v/>
      </c>
      <c r="Q125" s="33" t="str">
        <f aca="false">IF(AND(G125&lt;&gt;"",J125&lt;&gt;"",K125&lt;&gt;""),(K125-J125)*1440,"")</f>
        <v/>
      </c>
      <c r="R125" s="33" t="str">
        <f aca="false">IF(AND(G125&lt;&gt;"",K125&lt;&gt;"",L125&lt;&gt;""),(L125-K125)*1440,"")</f>
        <v/>
      </c>
      <c r="S125" s="33" t="str">
        <f aca="false">IF(AND(G125&lt;&gt;"",I125&lt;&gt;"",L125&lt;&gt;""),(L125-I125)*1440,"")</f>
        <v/>
      </c>
      <c r="T125" s="33" t="str">
        <f aca="false">IF(G125="","",IFERROR(INDEX(Settings!$B$5:$B$8,MATCH(G125,Settings!$A$5:$A$8,0)),""))</f>
        <v/>
      </c>
      <c r="U125" s="25" t="str">
        <f aca="false">IF(G125="","",IF(S125="","No",IF(S125&lt;=T125,"Yes","No")))</f>
        <v/>
      </c>
      <c r="V125" s="25" t="str">
        <f aca="false">IF(G125="","",IF(AND(J125="",K125="",L125=""),"Telemetry Blind Spot",IF(AND(K125="",L125=""),"Missed Alert",IF(L125="","Triage Delay",IF(S125&lt;=T125,"Detected - Within SLA",IF(AND(R125&lt;&gt;"",R125&gt;IFERROR(INDEX(Settings!$C$5:$C$8,MATCH(G125,Settings!$A$5:$A$8,0)),1E+099)),"Triage Delay","Detected - SLA Breach"))))))</f>
        <v/>
      </c>
      <c r="W125" s="25" t="str">
        <f aca="false">IF(G125="","",IF(L125&lt;&gt;"",1,0))</f>
        <v/>
      </c>
      <c r="X125" s="32"/>
      <c r="Y125" s="32"/>
      <c r="Z125" s="32"/>
      <c r="AA125" s="24"/>
      <c r="AB125" s="24"/>
      <c r="AC125" s="33" t="str">
        <f aca="false">IF(AND(G125&lt;&gt;"",L125&lt;&gt;"",X125&lt;&gt;""),(X125-L125)*1440,"")</f>
        <v/>
      </c>
      <c r="AD125" s="33" t="str">
        <f aca="false">IF(AND(G125&lt;&gt;"",X125&lt;&gt;"",Y125&lt;&gt;""),(Y125-X125)*1440,"")</f>
        <v/>
      </c>
      <c r="AE125" s="33" t="str">
        <f aca="false">IF(AND(G125&lt;&gt;"",Y125&lt;&gt;"",Z125&lt;&gt;""),(Z125-Y125)*1440,"")</f>
        <v/>
      </c>
      <c r="AF125" s="33" t="str">
        <f aca="false">IF(AND(G125&lt;&gt;"",L125&lt;&gt;"",Z125&lt;&gt;""),(Z125-L125)*1440,"")</f>
        <v/>
      </c>
      <c r="AG125" s="33" t="str">
        <f aca="false">IF(G125="","",IFERROR(INDEX(Settings!$D$5:$D$8,MATCH(G125,Settings!$A$5:$A$8,0)),""))</f>
        <v/>
      </c>
      <c r="AH125" s="25" t="str">
        <f aca="false">IF(G125="","",IF(AF125="","No",IF(AF125&lt;=AG125,"Yes","No")))</f>
        <v/>
      </c>
      <c r="AI125" s="25" t="str">
        <f aca="false">IF(G125="","",IF(L125="","N/A - Not Detected",IF(AND(X125="",Y125="",Z125=""),"No Containment Action",IF(Z125="",IF(Y125&lt;&gt;"","C2 Persisted","Host Isolation Gap"),IF(AF125&lt;=AG125,"Contained - Within SLA","Contained - SLA Breach")))))</f>
        <v/>
      </c>
      <c r="AJ125" s="25" t="str">
        <f aca="false">IF(G125="","",IF(Z125&lt;&gt;"",1,0))</f>
        <v/>
      </c>
      <c r="AK125" s="34"/>
      <c r="AL125" s="34"/>
      <c r="AM125" s="35"/>
      <c r="AN125" s="34"/>
      <c r="AO125" s="34"/>
      <c r="AP125" s="35"/>
      <c r="AQ125" s="34"/>
      <c r="AR125" s="34"/>
      <c r="AS125" s="34"/>
      <c r="AT125" s="35"/>
      <c r="AU125" s="35"/>
    </row>
    <row r="126" customFormat="false" ht="15" hidden="false" customHeight="false" outlineLevel="0" collapsed="false">
      <c r="A126" s="24"/>
      <c r="B126" s="24"/>
      <c r="C126" s="24"/>
      <c r="D126" s="24"/>
      <c r="E126" s="24"/>
      <c r="F126" s="24"/>
      <c r="G126" s="24"/>
      <c r="H126" s="24"/>
      <c r="I126" s="32"/>
      <c r="J126" s="32"/>
      <c r="K126" s="32"/>
      <c r="L126" s="32"/>
      <c r="M126" s="24"/>
      <c r="N126" s="24"/>
      <c r="O126" s="24"/>
      <c r="P126" s="33" t="str">
        <f aca="false">IF(AND(G126&lt;&gt;"",I126&lt;&gt;"",J126&lt;&gt;""),(J126-I126)*1440,"")</f>
        <v/>
      </c>
      <c r="Q126" s="33" t="str">
        <f aca="false">IF(AND(G126&lt;&gt;"",J126&lt;&gt;"",K126&lt;&gt;""),(K126-J126)*1440,"")</f>
        <v/>
      </c>
      <c r="R126" s="33" t="str">
        <f aca="false">IF(AND(G126&lt;&gt;"",K126&lt;&gt;"",L126&lt;&gt;""),(L126-K126)*1440,"")</f>
        <v/>
      </c>
      <c r="S126" s="33" t="str">
        <f aca="false">IF(AND(G126&lt;&gt;"",I126&lt;&gt;"",L126&lt;&gt;""),(L126-I126)*1440,"")</f>
        <v/>
      </c>
      <c r="T126" s="33" t="str">
        <f aca="false">IF(G126="","",IFERROR(INDEX(Settings!$B$5:$B$8,MATCH(G126,Settings!$A$5:$A$8,0)),""))</f>
        <v/>
      </c>
      <c r="U126" s="25" t="str">
        <f aca="false">IF(G126="","",IF(S126="","No",IF(S126&lt;=T126,"Yes","No")))</f>
        <v/>
      </c>
      <c r="V126" s="25" t="str">
        <f aca="false">IF(G126="","",IF(AND(J126="",K126="",L126=""),"Telemetry Blind Spot",IF(AND(K126="",L126=""),"Missed Alert",IF(L126="","Triage Delay",IF(S126&lt;=T126,"Detected - Within SLA",IF(AND(R126&lt;&gt;"",R126&gt;IFERROR(INDEX(Settings!$C$5:$C$8,MATCH(G126,Settings!$A$5:$A$8,0)),1E+099)),"Triage Delay","Detected - SLA Breach"))))))</f>
        <v/>
      </c>
      <c r="W126" s="25" t="str">
        <f aca="false">IF(G126="","",IF(L126&lt;&gt;"",1,0))</f>
        <v/>
      </c>
      <c r="X126" s="32"/>
      <c r="Y126" s="32"/>
      <c r="Z126" s="32"/>
      <c r="AA126" s="24"/>
      <c r="AB126" s="24"/>
      <c r="AC126" s="33" t="str">
        <f aca="false">IF(AND(G126&lt;&gt;"",L126&lt;&gt;"",X126&lt;&gt;""),(X126-L126)*1440,"")</f>
        <v/>
      </c>
      <c r="AD126" s="33" t="str">
        <f aca="false">IF(AND(G126&lt;&gt;"",X126&lt;&gt;"",Y126&lt;&gt;""),(Y126-X126)*1440,"")</f>
        <v/>
      </c>
      <c r="AE126" s="33" t="str">
        <f aca="false">IF(AND(G126&lt;&gt;"",Y126&lt;&gt;"",Z126&lt;&gt;""),(Z126-Y126)*1440,"")</f>
        <v/>
      </c>
      <c r="AF126" s="33" t="str">
        <f aca="false">IF(AND(G126&lt;&gt;"",L126&lt;&gt;"",Z126&lt;&gt;""),(Z126-L126)*1440,"")</f>
        <v/>
      </c>
      <c r="AG126" s="33" t="str">
        <f aca="false">IF(G126="","",IFERROR(INDEX(Settings!$D$5:$D$8,MATCH(G126,Settings!$A$5:$A$8,0)),""))</f>
        <v/>
      </c>
      <c r="AH126" s="25" t="str">
        <f aca="false">IF(G126="","",IF(AF126="","No",IF(AF126&lt;=AG126,"Yes","No")))</f>
        <v/>
      </c>
      <c r="AI126" s="25" t="str">
        <f aca="false">IF(G126="","",IF(L126="","N/A - Not Detected",IF(AND(X126="",Y126="",Z126=""),"No Containment Action",IF(Z126="",IF(Y126&lt;&gt;"","C2 Persisted","Host Isolation Gap"),IF(AF126&lt;=AG126,"Contained - Within SLA","Contained - SLA Breach")))))</f>
        <v/>
      </c>
      <c r="AJ126" s="25" t="str">
        <f aca="false">IF(G126="","",IF(Z126&lt;&gt;"",1,0))</f>
        <v/>
      </c>
      <c r="AK126" s="34"/>
      <c r="AL126" s="34"/>
      <c r="AM126" s="35"/>
      <c r="AN126" s="34"/>
      <c r="AO126" s="34"/>
      <c r="AP126" s="35"/>
      <c r="AQ126" s="34"/>
      <c r="AR126" s="34"/>
      <c r="AS126" s="34"/>
      <c r="AT126" s="35"/>
      <c r="AU126" s="35"/>
    </row>
    <row r="127" customFormat="false" ht="15" hidden="false" customHeight="false" outlineLevel="0" collapsed="false">
      <c r="A127" s="24"/>
      <c r="B127" s="24"/>
      <c r="C127" s="24"/>
      <c r="D127" s="24"/>
      <c r="E127" s="24"/>
      <c r="F127" s="24"/>
      <c r="G127" s="24"/>
      <c r="H127" s="24"/>
      <c r="I127" s="32"/>
      <c r="J127" s="32"/>
      <c r="K127" s="32"/>
      <c r="L127" s="32"/>
      <c r="M127" s="24"/>
      <c r="N127" s="24"/>
      <c r="O127" s="24"/>
      <c r="P127" s="33" t="str">
        <f aca="false">IF(AND(G127&lt;&gt;"",I127&lt;&gt;"",J127&lt;&gt;""),(J127-I127)*1440,"")</f>
        <v/>
      </c>
      <c r="Q127" s="33" t="str">
        <f aca="false">IF(AND(G127&lt;&gt;"",J127&lt;&gt;"",K127&lt;&gt;""),(K127-J127)*1440,"")</f>
        <v/>
      </c>
      <c r="R127" s="33" t="str">
        <f aca="false">IF(AND(G127&lt;&gt;"",K127&lt;&gt;"",L127&lt;&gt;""),(L127-K127)*1440,"")</f>
        <v/>
      </c>
      <c r="S127" s="33" t="str">
        <f aca="false">IF(AND(G127&lt;&gt;"",I127&lt;&gt;"",L127&lt;&gt;""),(L127-I127)*1440,"")</f>
        <v/>
      </c>
      <c r="T127" s="33" t="str">
        <f aca="false">IF(G127="","",IFERROR(INDEX(Settings!$B$5:$B$8,MATCH(G127,Settings!$A$5:$A$8,0)),""))</f>
        <v/>
      </c>
      <c r="U127" s="25" t="str">
        <f aca="false">IF(G127="","",IF(S127="","No",IF(S127&lt;=T127,"Yes","No")))</f>
        <v/>
      </c>
      <c r="V127" s="25" t="str">
        <f aca="false">IF(G127="","",IF(AND(J127="",K127="",L127=""),"Telemetry Blind Spot",IF(AND(K127="",L127=""),"Missed Alert",IF(L127="","Triage Delay",IF(S127&lt;=T127,"Detected - Within SLA",IF(AND(R127&lt;&gt;"",R127&gt;IFERROR(INDEX(Settings!$C$5:$C$8,MATCH(G127,Settings!$A$5:$A$8,0)),1E+099)),"Triage Delay","Detected - SLA Breach"))))))</f>
        <v/>
      </c>
      <c r="W127" s="25" t="str">
        <f aca="false">IF(G127="","",IF(L127&lt;&gt;"",1,0))</f>
        <v/>
      </c>
      <c r="X127" s="32"/>
      <c r="Y127" s="32"/>
      <c r="Z127" s="32"/>
      <c r="AA127" s="24"/>
      <c r="AB127" s="24"/>
      <c r="AC127" s="33" t="str">
        <f aca="false">IF(AND(G127&lt;&gt;"",L127&lt;&gt;"",X127&lt;&gt;""),(X127-L127)*1440,"")</f>
        <v/>
      </c>
      <c r="AD127" s="33" t="str">
        <f aca="false">IF(AND(G127&lt;&gt;"",X127&lt;&gt;"",Y127&lt;&gt;""),(Y127-X127)*1440,"")</f>
        <v/>
      </c>
      <c r="AE127" s="33" t="str">
        <f aca="false">IF(AND(G127&lt;&gt;"",Y127&lt;&gt;"",Z127&lt;&gt;""),(Z127-Y127)*1440,"")</f>
        <v/>
      </c>
      <c r="AF127" s="33" t="str">
        <f aca="false">IF(AND(G127&lt;&gt;"",L127&lt;&gt;"",Z127&lt;&gt;""),(Z127-L127)*1440,"")</f>
        <v/>
      </c>
      <c r="AG127" s="33" t="str">
        <f aca="false">IF(G127="","",IFERROR(INDEX(Settings!$D$5:$D$8,MATCH(G127,Settings!$A$5:$A$8,0)),""))</f>
        <v/>
      </c>
      <c r="AH127" s="25" t="str">
        <f aca="false">IF(G127="","",IF(AF127="","No",IF(AF127&lt;=AG127,"Yes","No")))</f>
        <v/>
      </c>
      <c r="AI127" s="25" t="str">
        <f aca="false">IF(G127="","",IF(L127="","N/A - Not Detected",IF(AND(X127="",Y127="",Z127=""),"No Containment Action",IF(Z127="",IF(Y127&lt;&gt;"","C2 Persisted","Host Isolation Gap"),IF(AF127&lt;=AG127,"Contained - Within SLA","Contained - SLA Breach")))))</f>
        <v/>
      </c>
      <c r="AJ127" s="25" t="str">
        <f aca="false">IF(G127="","",IF(Z127&lt;&gt;"",1,0))</f>
        <v/>
      </c>
      <c r="AK127" s="34"/>
      <c r="AL127" s="34"/>
      <c r="AM127" s="35"/>
      <c r="AN127" s="34"/>
      <c r="AO127" s="34"/>
      <c r="AP127" s="35"/>
      <c r="AQ127" s="34"/>
      <c r="AR127" s="34"/>
      <c r="AS127" s="34"/>
      <c r="AT127" s="35"/>
      <c r="AU127" s="35"/>
    </row>
    <row r="128" customFormat="false" ht="15" hidden="false" customHeight="false" outlineLevel="0" collapsed="false">
      <c r="A128" s="24"/>
      <c r="B128" s="24"/>
      <c r="C128" s="24"/>
      <c r="D128" s="24"/>
      <c r="E128" s="24"/>
      <c r="F128" s="24"/>
      <c r="G128" s="24"/>
      <c r="H128" s="24"/>
      <c r="I128" s="32"/>
      <c r="J128" s="32"/>
      <c r="K128" s="32"/>
      <c r="L128" s="32"/>
      <c r="M128" s="24"/>
      <c r="N128" s="24"/>
      <c r="O128" s="24"/>
      <c r="P128" s="33" t="str">
        <f aca="false">IF(AND(G128&lt;&gt;"",I128&lt;&gt;"",J128&lt;&gt;""),(J128-I128)*1440,"")</f>
        <v/>
      </c>
      <c r="Q128" s="33" t="str">
        <f aca="false">IF(AND(G128&lt;&gt;"",J128&lt;&gt;"",K128&lt;&gt;""),(K128-J128)*1440,"")</f>
        <v/>
      </c>
      <c r="R128" s="33" t="str">
        <f aca="false">IF(AND(G128&lt;&gt;"",K128&lt;&gt;"",L128&lt;&gt;""),(L128-K128)*1440,"")</f>
        <v/>
      </c>
      <c r="S128" s="33" t="str">
        <f aca="false">IF(AND(G128&lt;&gt;"",I128&lt;&gt;"",L128&lt;&gt;""),(L128-I128)*1440,"")</f>
        <v/>
      </c>
      <c r="T128" s="33" t="str">
        <f aca="false">IF(G128="","",IFERROR(INDEX(Settings!$B$5:$B$8,MATCH(G128,Settings!$A$5:$A$8,0)),""))</f>
        <v/>
      </c>
      <c r="U128" s="25" t="str">
        <f aca="false">IF(G128="","",IF(S128="","No",IF(S128&lt;=T128,"Yes","No")))</f>
        <v/>
      </c>
      <c r="V128" s="25" t="str">
        <f aca="false">IF(G128="","",IF(AND(J128="",K128="",L128=""),"Telemetry Blind Spot",IF(AND(K128="",L128=""),"Missed Alert",IF(L128="","Triage Delay",IF(S128&lt;=T128,"Detected - Within SLA",IF(AND(R128&lt;&gt;"",R128&gt;IFERROR(INDEX(Settings!$C$5:$C$8,MATCH(G128,Settings!$A$5:$A$8,0)),1E+099)),"Triage Delay","Detected - SLA Breach"))))))</f>
        <v/>
      </c>
      <c r="W128" s="25" t="str">
        <f aca="false">IF(G128="","",IF(L128&lt;&gt;"",1,0))</f>
        <v/>
      </c>
      <c r="X128" s="32"/>
      <c r="Y128" s="32"/>
      <c r="Z128" s="32"/>
      <c r="AA128" s="24"/>
      <c r="AB128" s="24"/>
      <c r="AC128" s="33" t="str">
        <f aca="false">IF(AND(G128&lt;&gt;"",L128&lt;&gt;"",X128&lt;&gt;""),(X128-L128)*1440,"")</f>
        <v/>
      </c>
      <c r="AD128" s="33" t="str">
        <f aca="false">IF(AND(G128&lt;&gt;"",X128&lt;&gt;"",Y128&lt;&gt;""),(Y128-X128)*1440,"")</f>
        <v/>
      </c>
      <c r="AE128" s="33" t="str">
        <f aca="false">IF(AND(G128&lt;&gt;"",Y128&lt;&gt;"",Z128&lt;&gt;""),(Z128-Y128)*1440,"")</f>
        <v/>
      </c>
      <c r="AF128" s="33" t="str">
        <f aca="false">IF(AND(G128&lt;&gt;"",L128&lt;&gt;"",Z128&lt;&gt;""),(Z128-L128)*1440,"")</f>
        <v/>
      </c>
      <c r="AG128" s="33" t="str">
        <f aca="false">IF(G128="","",IFERROR(INDEX(Settings!$D$5:$D$8,MATCH(G128,Settings!$A$5:$A$8,0)),""))</f>
        <v/>
      </c>
      <c r="AH128" s="25" t="str">
        <f aca="false">IF(G128="","",IF(AF128="","No",IF(AF128&lt;=AG128,"Yes","No")))</f>
        <v/>
      </c>
      <c r="AI128" s="25" t="str">
        <f aca="false">IF(G128="","",IF(L128="","N/A - Not Detected",IF(AND(X128="",Y128="",Z128=""),"No Containment Action",IF(Z128="",IF(Y128&lt;&gt;"","C2 Persisted","Host Isolation Gap"),IF(AF128&lt;=AG128,"Contained - Within SLA","Contained - SLA Breach")))))</f>
        <v/>
      </c>
      <c r="AJ128" s="25" t="str">
        <f aca="false">IF(G128="","",IF(Z128&lt;&gt;"",1,0))</f>
        <v/>
      </c>
      <c r="AK128" s="34"/>
      <c r="AL128" s="34"/>
      <c r="AM128" s="35"/>
      <c r="AN128" s="34"/>
      <c r="AO128" s="34"/>
      <c r="AP128" s="35"/>
      <c r="AQ128" s="34"/>
      <c r="AR128" s="34"/>
      <c r="AS128" s="34"/>
      <c r="AT128" s="35"/>
      <c r="AU128" s="35"/>
    </row>
    <row r="129" customFormat="false" ht="15" hidden="false" customHeight="false" outlineLevel="0" collapsed="false">
      <c r="A129" s="24"/>
      <c r="B129" s="24"/>
      <c r="C129" s="24"/>
      <c r="D129" s="24"/>
      <c r="E129" s="24"/>
      <c r="F129" s="24"/>
      <c r="G129" s="24"/>
      <c r="H129" s="24"/>
      <c r="I129" s="32"/>
      <c r="J129" s="32"/>
      <c r="K129" s="32"/>
      <c r="L129" s="32"/>
      <c r="M129" s="24"/>
      <c r="N129" s="24"/>
      <c r="O129" s="24"/>
      <c r="P129" s="33" t="str">
        <f aca="false">IF(AND(G129&lt;&gt;"",I129&lt;&gt;"",J129&lt;&gt;""),(J129-I129)*1440,"")</f>
        <v/>
      </c>
      <c r="Q129" s="33" t="str">
        <f aca="false">IF(AND(G129&lt;&gt;"",J129&lt;&gt;"",K129&lt;&gt;""),(K129-J129)*1440,"")</f>
        <v/>
      </c>
      <c r="R129" s="33" t="str">
        <f aca="false">IF(AND(G129&lt;&gt;"",K129&lt;&gt;"",L129&lt;&gt;""),(L129-K129)*1440,"")</f>
        <v/>
      </c>
      <c r="S129" s="33" t="str">
        <f aca="false">IF(AND(G129&lt;&gt;"",I129&lt;&gt;"",L129&lt;&gt;""),(L129-I129)*1440,"")</f>
        <v/>
      </c>
      <c r="T129" s="33" t="str">
        <f aca="false">IF(G129="","",IFERROR(INDEX(Settings!$B$5:$B$8,MATCH(G129,Settings!$A$5:$A$8,0)),""))</f>
        <v/>
      </c>
      <c r="U129" s="25" t="str">
        <f aca="false">IF(G129="","",IF(S129="","No",IF(S129&lt;=T129,"Yes","No")))</f>
        <v/>
      </c>
      <c r="V129" s="25" t="str">
        <f aca="false">IF(G129="","",IF(AND(J129="",K129="",L129=""),"Telemetry Blind Spot",IF(AND(K129="",L129=""),"Missed Alert",IF(L129="","Triage Delay",IF(S129&lt;=T129,"Detected - Within SLA",IF(AND(R129&lt;&gt;"",R129&gt;IFERROR(INDEX(Settings!$C$5:$C$8,MATCH(G129,Settings!$A$5:$A$8,0)),1E+099)),"Triage Delay","Detected - SLA Breach"))))))</f>
        <v/>
      </c>
      <c r="W129" s="25" t="str">
        <f aca="false">IF(G129="","",IF(L129&lt;&gt;"",1,0))</f>
        <v/>
      </c>
      <c r="X129" s="32"/>
      <c r="Y129" s="32"/>
      <c r="Z129" s="32"/>
      <c r="AA129" s="24"/>
      <c r="AB129" s="24"/>
      <c r="AC129" s="33" t="str">
        <f aca="false">IF(AND(G129&lt;&gt;"",L129&lt;&gt;"",X129&lt;&gt;""),(X129-L129)*1440,"")</f>
        <v/>
      </c>
      <c r="AD129" s="33" t="str">
        <f aca="false">IF(AND(G129&lt;&gt;"",X129&lt;&gt;"",Y129&lt;&gt;""),(Y129-X129)*1440,"")</f>
        <v/>
      </c>
      <c r="AE129" s="33" t="str">
        <f aca="false">IF(AND(G129&lt;&gt;"",Y129&lt;&gt;"",Z129&lt;&gt;""),(Z129-Y129)*1440,"")</f>
        <v/>
      </c>
      <c r="AF129" s="33" t="str">
        <f aca="false">IF(AND(G129&lt;&gt;"",L129&lt;&gt;"",Z129&lt;&gt;""),(Z129-L129)*1440,"")</f>
        <v/>
      </c>
      <c r="AG129" s="33" t="str">
        <f aca="false">IF(G129="","",IFERROR(INDEX(Settings!$D$5:$D$8,MATCH(G129,Settings!$A$5:$A$8,0)),""))</f>
        <v/>
      </c>
      <c r="AH129" s="25" t="str">
        <f aca="false">IF(G129="","",IF(AF129="","No",IF(AF129&lt;=AG129,"Yes","No")))</f>
        <v/>
      </c>
      <c r="AI129" s="25" t="str">
        <f aca="false">IF(G129="","",IF(L129="","N/A - Not Detected",IF(AND(X129="",Y129="",Z129=""),"No Containment Action",IF(Z129="",IF(Y129&lt;&gt;"","C2 Persisted","Host Isolation Gap"),IF(AF129&lt;=AG129,"Contained - Within SLA","Contained - SLA Breach")))))</f>
        <v/>
      </c>
      <c r="AJ129" s="25" t="str">
        <f aca="false">IF(G129="","",IF(Z129&lt;&gt;"",1,0))</f>
        <v/>
      </c>
      <c r="AK129" s="34"/>
      <c r="AL129" s="34"/>
      <c r="AM129" s="35"/>
      <c r="AN129" s="34"/>
      <c r="AO129" s="34"/>
      <c r="AP129" s="35"/>
      <c r="AQ129" s="34"/>
      <c r="AR129" s="34"/>
      <c r="AS129" s="34"/>
      <c r="AT129" s="35"/>
      <c r="AU129" s="35"/>
    </row>
    <row r="130" customFormat="false" ht="15" hidden="false" customHeight="false" outlineLevel="0" collapsed="false">
      <c r="A130" s="24"/>
      <c r="B130" s="24"/>
      <c r="C130" s="24"/>
      <c r="D130" s="24"/>
      <c r="E130" s="24"/>
      <c r="F130" s="24"/>
      <c r="G130" s="24"/>
      <c r="H130" s="24"/>
      <c r="I130" s="32"/>
      <c r="J130" s="32"/>
      <c r="K130" s="32"/>
      <c r="L130" s="32"/>
      <c r="M130" s="24"/>
      <c r="N130" s="24"/>
      <c r="O130" s="24"/>
      <c r="P130" s="33" t="str">
        <f aca="false">IF(AND(G130&lt;&gt;"",I130&lt;&gt;"",J130&lt;&gt;""),(J130-I130)*1440,"")</f>
        <v/>
      </c>
      <c r="Q130" s="33" t="str">
        <f aca="false">IF(AND(G130&lt;&gt;"",J130&lt;&gt;"",K130&lt;&gt;""),(K130-J130)*1440,"")</f>
        <v/>
      </c>
      <c r="R130" s="33" t="str">
        <f aca="false">IF(AND(G130&lt;&gt;"",K130&lt;&gt;"",L130&lt;&gt;""),(L130-K130)*1440,"")</f>
        <v/>
      </c>
      <c r="S130" s="33" t="str">
        <f aca="false">IF(AND(G130&lt;&gt;"",I130&lt;&gt;"",L130&lt;&gt;""),(L130-I130)*1440,"")</f>
        <v/>
      </c>
      <c r="T130" s="33" t="str">
        <f aca="false">IF(G130="","",IFERROR(INDEX(Settings!$B$5:$B$8,MATCH(G130,Settings!$A$5:$A$8,0)),""))</f>
        <v/>
      </c>
      <c r="U130" s="25" t="str">
        <f aca="false">IF(G130="","",IF(S130="","No",IF(S130&lt;=T130,"Yes","No")))</f>
        <v/>
      </c>
      <c r="V130" s="25" t="str">
        <f aca="false">IF(G130="","",IF(AND(J130="",K130="",L130=""),"Telemetry Blind Spot",IF(AND(K130="",L130=""),"Missed Alert",IF(L130="","Triage Delay",IF(S130&lt;=T130,"Detected - Within SLA",IF(AND(R130&lt;&gt;"",R130&gt;IFERROR(INDEX(Settings!$C$5:$C$8,MATCH(G130,Settings!$A$5:$A$8,0)),1E+099)),"Triage Delay","Detected - SLA Breach"))))))</f>
        <v/>
      </c>
      <c r="W130" s="25" t="str">
        <f aca="false">IF(G130="","",IF(L130&lt;&gt;"",1,0))</f>
        <v/>
      </c>
      <c r="X130" s="32"/>
      <c r="Y130" s="32"/>
      <c r="Z130" s="32"/>
      <c r="AA130" s="24"/>
      <c r="AB130" s="24"/>
      <c r="AC130" s="33" t="str">
        <f aca="false">IF(AND(G130&lt;&gt;"",L130&lt;&gt;"",X130&lt;&gt;""),(X130-L130)*1440,"")</f>
        <v/>
      </c>
      <c r="AD130" s="33" t="str">
        <f aca="false">IF(AND(G130&lt;&gt;"",X130&lt;&gt;"",Y130&lt;&gt;""),(Y130-X130)*1440,"")</f>
        <v/>
      </c>
      <c r="AE130" s="33" t="str">
        <f aca="false">IF(AND(G130&lt;&gt;"",Y130&lt;&gt;"",Z130&lt;&gt;""),(Z130-Y130)*1440,"")</f>
        <v/>
      </c>
      <c r="AF130" s="33" t="str">
        <f aca="false">IF(AND(G130&lt;&gt;"",L130&lt;&gt;"",Z130&lt;&gt;""),(Z130-L130)*1440,"")</f>
        <v/>
      </c>
      <c r="AG130" s="33" t="str">
        <f aca="false">IF(G130="","",IFERROR(INDEX(Settings!$D$5:$D$8,MATCH(G130,Settings!$A$5:$A$8,0)),""))</f>
        <v/>
      </c>
      <c r="AH130" s="25" t="str">
        <f aca="false">IF(G130="","",IF(AF130="","No",IF(AF130&lt;=AG130,"Yes","No")))</f>
        <v/>
      </c>
      <c r="AI130" s="25" t="str">
        <f aca="false">IF(G130="","",IF(L130="","N/A - Not Detected",IF(AND(X130="",Y130="",Z130=""),"No Containment Action",IF(Z130="",IF(Y130&lt;&gt;"","C2 Persisted","Host Isolation Gap"),IF(AF130&lt;=AG130,"Contained - Within SLA","Contained - SLA Breach")))))</f>
        <v/>
      </c>
      <c r="AJ130" s="25" t="str">
        <f aca="false">IF(G130="","",IF(Z130&lt;&gt;"",1,0))</f>
        <v/>
      </c>
      <c r="AK130" s="34"/>
      <c r="AL130" s="34"/>
      <c r="AM130" s="35"/>
      <c r="AN130" s="34"/>
      <c r="AO130" s="34"/>
      <c r="AP130" s="35"/>
      <c r="AQ130" s="34"/>
      <c r="AR130" s="34"/>
      <c r="AS130" s="34"/>
      <c r="AT130" s="35"/>
      <c r="AU130" s="35"/>
    </row>
    <row r="131" customFormat="false" ht="15" hidden="false" customHeight="false" outlineLevel="0" collapsed="false">
      <c r="A131" s="24"/>
      <c r="B131" s="24"/>
      <c r="C131" s="24"/>
      <c r="D131" s="24"/>
      <c r="E131" s="24"/>
      <c r="F131" s="24"/>
      <c r="G131" s="24"/>
      <c r="H131" s="24"/>
      <c r="I131" s="32"/>
      <c r="J131" s="32"/>
      <c r="K131" s="32"/>
      <c r="L131" s="32"/>
      <c r="M131" s="24"/>
      <c r="N131" s="24"/>
      <c r="O131" s="24"/>
      <c r="P131" s="33" t="str">
        <f aca="false">IF(AND(G131&lt;&gt;"",I131&lt;&gt;"",J131&lt;&gt;""),(J131-I131)*1440,"")</f>
        <v/>
      </c>
      <c r="Q131" s="33" t="str">
        <f aca="false">IF(AND(G131&lt;&gt;"",J131&lt;&gt;"",K131&lt;&gt;""),(K131-J131)*1440,"")</f>
        <v/>
      </c>
      <c r="R131" s="33" t="str">
        <f aca="false">IF(AND(G131&lt;&gt;"",K131&lt;&gt;"",L131&lt;&gt;""),(L131-K131)*1440,"")</f>
        <v/>
      </c>
      <c r="S131" s="33" t="str">
        <f aca="false">IF(AND(G131&lt;&gt;"",I131&lt;&gt;"",L131&lt;&gt;""),(L131-I131)*1440,"")</f>
        <v/>
      </c>
      <c r="T131" s="33" t="str">
        <f aca="false">IF(G131="","",IFERROR(INDEX(Settings!$B$5:$B$8,MATCH(G131,Settings!$A$5:$A$8,0)),""))</f>
        <v/>
      </c>
      <c r="U131" s="25" t="str">
        <f aca="false">IF(G131="","",IF(S131="","No",IF(S131&lt;=T131,"Yes","No")))</f>
        <v/>
      </c>
      <c r="V131" s="25" t="str">
        <f aca="false">IF(G131="","",IF(AND(J131="",K131="",L131=""),"Telemetry Blind Spot",IF(AND(K131="",L131=""),"Missed Alert",IF(L131="","Triage Delay",IF(S131&lt;=T131,"Detected - Within SLA",IF(AND(R131&lt;&gt;"",R131&gt;IFERROR(INDEX(Settings!$C$5:$C$8,MATCH(G131,Settings!$A$5:$A$8,0)),1E+099)),"Triage Delay","Detected - SLA Breach"))))))</f>
        <v/>
      </c>
      <c r="W131" s="25" t="str">
        <f aca="false">IF(G131="","",IF(L131&lt;&gt;"",1,0))</f>
        <v/>
      </c>
      <c r="X131" s="32"/>
      <c r="Y131" s="32"/>
      <c r="Z131" s="32"/>
      <c r="AA131" s="24"/>
      <c r="AB131" s="24"/>
      <c r="AC131" s="33" t="str">
        <f aca="false">IF(AND(G131&lt;&gt;"",L131&lt;&gt;"",X131&lt;&gt;""),(X131-L131)*1440,"")</f>
        <v/>
      </c>
      <c r="AD131" s="33" t="str">
        <f aca="false">IF(AND(G131&lt;&gt;"",X131&lt;&gt;"",Y131&lt;&gt;""),(Y131-X131)*1440,"")</f>
        <v/>
      </c>
      <c r="AE131" s="33" t="str">
        <f aca="false">IF(AND(G131&lt;&gt;"",Y131&lt;&gt;"",Z131&lt;&gt;""),(Z131-Y131)*1440,"")</f>
        <v/>
      </c>
      <c r="AF131" s="33" t="str">
        <f aca="false">IF(AND(G131&lt;&gt;"",L131&lt;&gt;"",Z131&lt;&gt;""),(Z131-L131)*1440,"")</f>
        <v/>
      </c>
      <c r="AG131" s="33" t="str">
        <f aca="false">IF(G131="","",IFERROR(INDEX(Settings!$D$5:$D$8,MATCH(G131,Settings!$A$5:$A$8,0)),""))</f>
        <v/>
      </c>
      <c r="AH131" s="25" t="str">
        <f aca="false">IF(G131="","",IF(AF131="","No",IF(AF131&lt;=AG131,"Yes","No")))</f>
        <v/>
      </c>
      <c r="AI131" s="25" t="str">
        <f aca="false">IF(G131="","",IF(L131="","N/A - Not Detected",IF(AND(X131="",Y131="",Z131=""),"No Containment Action",IF(Z131="",IF(Y131&lt;&gt;"","C2 Persisted","Host Isolation Gap"),IF(AF131&lt;=AG131,"Contained - Within SLA","Contained - SLA Breach")))))</f>
        <v/>
      </c>
      <c r="AJ131" s="25" t="str">
        <f aca="false">IF(G131="","",IF(Z131&lt;&gt;"",1,0))</f>
        <v/>
      </c>
      <c r="AK131" s="34"/>
      <c r="AL131" s="34"/>
      <c r="AM131" s="35"/>
      <c r="AN131" s="34"/>
      <c r="AO131" s="34"/>
      <c r="AP131" s="35"/>
      <c r="AQ131" s="34"/>
      <c r="AR131" s="34"/>
      <c r="AS131" s="34"/>
      <c r="AT131" s="35"/>
      <c r="AU131" s="35"/>
    </row>
    <row r="132" customFormat="false" ht="15" hidden="false" customHeight="false" outlineLevel="0" collapsed="false">
      <c r="A132" s="24"/>
      <c r="B132" s="24"/>
      <c r="C132" s="24"/>
      <c r="D132" s="24"/>
      <c r="E132" s="24"/>
      <c r="F132" s="24"/>
      <c r="G132" s="24"/>
      <c r="H132" s="24"/>
      <c r="I132" s="32"/>
      <c r="J132" s="32"/>
      <c r="K132" s="32"/>
      <c r="L132" s="32"/>
      <c r="M132" s="24"/>
      <c r="N132" s="24"/>
      <c r="O132" s="24"/>
      <c r="P132" s="33" t="str">
        <f aca="false">IF(AND(G132&lt;&gt;"",I132&lt;&gt;"",J132&lt;&gt;""),(J132-I132)*1440,"")</f>
        <v/>
      </c>
      <c r="Q132" s="33" t="str">
        <f aca="false">IF(AND(G132&lt;&gt;"",J132&lt;&gt;"",K132&lt;&gt;""),(K132-J132)*1440,"")</f>
        <v/>
      </c>
      <c r="R132" s="33" t="str">
        <f aca="false">IF(AND(G132&lt;&gt;"",K132&lt;&gt;"",L132&lt;&gt;""),(L132-K132)*1440,"")</f>
        <v/>
      </c>
      <c r="S132" s="33" t="str">
        <f aca="false">IF(AND(G132&lt;&gt;"",I132&lt;&gt;"",L132&lt;&gt;""),(L132-I132)*1440,"")</f>
        <v/>
      </c>
      <c r="T132" s="33" t="str">
        <f aca="false">IF(G132="","",IFERROR(INDEX(Settings!$B$5:$B$8,MATCH(G132,Settings!$A$5:$A$8,0)),""))</f>
        <v/>
      </c>
      <c r="U132" s="25" t="str">
        <f aca="false">IF(G132="","",IF(S132="","No",IF(S132&lt;=T132,"Yes","No")))</f>
        <v/>
      </c>
      <c r="V132" s="25" t="str">
        <f aca="false">IF(G132="","",IF(AND(J132="",K132="",L132=""),"Telemetry Blind Spot",IF(AND(K132="",L132=""),"Missed Alert",IF(L132="","Triage Delay",IF(S132&lt;=T132,"Detected - Within SLA",IF(AND(R132&lt;&gt;"",R132&gt;IFERROR(INDEX(Settings!$C$5:$C$8,MATCH(G132,Settings!$A$5:$A$8,0)),1E+099)),"Triage Delay","Detected - SLA Breach"))))))</f>
        <v/>
      </c>
      <c r="W132" s="25" t="str">
        <f aca="false">IF(G132="","",IF(L132&lt;&gt;"",1,0))</f>
        <v/>
      </c>
      <c r="X132" s="32"/>
      <c r="Y132" s="32"/>
      <c r="Z132" s="32"/>
      <c r="AA132" s="24"/>
      <c r="AB132" s="24"/>
      <c r="AC132" s="33" t="str">
        <f aca="false">IF(AND(G132&lt;&gt;"",L132&lt;&gt;"",X132&lt;&gt;""),(X132-L132)*1440,"")</f>
        <v/>
      </c>
      <c r="AD132" s="33" t="str">
        <f aca="false">IF(AND(G132&lt;&gt;"",X132&lt;&gt;"",Y132&lt;&gt;""),(Y132-X132)*1440,"")</f>
        <v/>
      </c>
      <c r="AE132" s="33" t="str">
        <f aca="false">IF(AND(G132&lt;&gt;"",Y132&lt;&gt;"",Z132&lt;&gt;""),(Z132-Y132)*1440,"")</f>
        <v/>
      </c>
      <c r="AF132" s="33" t="str">
        <f aca="false">IF(AND(G132&lt;&gt;"",L132&lt;&gt;"",Z132&lt;&gt;""),(Z132-L132)*1440,"")</f>
        <v/>
      </c>
      <c r="AG132" s="33" t="str">
        <f aca="false">IF(G132="","",IFERROR(INDEX(Settings!$D$5:$D$8,MATCH(G132,Settings!$A$5:$A$8,0)),""))</f>
        <v/>
      </c>
      <c r="AH132" s="25" t="str">
        <f aca="false">IF(G132="","",IF(AF132="","No",IF(AF132&lt;=AG132,"Yes","No")))</f>
        <v/>
      </c>
      <c r="AI132" s="25" t="str">
        <f aca="false">IF(G132="","",IF(L132="","N/A - Not Detected",IF(AND(X132="",Y132="",Z132=""),"No Containment Action",IF(Z132="",IF(Y132&lt;&gt;"","C2 Persisted","Host Isolation Gap"),IF(AF132&lt;=AG132,"Contained - Within SLA","Contained - SLA Breach")))))</f>
        <v/>
      </c>
      <c r="AJ132" s="25" t="str">
        <f aca="false">IF(G132="","",IF(Z132&lt;&gt;"",1,0))</f>
        <v/>
      </c>
      <c r="AK132" s="34"/>
      <c r="AL132" s="34"/>
      <c r="AM132" s="35"/>
      <c r="AN132" s="34"/>
      <c r="AO132" s="34"/>
      <c r="AP132" s="35"/>
      <c r="AQ132" s="34"/>
      <c r="AR132" s="34"/>
      <c r="AS132" s="34"/>
      <c r="AT132" s="35"/>
      <c r="AU132" s="35"/>
    </row>
    <row r="133" customFormat="false" ht="15" hidden="false" customHeight="false" outlineLevel="0" collapsed="false">
      <c r="A133" s="24"/>
      <c r="B133" s="24"/>
      <c r="C133" s="24"/>
      <c r="D133" s="24"/>
      <c r="E133" s="24"/>
      <c r="F133" s="24"/>
      <c r="G133" s="24"/>
      <c r="H133" s="24"/>
      <c r="I133" s="32"/>
      <c r="J133" s="32"/>
      <c r="K133" s="32"/>
      <c r="L133" s="32"/>
      <c r="M133" s="24"/>
      <c r="N133" s="24"/>
      <c r="O133" s="24"/>
      <c r="P133" s="33" t="str">
        <f aca="false">IF(AND(G133&lt;&gt;"",I133&lt;&gt;"",J133&lt;&gt;""),(J133-I133)*1440,"")</f>
        <v/>
      </c>
      <c r="Q133" s="33" t="str">
        <f aca="false">IF(AND(G133&lt;&gt;"",J133&lt;&gt;"",K133&lt;&gt;""),(K133-J133)*1440,"")</f>
        <v/>
      </c>
      <c r="R133" s="33" t="str">
        <f aca="false">IF(AND(G133&lt;&gt;"",K133&lt;&gt;"",L133&lt;&gt;""),(L133-K133)*1440,"")</f>
        <v/>
      </c>
      <c r="S133" s="33" t="str">
        <f aca="false">IF(AND(G133&lt;&gt;"",I133&lt;&gt;"",L133&lt;&gt;""),(L133-I133)*1440,"")</f>
        <v/>
      </c>
      <c r="T133" s="33" t="str">
        <f aca="false">IF(G133="","",IFERROR(INDEX(Settings!$B$5:$B$8,MATCH(G133,Settings!$A$5:$A$8,0)),""))</f>
        <v/>
      </c>
      <c r="U133" s="25" t="str">
        <f aca="false">IF(G133="","",IF(S133="","No",IF(S133&lt;=T133,"Yes","No")))</f>
        <v/>
      </c>
      <c r="V133" s="25" t="str">
        <f aca="false">IF(G133="","",IF(AND(J133="",K133="",L133=""),"Telemetry Blind Spot",IF(AND(K133="",L133=""),"Missed Alert",IF(L133="","Triage Delay",IF(S133&lt;=T133,"Detected - Within SLA",IF(AND(R133&lt;&gt;"",R133&gt;IFERROR(INDEX(Settings!$C$5:$C$8,MATCH(G133,Settings!$A$5:$A$8,0)),1E+099)),"Triage Delay","Detected - SLA Breach"))))))</f>
        <v/>
      </c>
      <c r="W133" s="25" t="str">
        <f aca="false">IF(G133="","",IF(L133&lt;&gt;"",1,0))</f>
        <v/>
      </c>
      <c r="X133" s="32"/>
      <c r="Y133" s="32"/>
      <c r="Z133" s="32"/>
      <c r="AA133" s="24"/>
      <c r="AB133" s="24"/>
      <c r="AC133" s="33" t="str">
        <f aca="false">IF(AND(G133&lt;&gt;"",L133&lt;&gt;"",X133&lt;&gt;""),(X133-L133)*1440,"")</f>
        <v/>
      </c>
      <c r="AD133" s="33" t="str">
        <f aca="false">IF(AND(G133&lt;&gt;"",X133&lt;&gt;"",Y133&lt;&gt;""),(Y133-X133)*1440,"")</f>
        <v/>
      </c>
      <c r="AE133" s="33" t="str">
        <f aca="false">IF(AND(G133&lt;&gt;"",Y133&lt;&gt;"",Z133&lt;&gt;""),(Z133-Y133)*1440,"")</f>
        <v/>
      </c>
      <c r="AF133" s="33" t="str">
        <f aca="false">IF(AND(G133&lt;&gt;"",L133&lt;&gt;"",Z133&lt;&gt;""),(Z133-L133)*1440,"")</f>
        <v/>
      </c>
      <c r="AG133" s="33" t="str">
        <f aca="false">IF(G133="","",IFERROR(INDEX(Settings!$D$5:$D$8,MATCH(G133,Settings!$A$5:$A$8,0)),""))</f>
        <v/>
      </c>
      <c r="AH133" s="25" t="str">
        <f aca="false">IF(G133="","",IF(AF133="","No",IF(AF133&lt;=AG133,"Yes","No")))</f>
        <v/>
      </c>
      <c r="AI133" s="25" t="str">
        <f aca="false">IF(G133="","",IF(L133="","N/A - Not Detected",IF(AND(X133="",Y133="",Z133=""),"No Containment Action",IF(Z133="",IF(Y133&lt;&gt;"","C2 Persisted","Host Isolation Gap"),IF(AF133&lt;=AG133,"Contained - Within SLA","Contained - SLA Breach")))))</f>
        <v/>
      </c>
      <c r="AJ133" s="25" t="str">
        <f aca="false">IF(G133="","",IF(Z133&lt;&gt;"",1,0))</f>
        <v/>
      </c>
      <c r="AK133" s="34"/>
      <c r="AL133" s="34"/>
      <c r="AM133" s="35"/>
      <c r="AN133" s="34"/>
      <c r="AO133" s="34"/>
      <c r="AP133" s="35"/>
      <c r="AQ133" s="34"/>
      <c r="AR133" s="34"/>
      <c r="AS133" s="34"/>
      <c r="AT133" s="35"/>
      <c r="AU133" s="35"/>
    </row>
    <row r="134" customFormat="false" ht="15" hidden="false" customHeight="false" outlineLevel="0" collapsed="false">
      <c r="A134" s="24"/>
      <c r="B134" s="24"/>
      <c r="C134" s="24"/>
      <c r="D134" s="24"/>
      <c r="E134" s="24"/>
      <c r="F134" s="24"/>
      <c r="G134" s="24"/>
      <c r="H134" s="24"/>
      <c r="I134" s="32"/>
      <c r="J134" s="32"/>
      <c r="K134" s="32"/>
      <c r="L134" s="32"/>
      <c r="M134" s="24"/>
      <c r="N134" s="24"/>
      <c r="O134" s="24"/>
      <c r="P134" s="33" t="str">
        <f aca="false">IF(AND(G134&lt;&gt;"",I134&lt;&gt;"",J134&lt;&gt;""),(J134-I134)*1440,"")</f>
        <v/>
      </c>
      <c r="Q134" s="33" t="str">
        <f aca="false">IF(AND(G134&lt;&gt;"",J134&lt;&gt;"",K134&lt;&gt;""),(K134-J134)*1440,"")</f>
        <v/>
      </c>
      <c r="R134" s="33" t="str">
        <f aca="false">IF(AND(G134&lt;&gt;"",K134&lt;&gt;"",L134&lt;&gt;""),(L134-K134)*1440,"")</f>
        <v/>
      </c>
      <c r="S134" s="33" t="str">
        <f aca="false">IF(AND(G134&lt;&gt;"",I134&lt;&gt;"",L134&lt;&gt;""),(L134-I134)*1440,"")</f>
        <v/>
      </c>
      <c r="T134" s="33" t="str">
        <f aca="false">IF(G134="","",IFERROR(INDEX(Settings!$B$5:$B$8,MATCH(G134,Settings!$A$5:$A$8,0)),""))</f>
        <v/>
      </c>
      <c r="U134" s="25" t="str">
        <f aca="false">IF(G134="","",IF(S134="","No",IF(S134&lt;=T134,"Yes","No")))</f>
        <v/>
      </c>
      <c r="V134" s="25" t="str">
        <f aca="false">IF(G134="","",IF(AND(J134="",K134="",L134=""),"Telemetry Blind Spot",IF(AND(K134="",L134=""),"Missed Alert",IF(L134="","Triage Delay",IF(S134&lt;=T134,"Detected - Within SLA",IF(AND(R134&lt;&gt;"",R134&gt;IFERROR(INDEX(Settings!$C$5:$C$8,MATCH(G134,Settings!$A$5:$A$8,0)),1E+099)),"Triage Delay","Detected - SLA Breach"))))))</f>
        <v/>
      </c>
      <c r="W134" s="25" t="str">
        <f aca="false">IF(G134="","",IF(L134&lt;&gt;"",1,0))</f>
        <v/>
      </c>
      <c r="X134" s="32"/>
      <c r="Y134" s="32"/>
      <c r="Z134" s="32"/>
      <c r="AA134" s="24"/>
      <c r="AB134" s="24"/>
      <c r="AC134" s="33" t="str">
        <f aca="false">IF(AND(G134&lt;&gt;"",L134&lt;&gt;"",X134&lt;&gt;""),(X134-L134)*1440,"")</f>
        <v/>
      </c>
      <c r="AD134" s="33" t="str">
        <f aca="false">IF(AND(G134&lt;&gt;"",X134&lt;&gt;"",Y134&lt;&gt;""),(Y134-X134)*1440,"")</f>
        <v/>
      </c>
      <c r="AE134" s="33" t="str">
        <f aca="false">IF(AND(G134&lt;&gt;"",Y134&lt;&gt;"",Z134&lt;&gt;""),(Z134-Y134)*1440,"")</f>
        <v/>
      </c>
      <c r="AF134" s="33" t="str">
        <f aca="false">IF(AND(G134&lt;&gt;"",L134&lt;&gt;"",Z134&lt;&gt;""),(Z134-L134)*1440,"")</f>
        <v/>
      </c>
      <c r="AG134" s="33" t="str">
        <f aca="false">IF(G134="","",IFERROR(INDEX(Settings!$D$5:$D$8,MATCH(G134,Settings!$A$5:$A$8,0)),""))</f>
        <v/>
      </c>
      <c r="AH134" s="25" t="str">
        <f aca="false">IF(G134="","",IF(AF134="","No",IF(AF134&lt;=AG134,"Yes","No")))</f>
        <v/>
      </c>
      <c r="AI134" s="25" t="str">
        <f aca="false">IF(G134="","",IF(L134="","N/A - Not Detected",IF(AND(X134="",Y134="",Z134=""),"No Containment Action",IF(Z134="",IF(Y134&lt;&gt;"","C2 Persisted","Host Isolation Gap"),IF(AF134&lt;=AG134,"Contained - Within SLA","Contained - SLA Breach")))))</f>
        <v/>
      </c>
      <c r="AJ134" s="25" t="str">
        <f aca="false">IF(G134="","",IF(Z134&lt;&gt;"",1,0))</f>
        <v/>
      </c>
      <c r="AK134" s="34"/>
      <c r="AL134" s="34"/>
      <c r="AM134" s="35"/>
      <c r="AN134" s="34"/>
      <c r="AO134" s="34"/>
      <c r="AP134" s="35"/>
      <c r="AQ134" s="34"/>
      <c r="AR134" s="34"/>
      <c r="AS134" s="34"/>
      <c r="AT134" s="35"/>
      <c r="AU134" s="35"/>
    </row>
    <row r="135" customFormat="false" ht="15" hidden="false" customHeight="false" outlineLevel="0" collapsed="false">
      <c r="A135" s="24"/>
      <c r="B135" s="24"/>
      <c r="C135" s="24"/>
      <c r="D135" s="24"/>
      <c r="E135" s="24"/>
      <c r="F135" s="24"/>
      <c r="G135" s="24"/>
      <c r="H135" s="24"/>
      <c r="I135" s="32"/>
      <c r="J135" s="32"/>
      <c r="K135" s="32"/>
      <c r="L135" s="32"/>
      <c r="M135" s="24"/>
      <c r="N135" s="24"/>
      <c r="O135" s="24"/>
      <c r="P135" s="33" t="str">
        <f aca="false">IF(AND(G135&lt;&gt;"",I135&lt;&gt;"",J135&lt;&gt;""),(J135-I135)*1440,"")</f>
        <v/>
      </c>
      <c r="Q135" s="33" t="str">
        <f aca="false">IF(AND(G135&lt;&gt;"",J135&lt;&gt;"",K135&lt;&gt;""),(K135-J135)*1440,"")</f>
        <v/>
      </c>
      <c r="R135" s="33" t="str">
        <f aca="false">IF(AND(G135&lt;&gt;"",K135&lt;&gt;"",L135&lt;&gt;""),(L135-K135)*1440,"")</f>
        <v/>
      </c>
      <c r="S135" s="33" t="str">
        <f aca="false">IF(AND(G135&lt;&gt;"",I135&lt;&gt;"",L135&lt;&gt;""),(L135-I135)*1440,"")</f>
        <v/>
      </c>
      <c r="T135" s="33" t="str">
        <f aca="false">IF(G135="","",IFERROR(INDEX(Settings!$B$5:$B$8,MATCH(G135,Settings!$A$5:$A$8,0)),""))</f>
        <v/>
      </c>
      <c r="U135" s="25" t="str">
        <f aca="false">IF(G135="","",IF(S135="","No",IF(S135&lt;=T135,"Yes","No")))</f>
        <v/>
      </c>
      <c r="V135" s="25" t="str">
        <f aca="false">IF(G135="","",IF(AND(J135="",K135="",L135=""),"Telemetry Blind Spot",IF(AND(K135="",L135=""),"Missed Alert",IF(L135="","Triage Delay",IF(S135&lt;=T135,"Detected - Within SLA",IF(AND(R135&lt;&gt;"",R135&gt;IFERROR(INDEX(Settings!$C$5:$C$8,MATCH(G135,Settings!$A$5:$A$8,0)),1E+099)),"Triage Delay","Detected - SLA Breach"))))))</f>
        <v/>
      </c>
      <c r="W135" s="25" t="str">
        <f aca="false">IF(G135="","",IF(L135&lt;&gt;"",1,0))</f>
        <v/>
      </c>
      <c r="X135" s="32"/>
      <c r="Y135" s="32"/>
      <c r="Z135" s="32"/>
      <c r="AA135" s="24"/>
      <c r="AB135" s="24"/>
      <c r="AC135" s="33" t="str">
        <f aca="false">IF(AND(G135&lt;&gt;"",L135&lt;&gt;"",X135&lt;&gt;""),(X135-L135)*1440,"")</f>
        <v/>
      </c>
      <c r="AD135" s="33" t="str">
        <f aca="false">IF(AND(G135&lt;&gt;"",X135&lt;&gt;"",Y135&lt;&gt;""),(Y135-X135)*1440,"")</f>
        <v/>
      </c>
      <c r="AE135" s="33" t="str">
        <f aca="false">IF(AND(G135&lt;&gt;"",Y135&lt;&gt;"",Z135&lt;&gt;""),(Z135-Y135)*1440,"")</f>
        <v/>
      </c>
      <c r="AF135" s="33" t="str">
        <f aca="false">IF(AND(G135&lt;&gt;"",L135&lt;&gt;"",Z135&lt;&gt;""),(Z135-L135)*1440,"")</f>
        <v/>
      </c>
      <c r="AG135" s="33" t="str">
        <f aca="false">IF(G135="","",IFERROR(INDEX(Settings!$D$5:$D$8,MATCH(G135,Settings!$A$5:$A$8,0)),""))</f>
        <v/>
      </c>
      <c r="AH135" s="25" t="str">
        <f aca="false">IF(G135="","",IF(AF135="","No",IF(AF135&lt;=AG135,"Yes","No")))</f>
        <v/>
      </c>
      <c r="AI135" s="25" t="str">
        <f aca="false">IF(G135="","",IF(L135="","N/A - Not Detected",IF(AND(X135="",Y135="",Z135=""),"No Containment Action",IF(Z135="",IF(Y135&lt;&gt;"","C2 Persisted","Host Isolation Gap"),IF(AF135&lt;=AG135,"Contained - Within SLA","Contained - SLA Breach")))))</f>
        <v/>
      </c>
      <c r="AJ135" s="25" t="str">
        <f aca="false">IF(G135="","",IF(Z135&lt;&gt;"",1,0))</f>
        <v/>
      </c>
      <c r="AK135" s="34"/>
      <c r="AL135" s="34"/>
      <c r="AM135" s="35"/>
      <c r="AN135" s="34"/>
      <c r="AO135" s="34"/>
      <c r="AP135" s="35"/>
      <c r="AQ135" s="34"/>
      <c r="AR135" s="34"/>
      <c r="AS135" s="34"/>
      <c r="AT135" s="35"/>
      <c r="AU135" s="35"/>
    </row>
    <row r="136" customFormat="false" ht="15" hidden="false" customHeight="false" outlineLevel="0" collapsed="false">
      <c r="A136" s="24"/>
      <c r="B136" s="24"/>
      <c r="C136" s="24"/>
      <c r="D136" s="24"/>
      <c r="E136" s="24"/>
      <c r="F136" s="24"/>
      <c r="G136" s="24"/>
      <c r="H136" s="24"/>
      <c r="I136" s="32"/>
      <c r="J136" s="32"/>
      <c r="K136" s="32"/>
      <c r="L136" s="32"/>
      <c r="M136" s="24"/>
      <c r="N136" s="24"/>
      <c r="O136" s="24"/>
      <c r="P136" s="33" t="str">
        <f aca="false">IF(AND(G136&lt;&gt;"",I136&lt;&gt;"",J136&lt;&gt;""),(J136-I136)*1440,"")</f>
        <v/>
      </c>
      <c r="Q136" s="33" t="str">
        <f aca="false">IF(AND(G136&lt;&gt;"",J136&lt;&gt;"",K136&lt;&gt;""),(K136-J136)*1440,"")</f>
        <v/>
      </c>
      <c r="R136" s="33" t="str">
        <f aca="false">IF(AND(G136&lt;&gt;"",K136&lt;&gt;"",L136&lt;&gt;""),(L136-K136)*1440,"")</f>
        <v/>
      </c>
      <c r="S136" s="33" t="str">
        <f aca="false">IF(AND(G136&lt;&gt;"",I136&lt;&gt;"",L136&lt;&gt;""),(L136-I136)*1440,"")</f>
        <v/>
      </c>
      <c r="T136" s="33" t="str">
        <f aca="false">IF(G136="","",IFERROR(INDEX(Settings!$B$5:$B$8,MATCH(G136,Settings!$A$5:$A$8,0)),""))</f>
        <v/>
      </c>
      <c r="U136" s="25" t="str">
        <f aca="false">IF(G136="","",IF(S136="","No",IF(S136&lt;=T136,"Yes","No")))</f>
        <v/>
      </c>
      <c r="V136" s="25" t="str">
        <f aca="false">IF(G136="","",IF(AND(J136="",K136="",L136=""),"Telemetry Blind Spot",IF(AND(K136="",L136=""),"Missed Alert",IF(L136="","Triage Delay",IF(S136&lt;=T136,"Detected - Within SLA",IF(AND(R136&lt;&gt;"",R136&gt;IFERROR(INDEX(Settings!$C$5:$C$8,MATCH(G136,Settings!$A$5:$A$8,0)),1E+099)),"Triage Delay","Detected - SLA Breach"))))))</f>
        <v/>
      </c>
      <c r="W136" s="25" t="str">
        <f aca="false">IF(G136="","",IF(L136&lt;&gt;"",1,0))</f>
        <v/>
      </c>
      <c r="X136" s="32"/>
      <c r="Y136" s="32"/>
      <c r="Z136" s="32"/>
      <c r="AA136" s="24"/>
      <c r="AB136" s="24"/>
      <c r="AC136" s="33" t="str">
        <f aca="false">IF(AND(G136&lt;&gt;"",L136&lt;&gt;"",X136&lt;&gt;""),(X136-L136)*1440,"")</f>
        <v/>
      </c>
      <c r="AD136" s="33" t="str">
        <f aca="false">IF(AND(G136&lt;&gt;"",X136&lt;&gt;"",Y136&lt;&gt;""),(Y136-X136)*1440,"")</f>
        <v/>
      </c>
      <c r="AE136" s="33" t="str">
        <f aca="false">IF(AND(G136&lt;&gt;"",Y136&lt;&gt;"",Z136&lt;&gt;""),(Z136-Y136)*1440,"")</f>
        <v/>
      </c>
      <c r="AF136" s="33" t="str">
        <f aca="false">IF(AND(G136&lt;&gt;"",L136&lt;&gt;"",Z136&lt;&gt;""),(Z136-L136)*1440,"")</f>
        <v/>
      </c>
      <c r="AG136" s="33" t="str">
        <f aca="false">IF(G136="","",IFERROR(INDEX(Settings!$D$5:$D$8,MATCH(G136,Settings!$A$5:$A$8,0)),""))</f>
        <v/>
      </c>
      <c r="AH136" s="25" t="str">
        <f aca="false">IF(G136="","",IF(AF136="","No",IF(AF136&lt;=AG136,"Yes","No")))</f>
        <v/>
      </c>
      <c r="AI136" s="25" t="str">
        <f aca="false">IF(G136="","",IF(L136="","N/A - Not Detected",IF(AND(X136="",Y136="",Z136=""),"No Containment Action",IF(Z136="",IF(Y136&lt;&gt;"","C2 Persisted","Host Isolation Gap"),IF(AF136&lt;=AG136,"Contained - Within SLA","Contained - SLA Breach")))))</f>
        <v/>
      </c>
      <c r="AJ136" s="25" t="str">
        <f aca="false">IF(G136="","",IF(Z136&lt;&gt;"",1,0))</f>
        <v/>
      </c>
      <c r="AK136" s="34"/>
      <c r="AL136" s="34"/>
      <c r="AM136" s="35"/>
      <c r="AN136" s="34"/>
      <c r="AO136" s="34"/>
      <c r="AP136" s="35"/>
      <c r="AQ136" s="34"/>
      <c r="AR136" s="34"/>
      <c r="AS136" s="34"/>
      <c r="AT136" s="35"/>
      <c r="AU136" s="35"/>
    </row>
    <row r="137" customFormat="false" ht="15" hidden="false" customHeight="false" outlineLevel="0" collapsed="false">
      <c r="A137" s="24"/>
      <c r="B137" s="24"/>
      <c r="C137" s="24"/>
      <c r="D137" s="24"/>
      <c r="E137" s="24"/>
      <c r="F137" s="24"/>
      <c r="G137" s="24"/>
      <c r="H137" s="24"/>
      <c r="I137" s="32"/>
      <c r="J137" s="32"/>
      <c r="K137" s="32"/>
      <c r="L137" s="32"/>
      <c r="M137" s="24"/>
      <c r="N137" s="24"/>
      <c r="O137" s="24"/>
      <c r="P137" s="33" t="str">
        <f aca="false">IF(AND(G137&lt;&gt;"",I137&lt;&gt;"",J137&lt;&gt;""),(J137-I137)*1440,"")</f>
        <v/>
      </c>
      <c r="Q137" s="33" t="str">
        <f aca="false">IF(AND(G137&lt;&gt;"",J137&lt;&gt;"",K137&lt;&gt;""),(K137-J137)*1440,"")</f>
        <v/>
      </c>
      <c r="R137" s="33" t="str">
        <f aca="false">IF(AND(G137&lt;&gt;"",K137&lt;&gt;"",L137&lt;&gt;""),(L137-K137)*1440,"")</f>
        <v/>
      </c>
      <c r="S137" s="33" t="str">
        <f aca="false">IF(AND(G137&lt;&gt;"",I137&lt;&gt;"",L137&lt;&gt;""),(L137-I137)*1440,"")</f>
        <v/>
      </c>
      <c r="T137" s="33" t="str">
        <f aca="false">IF(G137="","",IFERROR(INDEX(Settings!$B$5:$B$8,MATCH(G137,Settings!$A$5:$A$8,0)),""))</f>
        <v/>
      </c>
      <c r="U137" s="25" t="str">
        <f aca="false">IF(G137="","",IF(S137="","No",IF(S137&lt;=T137,"Yes","No")))</f>
        <v/>
      </c>
      <c r="V137" s="25" t="str">
        <f aca="false">IF(G137="","",IF(AND(J137="",K137="",L137=""),"Telemetry Blind Spot",IF(AND(K137="",L137=""),"Missed Alert",IF(L137="","Triage Delay",IF(S137&lt;=T137,"Detected - Within SLA",IF(AND(R137&lt;&gt;"",R137&gt;IFERROR(INDEX(Settings!$C$5:$C$8,MATCH(G137,Settings!$A$5:$A$8,0)),1E+099)),"Triage Delay","Detected - SLA Breach"))))))</f>
        <v/>
      </c>
      <c r="W137" s="25" t="str">
        <f aca="false">IF(G137="","",IF(L137&lt;&gt;"",1,0))</f>
        <v/>
      </c>
      <c r="X137" s="32"/>
      <c r="Y137" s="32"/>
      <c r="Z137" s="32"/>
      <c r="AA137" s="24"/>
      <c r="AB137" s="24"/>
      <c r="AC137" s="33" t="str">
        <f aca="false">IF(AND(G137&lt;&gt;"",L137&lt;&gt;"",X137&lt;&gt;""),(X137-L137)*1440,"")</f>
        <v/>
      </c>
      <c r="AD137" s="33" t="str">
        <f aca="false">IF(AND(G137&lt;&gt;"",X137&lt;&gt;"",Y137&lt;&gt;""),(Y137-X137)*1440,"")</f>
        <v/>
      </c>
      <c r="AE137" s="33" t="str">
        <f aca="false">IF(AND(G137&lt;&gt;"",Y137&lt;&gt;"",Z137&lt;&gt;""),(Z137-Y137)*1440,"")</f>
        <v/>
      </c>
      <c r="AF137" s="33" t="str">
        <f aca="false">IF(AND(G137&lt;&gt;"",L137&lt;&gt;"",Z137&lt;&gt;""),(Z137-L137)*1440,"")</f>
        <v/>
      </c>
      <c r="AG137" s="33" t="str">
        <f aca="false">IF(G137="","",IFERROR(INDEX(Settings!$D$5:$D$8,MATCH(G137,Settings!$A$5:$A$8,0)),""))</f>
        <v/>
      </c>
      <c r="AH137" s="25" t="str">
        <f aca="false">IF(G137="","",IF(AF137="","No",IF(AF137&lt;=AG137,"Yes","No")))</f>
        <v/>
      </c>
      <c r="AI137" s="25" t="str">
        <f aca="false">IF(G137="","",IF(L137="","N/A - Not Detected",IF(AND(X137="",Y137="",Z137=""),"No Containment Action",IF(Z137="",IF(Y137&lt;&gt;"","C2 Persisted","Host Isolation Gap"),IF(AF137&lt;=AG137,"Contained - Within SLA","Contained - SLA Breach")))))</f>
        <v/>
      </c>
      <c r="AJ137" s="25" t="str">
        <f aca="false">IF(G137="","",IF(Z137&lt;&gt;"",1,0))</f>
        <v/>
      </c>
      <c r="AK137" s="34"/>
      <c r="AL137" s="34"/>
      <c r="AM137" s="35"/>
      <c r="AN137" s="34"/>
      <c r="AO137" s="34"/>
      <c r="AP137" s="35"/>
      <c r="AQ137" s="34"/>
      <c r="AR137" s="34"/>
      <c r="AS137" s="34"/>
      <c r="AT137" s="35"/>
      <c r="AU137" s="35"/>
    </row>
    <row r="138" customFormat="false" ht="15" hidden="false" customHeight="false" outlineLevel="0" collapsed="false">
      <c r="A138" s="24"/>
      <c r="B138" s="24"/>
      <c r="C138" s="24"/>
      <c r="D138" s="24"/>
      <c r="E138" s="24"/>
      <c r="F138" s="24"/>
      <c r="G138" s="24"/>
      <c r="H138" s="24"/>
      <c r="I138" s="32"/>
      <c r="J138" s="32"/>
      <c r="K138" s="32"/>
      <c r="L138" s="32"/>
      <c r="M138" s="24"/>
      <c r="N138" s="24"/>
      <c r="O138" s="24"/>
      <c r="P138" s="33" t="str">
        <f aca="false">IF(AND(G138&lt;&gt;"",I138&lt;&gt;"",J138&lt;&gt;""),(J138-I138)*1440,"")</f>
        <v/>
      </c>
      <c r="Q138" s="33" t="str">
        <f aca="false">IF(AND(G138&lt;&gt;"",J138&lt;&gt;"",K138&lt;&gt;""),(K138-J138)*1440,"")</f>
        <v/>
      </c>
      <c r="R138" s="33" t="str">
        <f aca="false">IF(AND(G138&lt;&gt;"",K138&lt;&gt;"",L138&lt;&gt;""),(L138-K138)*1440,"")</f>
        <v/>
      </c>
      <c r="S138" s="33" t="str">
        <f aca="false">IF(AND(G138&lt;&gt;"",I138&lt;&gt;"",L138&lt;&gt;""),(L138-I138)*1440,"")</f>
        <v/>
      </c>
      <c r="T138" s="33" t="str">
        <f aca="false">IF(G138="","",IFERROR(INDEX(Settings!$B$5:$B$8,MATCH(G138,Settings!$A$5:$A$8,0)),""))</f>
        <v/>
      </c>
      <c r="U138" s="25" t="str">
        <f aca="false">IF(G138="","",IF(S138="","No",IF(S138&lt;=T138,"Yes","No")))</f>
        <v/>
      </c>
      <c r="V138" s="25" t="str">
        <f aca="false">IF(G138="","",IF(AND(J138="",K138="",L138=""),"Telemetry Blind Spot",IF(AND(K138="",L138=""),"Missed Alert",IF(L138="","Triage Delay",IF(S138&lt;=T138,"Detected - Within SLA",IF(AND(R138&lt;&gt;"",R138&gt;IFERROR(INDEX(Settings!$C$5:$C$8,MATCH(G138,Settings!$A$5:$A$8,0)),1E+099)),"Triage Delay","Detected - SLA Breach"))))))</f>
        <v/>
      </c>
      <c r="W138" s="25" t="str">
        <f aca="false">IF(G138="","",IF(L138&lt;&gt;"",1,0))</f>
        <v/>
      </c>
      <c r="X138" s="32"/>
      <c r="Y138" s="32"/>
      <c r="Z138" s="32"/>
      <c r="AA138" s="24"/>
      <c r="AB138" s="24"/>
      <c r="AC138" s="33" t="str">
        <f aca="false">IF(AND(G138&lt;&gt;"",L138&lt;&gt;"",X138&lt;&gt;""),(X138-L138)*1440,"")</f>
        <v/>
      </c>
      <c r="AD138" s="33" t="str">
        <f aca="false">IF(AND(G138&lt;&gt;"",X138&lt;&gt;"",Y138&lt;&gt;""),(Y138-X138)*1440,"")</f>
        <v/>
      </c>
      <c r="AE138" s="33" t="str">
        <f aca="false">IF(AND(G138&lt;&gt;"",Y138&lt;&gt;"",Z138&lt;&gt;""),(Z138-Y138)*1440,"")</f>
        <v/>
      </c>
      <c r="AF138" s="33" t="str">
        <f aca="false">IF(AND(G138&lt;&gt;"",L138&lt;&gt;"",Z138&lt;&gt;""),(Z138-L138)*1440,"")</f>
        <v/>
      </c>
      <c r="AG138" s="33" t="str">
        <f aca="false">IF(G138="","",IFERROR(INDEX(Settings!$D$5:$D$8,MATCH(G138,Settings!$A$5:$A$8,0)),""))</f>
        <v/>
      </c>
      <c r="AH138" s="25" t="str">
        <f aca="false">IF(G138="","",IF(AF138="","No",IF(AF138&lt;=AG138,"Yes","No")))</f>
        <v/>
      </c>
      <c r="AI138" s="25" t="str">
        <f aca="false">IF(G138="","",IF(L138="","N/A - Not Detected",IF(AND(X138="",Y138="",Z138=""),"No Containment Action",IF(Z138="",IF(Y138&lt;&gt;"","C2 Persisted","Host Isolation Gap"),IF(AF138&lt;=AG138,"Contained - Within SLA","Contained - SLA Breach")))))</f>
        <v/>
      </c>
      <c r="AJ138" s="25" t="str">
        <f aca="false">IF(G138="","",IF(Z138&lt;&gt;"",1,0))</f>
        <v/>
      </c>
      <c r="AK138" s="34"/>
      <c r="AL138" s="34"/>
      <c r="AM138" s="35"/>
      <c r="AN138" s="34"/>
      <c r="AO138" s="34"/>
      <c r="AP138" s="35"/>
      <c r="AQ138" s="34"/>
      <c r="AR138" s="34"/>
      <c r="AS138" s="34"/>
      <c r="AT138" s="35"/>
      <c r="AU138" s="35"/>
    </row>
    <row r="139" customFormat="false" ht="15" hidden="false" customHeight="false" outlineLevel="0" collapsed="false">
      <c r="A139" s="24"/>
      <c r="B139" s="24"/>
      <c r="C139" s="24"/>
      <c r="D139" s="24"/>
      <c r="E139" s="24"/>
      <c r="F139" s="24"/>
      <c r="G139" s="24"/>
      <c r="H139" s="24"/>
      <c r="I139" s="32"/>
      <c r="J139" s="32"/>
      <c r="K139" s="32"/>
      <c r="L139" s="32"/>
      <c r="M139" s="24"/>
      <c r="N139" s="24"/>
      <c r="O139" s="24"/>
      <c r="P139" s="33" t="str">
        <f aca="false">IF(AND(G139&lt;&gt;"",I139&lt;&gt;"",J139&lt;&gt;""),(J139-I139)*1440,"")</f>
        <v/>
      </c>
      <c r="Q139" s="33" t="str">
        <f aca="false">IF(AND(G139&lt;&gt;"",J139&lt;&gt;"",K139&lt;&gt;""),(K139-J139)*1440,"")</f>
        <v/>
      </c>
      <c r="R139" s="33" t="str">
        <f aca="false">IF(AND(G139&lt;&gt;"",K139&lt;&gt;"",L139&lt;&gt;""),(L139-K139)*1440,"")</f>
        <v/>
      </c>
      <c r="S139" s="33" t="str">
        <f aca="false">IF(AND(G139&lt;&gt;"",I139&lt;&gt;"",L139&lt;&gt;""),(L139-I139)*1440,"")</f>
        <v/>
      </c>
      <c r="T139" s="33" t="str">
        <f aca="false">IF(G139="","",IFERROR(INDEX(Settings!$B$5:$B$8,MATCH(G139,Settings!$A$5:$A$8,0)),""))</f>
        <v/>
      </c>
      <c r="U139" s="25" t="str">
        <f aca="false">IF(G139="","",IF(S139="","No",IF(S139&lt;=T139,"Yes","No")))</f>
        <v/>
      </c>
      <c r="V139" s="25" t="str">
        <f aca="false">IF(G139="","",IF(AND(J139="",K139="",L139=""),"Telemetry Blind Spot",IF(AND(K139="",L139=""),"Missed Alert",IF(L139="","Triage Delay",IF(S139&lt;=T139,"Detected - Within SLA",IF(AND(R139&lt;&gt;"",R139&gt;IFERROR(INDEX(Settings!$C$5:$C$8,MATCH(G139,Settings!$A$5:$A$8,0)),1E+099)),"Triage Delay","Detected - SLA Breach"))))))</f>
        <v/>
      </c>
      <c r="W139" s="25" t="str">
        <f aca="false">IF(G139="","",IF(L139&lt;&gt;"",1,0))</f>
        <v/>
      </c>
      <c r="X139" s="32"/>
      <c r="Y139" s="32"/>
      <c r="Z139" s="32"/>
      <c r="AA139" s="24"/>
      <c r="AB139" s="24"/>
      <c r="AC139" s="33" t="str">
        <f aca="false">IF(AND(G139&lt;&gt;"",L139&lt;&gt;"",X139&lt;&gt;""),(X139-L139)*1440,"")</f>
        <v/>
      </c>
      <c r="AD139" s="33" t="str">
        <f aca="false">IF(AND(G139&lt;&gt;"",X139&lt;&gt;"",Y139&lt;&gt;""),(Y139-X139)*1440,"")</f>
        <v/>
      </c>
      <c r="AE139" s="33" t="str">
        <f aca="false">IF(AND(G139&lt;&gt;"",Y139&lt;&gt;"",Z139&lt;&gt;""),(Z139-Y139)*1440,"")</f>
        <v/>
      </c>
      <c r="AF139" s="33" t="str">
        <f aca="false">IF(AND(G139&lt;&gt;"",L139&lt;&gt;"",Z139&lt;&gt;""),(Z139-L139)*1440,"")</f>
        <v/>
      </c>
      <c r="AG139" s="33" t="str">
        <f aca="false">IF(G139="","",IFERROR(INDEX(Settings!$D$5:$D$8,MATCH(G139,Settings!$A$5:$A$8,0)),""))</f>
        <v/>
      </c>
      <c r="AH139" s="25" t="str">
        <f aca="false">IF(G139="","",IF(AF139="","No",IF(AF139&lt;=AG139,"Yes","No")))</f>
        <v/>
      </c>
      <c r="AI139" s="25" t="str">
        <f aca="false">IF(G139="","",IF(L139="","N/A - Not Detected",IF(AND(X139="",Y139="",Z139=""),"No Containment Action",IF(Z139="",IF(Y139&lt;&gt;"","C2 Persisted","Host Isolation Gap"),IF(AF139&lt;=AG139,"Contained - Within SLA","Contained - SLA Breach")))))</f>
        <v/>
      </c>
      <c r="AJ139" s="25" t="str">
        <f aca="false">IF(G139="","",IF(Z139&lt;&gt;"",1,0))</f>
        <v/>
      </c>
      <c r="AK139" s="34"/>
      <c r="AL139" s="34"/>
      <c r="AM139" s="35"/>
      <c r="AN139" s="34"/>
      <c r="AO139" s="34"/>
      <c r="AP139" s="35"/>
      <c r="AQ139" s="34"/>
      <c r="AR139" s="34"/>
      <c r="AS139" s="34"/>
      <c r="AT139" s="35"/>
      <c r="AU139" s="35"/>
    </row>
    <row r="140" customFormat="false" ht="15" hidden="false" customHeight="false" outlineLevel="0" collapsed="false">
      <c r="A140" s="24"/>
      <c r="B140" s="24"/>
      <c r="C140" s="24"/>
      <c r="D140" s="24"/>
      <c r="E140" s="24"/>
      <c r="F140" s="24"/>
      <c r="G140" s="24"/>
      <c r="H140" s="24"/>
      <c r="I140" s="32"/>
      <c r="J140" s="32"/>
      <c r="K140" s="32"/>
      <c r="L140" s="32"/>
      <c r="M140" s="24"/>
      <c r="N140" s="24"/>
      <c r="O140" s="24"/>
      <c r="P140" s="33" t="str">
        <f aca="false">IF(AND(G140&lt;&gt;"",I140&lt;&gt;"",J140&lt;&gt;""),(J140-I140)*1440,"")</f>
        <v/>
      </c>
      <c r="Q140" s="33" t="str">
        <f aca="false">IF(AND(G140&lt;&gt;"",J140&lt;&gt;"",K140&lt;&gt;""),(K140-J140)*1440,"")</f>
        <v/>
      </c>
      <c r="R140" s="33" t="str">
        <f aca="false">IF(AND(G140&lt;&gt;"",K140&lt;&gt;"",L140&lt;&gt;""),(L140-K140)*1440,"")</f>
        <v/>
      </c>
      <c r="S140" s="33" t="str">
        <f aca="false">IF(AND(G140&lt;&gt;"",I140&lt;&gt;"",L140&lt;&gt;""),(L140-I140)*1440,"")</f>
        <v/>
      </c>
      <c r="T140" s="33" t="str">
        <f aca="false">IF(G140="","",IFERROR(INDEX(Settings!$B$5:$B$8,MATCH(G140,Settings!$A$5:$A$8,0)),""))</f>
        <v/>
      </c>
      <c r="U140" s="25" t="str">
        <f aca="false">IF(G140="","",IF(S140="","No",IF(S140&lt;=T140,"Yes","No")))</f>
        <v/>
      </c>
      <c r="V140" s="25" t="str">
        <f aca="false">IF(G140="","",IF(AND(J140="",K140="",L140=""),"Telemetry Blind Spot",IF(AND(K140="",L140=""),"Missed Alert",IF(L140="","Triage Delay",IF(S140&lt;=T140,"Detected - Within SLA",IF(AND(R140&lt;&gt;"",R140&gt;IFERROR(INDEX(Settings!$C$5:$C$8,MATCH(G140,Settings!$A$5:$A$8,0)),1E+099)),"Triage Delay","Detected - SLA Breach"))))))</f>
        <v/>
      </c>
      <c r="W140" s="25" t="str">
        <f aca="false">IF(G140="","",IF(L140&lt;&gt;"",1,0))</f>
        <v/>
      </c>
      <c r="X140" s="32"/>
      <c r="Y140" s="32"/>
      <c r="Z140" s="32"/>
      <c r="AA140" s="24"/>
      <c r="AB140" s="24"/>
      <c r="AC140" s="33" t="str">
        <f aca="false">IF(AND(G140&lt;&gt;"",L140&lt;&gt;"",X140&lt;&gt;""),(X140-L140)*1440,"")</f>
        <v/>
      </c>
      <c r="AD140" s="33" t="str">
        <f aca="false">IF(AND(G140&lt;&gt;"",X140&lt;&gt;"",Y140&lt;&gt;""),(Y140-X140)*1440,"")</f>
        <v/>
      </c>
      <c r="AE140" s="33" t="str">
        <f aca="false">IF(AND(G140&lt;&gt;"",Y140&lt;&gt;"",Z140&lt;&gt;""),(Z140-Y140)*1440,"")</f>
        <v/>
      </c>
      <c r="AF140" s="33" t="str">
        <f aca="false">IF(AND(G140&lt;&gt;"",L140&lt;&gt;"",Z140&lt;&gt;""),(Z140-L140)*1440,"")</f>
        <v/>
      </c>
      <c r="AG140" s="33" t="str">
        <f aca="false">IF(G140="","",IFERROR(INDEX(Settings!$D$5:$D$8,MATCH(G140,Settings!$A$5:$A$8,0)),""))</f>
        <v/>
      </c>
      <c r="AH140" s="25" t="str">
        <f aca="false">IF(G140="","",IF(AF140="","No",IF(AF140&lt;=AG140,"Yes","No")))</f>
        <v/>
      </c>
      <c r="AI140" s="25" t="str">
        <f aca="false">IF(G140="","",IF(L140="","N/A - Not Detected",IF(AND(X140="",Y140="",Z140=""),"No Containment Action",IF(Z140="",IF(Y140&lt;&gt;"","C2 Persisted","Host Isolation Gap"),IF(AF140&lt;=AG140,"Contained - Within SLA","Contained - SLA Breach")))))</f>
        <v/>
      </c>
      <c r="AJ140" s="25" t="str">
        <f aca="false">IF(G140="","",IF(Z140&lt;&gt;"",1,0))</f>
        <v/>
      </c>
      <c r="AK140" s="34"/>
      <c r="AL140" s="34"/>
      <c r="AM140" s="35"/>
      <c r="AN140" s="34"/>
      <c r="AO140" s="34"/>
      <c r="AP140" s="35"/>
      <c r="AQ140" s="34"/>
      <c r="AR140" s="34"/>
      <c r="AS140" s="34"/>
      <c r="AT140" s="35"/>
      <c r="AU140" s="35"/>
    </row>
    <row r="141" customFormat="false" ht="15" hidden="false" customHeight="false" outlineLevel="0" collapsed="false">
      <c r="A141" s="24"/>
      <c r="B141" s="24"/>
      <c r="C141" s="24"/>
      <c r="D141" s="24"/>
      <c r="E141" s="24"/>
      <c r="F141" s="24"/>
      <c r="G141" s="24"/>
      <c r="H141" s="24"/>
      <c r="I141" s="32"/>
      <c r="J141" s="32"/>
      <c r="K141" s="32"/>
      <c r="L141" s="32"/>
      <c r="M141" s="24"/>
      <c r="N141" s="24"/>
      <c r="O141" s="24"/>
      <c r="P141" s="33" t="str">
        <f aca="false">IF(AND(G141&lt;&gt;"",I141&lt;&gt;"",J141&lt;&gt;""),(J141-I141)*1440,"")</f>
        <v/>
      </c>
      <c r="Q141" s="33" t="str">
        <f aca="false">IF(AND(G141&lt;&gt;"",J141&lt;&gt;"",K141&lt;&gt;""),(K141-J141)*1440,"")</f>
        <v/>
      </c>
      <c r="R141" s="33" t="str">
        <f aca="false">IF(AND(G141&lt;&gt;"",K141&lt;&gt;"",L141&lt;&gt;""),(L141-K141)*1440,"")</f>
        <v/>
      </c>
      <c r="S141" s="33" t="str">
        <f aca="false">IF(AND(G141&lt;&gt;"",I141&lt;&gt;"",L141&lt;&gt;""),(L141-I141)*1440,"")</f>
        <v/>
      </c>
      <c r="T141" s="33" t="str">
        <f aca="false">IF(G141="","",IFERROR(INDEX(Settings!$B$5:$B$8,MATCH(G141,Settings!$A$5:$A$8,0)),""))</f>
        <v/>
      </c>
      <c r="U141" s="25" t="str">
        <f aca="false">IF(G141="","",IF(S141="","No",IF(S141&lt;=T141,"Yes","No")))</f>
        <v/>
      </c>
      <c r="V141" s="25" t="str">
        <f aca="false">IF(G141="","",IF(AND(J141="",K141="",L141=""),"Telemetry Blind Spot",IF(AND(K141="",L141=""),"Missed Alert",IF(L141="","Triage Delay",IF(S141&lt;=T141,"Detected - Within SLA",IF(AND(R141&lt;&gt;"",R141&gt;IFERROR(INDEX(Settings!$C$5:$C$8,MATCH(G141,Settings!$A$5:$A$8,0)),1E+099)),"Triage Delay","Detected - SLA Breach"))))))</f>
        <v/>
      </c>
      <c r="W141" s="25" t="str">
        <f aca="false">IF(G141="","",IF(L141&lt;&gt;"",1,0))</f>
        <v/>
      </c>
      <c r="X141" s="32"/>
      <c r="Y141" s="32"/>
      <c r="Z141" s="32"/>
      <c r="AA141" s="24"/>
      <c r="AB141" s="24"/>
      <c r="AC141" s="33" t="str">
        <f aca="false">IF(AND(G141&lt;&gt;"",L141&lt;&gt;"",X141&lt;&gt;""),(X141-L141)*1440,"")</f>
        <v/>
      </c>
      <c r="AD141" s="33" t="str">
        <f aca="false">IF(AND(G141&lt;&gt;"",X141&lt;&gt;"",Y141&lt;&gt;""),(Y141-X141)*1440,"")</f>
        <v/>
      </c>
      <c r="AE141" s="33" t="str">
        <f aca="false">IF(AND(G141&lt;&gt;"",Y141&lt;&gt;"",Z141&lt;&gt;""),(Z141-Y141)*1440,"")</f>
        <v/>
      </c>
      <c r="AF141" s="33" t="str">
        <f aca="false">IF(AND(G141&lt;&gt;"",L141&lt;&gt;"",Z141&lt;&gt;""),(Z141-L141)*1440,"")</f>
        <v/>
      </c>
      <c r="AG141" s="33" t="str">
        <f aca="false">IF(G141="","",IFERROR(INDEX(Settings!$D$5:$D$8,MATCH(G141,Settings!$A$5:$A$8,0)),""))</f>
        <v/>
      </c>
      <c r="AH141" s="25" t="str">
        <f aca="false">IF(G141="","",IF(AF141="","No",IF(AF141&lt;=AG141,"Yes","No")))</f>
        <v/>
      </c>
      <c r="AI141" s="25" t="str">
        <f aca="false">IF(G141="","",IF(L141="","N/A - Not Detected",IF(AND(X141="",Y141="",Z141=""),"No Containment Action",IF(Z141="",IF(Y141&lt;&gt;"","C2 Persisted","Host Isolation Gap"),IF(AF141&lt;=AG141,"Contained - Within SLA","Contained - SLA Breach")))))</f>
        <v/>
      </c>
      <c r="AJ141" s="25" t="str">
        <f aca="false">IF(G141="","",IF(Z141&lt;&gt;"",1,0))</f>
        <v/>
      </c>
      <c r="AK141" s="34"/>
      <c r="AL141" s="34"/>
      <c r="AM141" s="35"/>
      <c r="AN141" s="34"/>
      <c r="AO141" s="34"/>
      <c r="AP141" s="35"/>
      <c r="AQ141" s="34"/>
      <c r="AR141" s="34"/>
      <c r="AS141" s="34"/>
      <c r="AT141" s="35"/>
      <c r="AU141" s="35"/>
    </row>
    <row r="142" customFormat="false" ht="15" hidden="false" customHeight="false" outlineLevel="0" collapsed="false">
      <c r="A142" s="24"/>
      <c r="B142" s="24"/>
      <c r="C142" s="24"/>
      <c r="D142" s="24"/>
      <c r="E142" s="24"/>
      <c r="F142" s="24"/>
      <c r="G142" s="24"/>
      <c r="H142" s="24"/>
      <c r="I142" s="32"/>
      <c r="J142" s="32"/>
      <c r="K142" s="32"/>
      <c r="L142" s="32"/>
      <c r="M142" s="24"/>
      <c r="N142" s="24"/>
      <c r="O142" s="24"/>
      <c r="P142" s="33" t="str">
        <f aca="false">IF(AND(G142&lt;&gt;"",I142&lt;&gt;"",J142&lt;&gt;""),(J142-I142)*1440,"")</f>
        <v/>
      </c>
      <c r="Q142" s="33" t="str">
        <f aca="false">IF(AND(G142&lt;&gt;"",J142&lt;&gt;"",K142&lt;&gt;""),(K142-J142)*1440,"")</f>
        <v/>
      </c>
      <c r="R142" s="33" t="str">
        <f aca="false">IF(AND(G142&lt;&gt;"",K142&lt;&gt;"",L142&lt;&gt;""),(L142-K142)*1440,"")</f>
        <v/>
      </c>
      <c r="S142" s="33" t="str">
        <f aca="false">IF(AND(G142&lt;&gt;"",I142&lt;&gt;"",L142&lt;&gt;""),(L142-I142)*1440,"")</f>
        <v/>
      </c>
      <c r="T142" s="33" t="str">
        <f aca="false">IF(G142="","",IFERROR(INDEX(Settings!$B$5:$B$8,MATCH(G142,Settings!$A$5:$A$8,0)),""))</f>
        <v/>
      </c>
      <c r="U142" s="25" t="str">
        <f aca="false">IF(G142="","",IF(S142="","No",IF(S142&lt;=T142,"Yes","No")))</f>
        <v/>
      </c>
      <c r="V142" s="25" t="str">
        <f aca="false">IF(G142="","",IF(AND(J142="",K142="",L142=""),"Telemetry Blind Spot",IF(AND(K142="",L142=""),"Missed Alert",IF(L142="","Triage Delay",IF(S142&lt;=T142,"Detected - Within SLA",IF(AND(R142&lt;&gt;"",R142&gt;IFERROR(INDEX(Settings!$C$5:$C$8,MATCH(G142,Settings!$A$5:$A$8,0)),1E+099)),"Triage Delay","Detected - SLA Breach"))))))</f>
        <v/>
      </c>
      <c r="W142" s="25" t="str">
        <f aca="false">IF(G142="","",IF(L142&lt;&gt;"",1,0))</f>
        <v/>
      </c>
      <c r="X142" s="32"/>
      <c r="Y142" s="32"/>
      <c r="Z142" s="32"/>
      <c r="AA142" s="24"/>
      <c r="AB142" s="24"/>
      <c r="AC142" s="33" t="str">
        <f aca="false">IF(AND(G142&lt;&gt;"",L142&lt;&gt;"",X142&lt;&gt;""),(X142-L142)*1440,"")</f>
        <v/>
      </c>
      <c r="AD142" s="33" t="str">
        <f aca="false">IF(AND(G142&lt;&gt;"",X142&lt;&gt;"",Y142&lt;&gt;""),(Y142-X142)*1440,"")</f>
        <v/>
      </c>
      <c r="AE142" s="33" t="str">
        <f aca="false">IF(AND(G142&lt;&gt;"",Y142&lt;&gt;"",Z142&lt;&gt;""),(Z142-Y142)*1440,"")</f>
        <v/>
      </c>
      <c r="AF142" s="33" t="str">
        <f aca="false">IF(AND(G142&lt;&gt;"",L142&lt;&gt;"",Z142&lt;&gt;""),(Z142-L142)*1440,"")</f>
        <v/>
      </c>
      <c r="AG142" s="33" t="str">
        <f aca="false">IF(G142="","",IFERROR(INDEX(Settings!$D$5:$D$8,MATCH(G142,Settings!$A$5:$A$8,0)),""))</f>
        <v/>
      </c>
      <c r="AH142" s="25" t="str">
        <f aca="false">IF(G142="","",IF(AF142="","No",IF(AF142&lt;=AG142,"Yes","No")))</f>
        <v/>
      </c>
      <c r="AI142" s="25" t="str">
        <f aca="false">IF(G142="","",IF(L142="","N/A - Not Detected",IF(AND(X142="",Y142="",Z142=""),"No Containment Action",IF(Z142="",IF(Y142&lt;&gt;"","C2 Persisted","Host Isolation Gap"),IF(AF142&lt;=AG142,"Contained - Within SLA","Contained - SLA Breach")))))</f>
        <v/>
      </c>
      <c r="AJ142" s="25" t="str">
        <f aca="false">IF(G142="","",IF(Z142&lt;&gt;"",1,0))</f>
        <v/>
      </c>
      <c r="AK142" s="34"/>
      <c r="AL142" s="34"/>
      <c r="AM142" s="35"/>
      <c r="AN142" s="34"/>
      <c r="AO142" s="34"/>
      <c r="AP142" s="35"/>
      <c r="AQ142" s="34"/>
      <c r="AR142" s="34"/>
      <c r="AS142" s="34"/>
      <c r="AT142" s="35"/>
      <c r="AU142" s="35"/>
    </row>
    <row r="143" customFormat="false" ht="15" hidden="false" customHeight="false" outlineLevel="0" collapsed="false">
      <c r="A143" s="24"/>
      <c r="B143" s="24"/>
      <c r="C143" s="24"/>
      <c r="D143" s="24"/>
      <c r="E143" s="24"/>
      <c r="F143" s="24"/>
      <c r="G143" s="24"/>
      <c r="H143" s="24"/>
      <c r="I143" s="32"/>
      <c r="J143" s="32"/>
      <c r="K143" s="32"/>
      <c r="L143" s="32"/>
      <c r="M143" s="24"/>
      <c r="N143" s="24"/>
      <c r="O143" s="24"/>
      <c r="P143" s="33" t="str">
        <f aca="false">IF(AND(G143&lt;&gt;"",I143&lt;&gt;"",J143&lt;&gt;""),(J143-I143)*1440,"")</f>
        <v/>
      </c>
      <c r="Q143" s="33" t="str">
        <f aca="false">IF(AND(G143&lt;&gt;"",J143&lt;&gt;"",K143&lt;&gt;""),(K143-J143)*1440,"")</f>
        <v/>
      </c>
      <c r="R143" s="33" t="str">
        <f aca="false">IF(AND(G143&lt;&gt;"",K143&lt;&gt;"",L143&lt;&gt;""),(L143-K143)*1440,"")</f>
        <v/>
      </c>
      <c r="S143" s="33" t="str">
        <f aca="false">IF(AND(G143&lt;&gt;"",I143&lt;&gt;"",L143&lt;&gt;""),(L143-I143)*1440,"")</f>
        <v/>
      </c>
      <c r="T143" s="33" t="str">
        <f aca="false">IF(G143="","",IFERROR(INDEX(Settings!$B$5:$B$8,MATCH(G143,Settings!$A$5:$A$8,0)),""))</f>
        <v/>
      </c>
      <c r="U143" s="25" t="str">
        <f aca="false">IF(G143="","",IF(S143="","No",IF(S143&lt;=T143,"Yes","No")))</f>
        <v/>
      </c>
      <c r="V143" s="25" t="str">
        <f aca="false">IF(G143="","",IF(AND(J143="",K143="",L143=""),"Telemetry Blind Spot",IF(AND(K143="",L143=""),"Missed Alert",IF(L143="","Triage Delay",IF(S143&lt;=T143,"Detected - Within SLA",IF(AND(R143&lt;&gt;"",R143&gt;IFERROR(INDEX(Settings!$C$5:$C$8,MATCH(G143,Settings!$A$5:$A$8,0)),1E+099)),"Triage Delay","Detected - SLA Breach"))))))</f>
        <v/>
      </c>
      <c r="W143" s="25" t="str">
        <f aca="false">IF(G143="","",IF(L143&lt;&gt;"",1,0))</f>
        <v/>
      </c>
      <c r="X143" s="32"/>
      <c r="Y143" s="32"/>
      <c r="Z143" s="32"/>
      <c r="AA143" s="24"/>
      <c r="AB143" s="24"/>
      <c r="AC143" s="33" t="str">
        <f aca="false">IF(AND(G143&lt;&gt;"",L143&lt;&gt;"",X143&lt;&gt;""),(X143-L143)*1440,"")</f>
        <v/>
      </c>
      <c r="AD143" s="33" t="str">
        <f aca="false">IF(AND(G143&lt;&gt;"",X143&lt;&gt;"",Y143&lt;&gt;""),(Y143-X143)*1440,"")</f>
        <v/>
      </c>
      <c r="AE143" s="33" t="str">
        <f aca="false">IF(AND(G143&lt;&gt;"",Y143&lt;&gt;"",Z143&lt;&gt;""),(Z143-Y143)*1440,"")</f>
        <v/>
      </c>
      <c r="AF143" s="33" t="str">
        <f aca="false">IF(AND(G143&lt;&gt;"",L143&lt;&gt;"",Z143&lt;&gt;""),(Z143-L143)*1440,"")</f>
        <v/>
      </c>
      <c r="AG143" s="33" t="str">
        <f aca="false">IF(G143="","",IFERROR(INDEX(Settings!$D$5:$D$8,MATCH(G143,Settings!$A$5:$A$8,0)),""))</f>
        <v/>
      </c>
      <c r="AH143" s="25" t="str">
        <f aca="false">IF(G143="","",IF(AF143="","No",IF(AF143&lt;=AG143,"Yes","No")))</f>
        <v/>
      </c>
      <c r="AI143" s="25" t="str">
        <f aca="false">IF(G143="","",IF(L143="","N/A - Not Detected",IF(AND(X143="",Y143="",Z143=""),"No Containment Action",IF(Z143="",IF(Y143&lt;&gt;"","C2 Persisted","Host Isolation Gap"),IF(AF143&lt;=AG143,"Contained - Within SLA","Contained - SLA Breach")))))</f>
        <v/>
      </c>
      <c r="AJ143" s="25" t="str">
        <f aca="false">IF(G143="","",IF(Z143&lt;&gt;"",1,0))</f>
        <v/>
      </c>
      <c r="AK143" s="34"/>
      <c r="AL143" s="34"/>
      <c r="AM143" s="35"/>
      <c r="AN143" s="34"/>
      <c r="AO143" s="34"/>
      <c r="AP143" s="35"/>
      <c r="AQ143" s="34"/>
      <c r="AR143" s="34"/>
      <c r="AS143" s="34"/>
      <c r="AT143" s="35"/>
      <c r="AU143" s="35"/>
    </row>
    <row r="144" customFormat="false" ht="15" hidden="false" customHeight="false" outlineLevel="0" collapsed="false">
      <c r="A144" s="24"/>
      <c r="B144" s="24"/>
      <c r="C144" s="24"/>
      <c r="D144" s="24"/>
      <c r="E144" s="24"/>
      <c r="F144" s="24"/>
      <c r="G144" s="24"/>
      <c r="H144" s="24"/>
      <c r="I144" s="32"/>
      <c r="J144" s="32"/>
      <c r="K144" s="32"/>
      <c r="L144" s="32"/>
      <c r="M144" s="24"/>
      <c r="N144" s="24"/>
      <c r="O144" s="24"/>
      <c r="P144" s="33" t="str">
        <f aca="false">IF(AND(G144&lt;&gt;"",I144&lt;&gt;"",J144&lt;&gt;""),(J144-I144)*1440,"")</f>
        <v/>
      </c>
      <c r="Q144" s="33" t="str">
        <f aca="false">IF(AND(G144&lt;&gt;"",J144&lt;&gt;"",K144&lt;&gt;""),(K144-J144)*1440,"")</f>
        <v/>
      </c>
      <c r="R144" s="33" t="str">
        <f aca="false">IF(AND(G144&lt;&gt;"",K144&lt;&gt;"",L144&lt;&gt;""),(L144-K144)*1440,"")</f>
        <v/>
      </c>
      <c r="S144" s="33" t="str">
        <f aca="false">IF(AND(G144&lt;&gt;"",I144&lt;&gt;"",L144&lt;&gt;""),(L144-I144)*1440,"")</f>
        <v/>
      </c>
      <c r="T144" s="33" t="str">
        <f aca="false">IF(G144="","",IFERROR(INDEX(Settings!$B$5:$B$8,MATCH(G144,Settings!$A$5:$A$8,0)),""))</f>
        <v/>
      </c>
      <c r="U144" s="25" t="str">
        <f aca="false">IF(G144="","",IF(S144="","No",IF(S144&lt;=T144,"Yes","No")))</f>
        <v/>
      </c>
      <c r="V144" s="25" t="str">
        <f aca="false">IF(G144="","",IF(AND(J144="",K144="",L144=""),"Telemetry Blind Spot",IF(AND(K144="",L144=""),"Missed Alert",IF(L144="","Triage Delay",IF(S144&lt;=T144,"Detected - Within SLA",IF(AND(R144&lt;&gt;"",R144&gt;IFERROR(INDEX(Settings!$C$5:$C$8,MATCH(G144,Settings!$A$5:$A$8,0)),1E+099)),"Triage Delay","Detected - SLA Breach"))))))</f>
        <v/>
      </c>
      <c r="W144" s="25" t="str">
        <f aca="false">IF(G144="","",IF(L144&lt;&gt;"",1,0))</f>
        <v/>
      </c>
      <c r="X144" s="32"/>
      <c r="Y144" s="32"/>
      <c r="Z144" s="32"/>
      <c r="AA144" s="24"/>
      <c r="AB144" s="24"/>
      <c r="AC144" s="33" t="str">
        <f aca="false">IF(AND(G144&lt;&gt;"",L144&lt;&gt;"",X144&lt;&gt;""),(X144-L144)*1440,"")</f>
        <v/>
      </c>
      <c r="AD144" s="33" t="str">
        <f aca="false">IF(AND(G144&lt;&gt;"",X144&lt;&gt;"",Y144&lt;&gt;""),(Y144-X144)*1440,"")</f>
        <v/>
      </c>
      <c r="AE144" s="33" t="str">
        <f aca="false">IF(AND(G144&lt;&gt;"",Y144&lt;&gt;"",Z144&lt;&gt;""),(Z144-Y144)*1440,"")</f>
        <v/>
      </c>
      <c r="AF144" s="33" t="str">
        <f aca="false">IF(AND(G144&lt;&gt;"",L144&lt;&gt;"",Z144&lt;&gt;""),(Z144-L144)*1440,"")</f>
        <v/>
      </c>
      <c r="AG144" s="33" t="str">
        <f aca="false">IF(G144="","",IFERROR(INDEX(Settings!$D$5:$D$8,MATCH(G144,Settings!$A$5:$A$8,0)),""))</f>
        <v/>
      </c>
      <c r="AH144" s="25" t="str">
        <f aca="false">IF(G144="","",IF(AF144="","No",IF(AF144&lt;=AG144,"Yes","No")))</f>
        <v/>
      </c>
      <c r="AI144" s="25" t="str">
        <f aca="false">IF(G144="","",IF(L144="","N/A - Not Detected",IF(AND(X144="",Y144="",Z144=""),"No Containment Action",IF(Z144="",IF(Y144&lt;&gt;"","C2 Persisted","Host Isolation Gap"),IF(AF144&lt;=AG144,"Contained - Within SLA","Contained - SLA Breach")))))</f>
        <v/>
      </c>
      <c r="AJ144" s="25" t="str">
        <f aca="false">IF(G144="","",IF(Z144&lt;&gt;"",1,0))</f>
        <v/>
      </c>
      <c r="AK144" s="34"/>
      <c r="AL144" s="34"/>
      <c r="AM144" s="35"/>
      <c r="AN144" s="34"/>
      <c r="AO144" s="34"/>
      <c r="AP144" s="35"/>
      <c r="AQ144" s="34"/>
      <c r="AR144" s="34"/>
      <c r="AS144" s="34"/>
      <c r="AT144" s="35"/>
      <c r="AU144" s="35"/>
    </row>
    <row r="145" customFormat="false" ht="15" hidden="false" customHeight="false" outlineLevel="0" collapsed="false">
      <c r="A145" s="24"/>
      <c r="B145" s="24"/>
      <c r="C145" s="24"/>
      <c r="D145" s="24"/>
      <c r="E145" s="24"/>
      <c r="F145" s="24"/>
      <c r="G145" s="24"/>
      <c r="H145" s="24"/>
      <c r="I145" s="32"/>
      <c r="J145" s="32"/>
      <c r="K145" s="32"/>
      <c r="L145" s="32"/>
      <c r="M145" s="24"/>
      <c r="N145" s="24"/>
      <c r="O145" s="24"/>
      <c r="P145" s="33" t="str">
        <f aca="false">IF(AND(G145&lt;&gt;"",I145&lt;&gt;"",J145&lt;&gt;""),(J145-I145)*1440,"")</f>
        <v/>
      </c>
      <c r="Q145" s="33" t="str">
        <f aca="false">IF(AND(G145&lt;&gt;"",J145&lt;&gt;"",K145&lt;&gt;""),(K145-J145)*1440,"")</f>
        <v/>
      </c>
      <c r="R145" s="33" t="str">
        <f aca="false">IF(AND(G145&lt;&gt;"",K145&lt;&gt;"",L145&lt;&gt;""),(L145-K145)*1440,"")</f>
        <v/>
      </c>
      <c r="S145" s="33" t="str">
        <f aca="false">IF(AND(G145&lt;&gt;"",I145&lt;&gt;"",L145&lt;&gt;""),(L145-I145)*1440,"")</f>
        <v/>
      </c>
      <c r="T145" s="33" t="str">
        <f aca="false">IF(G145="","",IFERROR(INDEX(Settings!$B$5:$B$8,MATCH(G145,Settings!$A$5:$A$8,0)),""))</f>
        <v/>
      </c>
      <c r="U145" s="25" t="str">
        <f aca="false">IF(G145="","",IF(S145="","No",IF(S145&lt;=T145,"Yes","No")))</f>
        <v/>
      </c>
      <c r="V145" s="25" t="str">
        <f aca="false">IF(G145="","",IF(AND(J145="",K145="",L145=""),"Telemetry Blind Spot",IF(AND(K145="",L145=""),"Missed Alert",IF(L145="","Triage Delay",IF(S145&lt;=T145,"Detected - Within SLA",IF(AND(R145&lt;&gt;"",R145&gt;IFERROR(INDEX(Settings!$C$5:$C$8,MATCH(G145,Settings!$A$5:$A$8,0)),1E+099)),"Triage Delay","Detected - SLA Breach"))))))</f>
        <v/>
      </c>
      <c r="W145" s="25" t="str">
        <f aca="false">IF(G145="","",IF(L145&lt;&gt;"",1,0))</f>
        <v/>
      </c>
      <c r="X145" s="32"/>
      <c r="Y145" s="32"/>
      <c r="Z145" s="32"/>
      <c r="AA145" s="24"/>
      <c r="AB145" s="24"/>
      <c r="AC145" s="33" t="str">
        <f aca="false">IF(AND(G145&lt;&gt;"",L145&lt;&gt;"",X145&lt;&gt;""),(X145-L145)*1440,"")</f>
        <v/>
      </c>
      <c r="AD145" s="33" t="str">
        <f aca="false">IF(AND(G145&lt;&gt;"",X145&lt;&gt;"",Y145&lt;&gt;""),(Y145-X145)*1440,"")</f>
        <v/>
      </c>
      <c r="AE145" s="33" t="str">
        <f aca="false">IF(AND(G145&lt;&gt;"",Y145&lt;&gt;"",Z145&lt;&gt;""),(Z145-Y145)*1440,"")</f>
        <v/>
      </c>
      <c r="AF145" s="33" t="str">
        <f aca="false">IF(AND(G145&lt;&gt;"",L145&lt;&gt;"",Z145&lt;&gt;""),(Z145-L145)*1440,"")</f>
        <v/>
      </c>
      <c r="AG145" s="33" t="str">
        <f aca="false">IF(G145="","",IFERROR(INDEX(Settings!$D$5:$D$8,MATCH(G145,Settings!$A$5:$A$8,0)),""))</f>
        <v/>
      </c>
      <c r="AH145" s="25" t="str">
        <f aca="false">IF(G145="","",IF(AF145="","No",IF(AF145&lt;=AG145,"Yes","No")))</f>
        <v/>
      </c>
      <c r="AI145" s="25" t="str">
        <f aca="false">IF(G145="","",IF(L145="","N/A - Not Detected",IF(AND(X145="",Y145="",Z145=""),"No Containment Action",IF(Z145="",IF(Y145&lt;&gt;"","C2 Persisted","Host Isolation Gap"),IF(AF145&lt;=AG145,"Contained - Within SLA","Contained - SLA Breach")))))</f>
        <v/>
      </c>
      <c r="AJ145" s="25" t="str">
        <f aca="false">IF(G145="","",IF(Z145&lt;&gt;"",1,0))</f>
        <v/>
      </c>
      <c r="AK145" s="34"/>
      <c r="AL145" s="34"/>
      <c r="AM145" s="35"/>
      <c r="AN145" s="34"/>
      <c r="AO145" s="34"/>
      <c r="AP145" s="35"/>
      <c r="AQ145" s="34"/>
      <c r="AR145" s="34"/>
      <c r="AS145" s="34"/>
      <c r="AT145" s="35"/>
      <c r="AU145" s="35"/>
    </row>
    <row r="146" customFormat="false" ht="15" hidden="false" customHeight="false" outlineLevel="0" collapsed="false">
      <c r="A146" s="24"/>
      <c r="B146" s="24"/>
      <c r="C146" s="24"/>
      <c r="D146" s="24"/>
      <c r="E146" s="24"/>
      <c r="F146" s="24"/>
      <c r="G146" s="24"/>
      <c r="H146" s="24"/>
      <c r="I146" s="32"/>
      <c r="J146" s="32"/>
      <c r="K146" s="32"/>
      <c r="L146" s="32"/>
      <c r="M146" s="24"/>
      <c r="N146" s="24"/>
      <c r="O146" s="24"/>
      <c r="P146" s="33" t="str">
        <f aca="false">IF(AND(G146&lt;&gt;"",I146&lt;&gt;"",J146&lt;&gt;""),(J146-I146)*1440,"")</f>
        <v/>
      </c>
      <c r="Q146" s="33" t="str">
        <f aca="false">IF(AND(G146&lt;&gt;"",J146&lt;&gt;"",K146&lt;&gt;""),(K146-J146)*1440,"")</f>
        <v/>
      </c>
      <c r="R146" s="33" t="str">
        <f aca="false">IF(AND(G146&lt;&gt;"",K146&lt;&gt;"",L146&lt;&gt;""),(L146-K146)*1440,"")</f>
        <v/>
      </c>
      <c r="S146" s="33" t="str">
        <f aca="false">IF(AND(G146&lt;&gt;"",I146&lt;&gt;"",L146&lt;&gt;""),(L146-I146)*1440,"")</f>
        <v/>
      </c>
      <c r="T146" s="33" t="str">
        <f aca="false">IF(G146="","",IFERROR(INDEX(Settings!$B$5:$B$8,MATCH(G146,Settings!$A$5:$A$8,0)),""))</f>
        <v/>
      </c>
      <c r="U146" s="25" t="str">
        <f aca="false">IF(G146="","",IF(S146="","No",IF(S146&lt;=T146,"Yes","No")))</f>
        <v/>
      </c>
      <c r="V146" s="25" t="str">
        <f aca="false">IF(G146="","",IF(AND(J146="",K146="",L146=""),"Telemetry Blind Spot",IF(AND(K146="",L146=""),"Missed Alert",IF(L146="","Triage Delay",IF(S146&lt;=T146,"Detected - Within SLA",IF(AND(R146&lt;&gt;"",R146&gt;IFERROR(INDEX(Settings!$C$5:$C$8,MATCH(G146,Settings!$A$5:$A$8,0)),1E+099)),"Triage Delay","Detected - SLA Breach"))))))</f>
        <v/>
      </c>
      <c r="W146" s="25" t="str">
        <f aca="false">IF(G146="","",IF(L146&lt;&gt;"",1,0))</f>
        <v/>
      </c>
      <c r="X146" s="32"/>
      <c r="Y146" s="32"/>
      <c r="Z146" s="32"/>
      <c r="AA146" s="24"/>
      <c r="AB146" s="24"/>
      <c r="AC146" s="33" t="str">
        <f aca="false">IF(AND(G146&lt;&gt;"",L146&lt;&gt;"",X146&lt;&gt;""),(X146-L146)*1440,"")</f>
        <v/>
      </c>
      <c r="AD146" s="33" t="str">
        <f aca="false">IF(AND(G146&lt;&gt;"",X146&lt;&gt;"",Y146&lt;&gt;""),(Y146-X146)*1440,"")</f>
        <v/>
      </c>
      <c r="AE146" s="33" t="str">
        <f aca="false">IF(AND(G146&lt;&gt;"",Y146&lt;&gt;"",Z146&lt;&gt;""),(Z146-Y146)*1440,"")</f>
        <v/>
      </c>
      <c r="AF146" s="33" t="str">
        <f aca="false">IF(AND(G146&lt;&gt;"",L146&lt;&gt;"",Z146&lt;&gt;""),(Z146-L146)*1440,"")</f>
        <v/>
      </c>
      <c r="AG146" s="33" t="str">
        <f aca="false">IF(G146="","",IFERROR(INDEX(Settings!$D$5:$D$8,MATCH(G146,Settings!$A$5:$A$8,0)),""))</f>
        <v/>
      </c>
      <c r="AH146" s="25" t="str">
        <f aca="false">IF(G146="","",IF(AF146="","No",IF(AF146&lt;=AG146,"Yes","No")))</f>
        <v/>
      </c>
      <c r="AI146" s="25" t="str">
        <f aca="false">IF(G146="","",IF(L146="","N/A - Not Detected",IF(AND(X146="",Y146="",Z146=""),"No Containment Action",IF(Z146="",IF(Y146&lt;&gt;"","C2 Persisted","Host Isolation Gap"),IF(AF146&lt;=AG146,"Contained - Within SLA","Contained - SLA Breach")))))</f>
        <v/>
      </c>
      <c r="AJ146" s="25" t="str">
        <f aca="false">IF(G146="","",IF(Z146&lt;&gt;"",1,0))</f>
        <v/>
      </c>
      <c r="AK146" s="34"/>
      <c r="AL146" s="34"/>
      <c r="AM146" s="35"/>
      <c r="AN146" s="34"/>
      <c r="AO146" s="34"/>
      <c r="AP146" s="35"/>
      <c r="AQ146" s="34"/>
      <c r="AR146" s="34"/>
      <c r="AS146" s="34"/>
      <c r="AT146" s="35"/>
      <c r="AU146" s="35"/>
    </row>
    <row r="147" customFormat="false" ht="15" hidden="false" customHeight="false" outlineLevel="0" collapsed="false">
      <c r="A147" s="24"/>
      <c r="B147" s="24"/>
      <c r="C147" s="24"/>
      <c r="D147" s="24"/>
      <c r="E147" s="24"/>
      <c r="F147" s="24"/>
      <c r="G147" s="24"/>
      <c r="H147" s="24"/>
      <c r="I147" s="32"/>
      <c r="J147" s="32"/>
      <c r="K147" s="32"/>
      <c r="L147" s="32"/>
      <c r="M147" s="24"/>
      <c r="N147" s="24"/>
      <c r="O147" s="24"/>
      <c r="P147" s="33" t="str">
        <f aca="false">IF(AND(G147&lt;&gt;"",I147&lt;&gt;"",J147&lt;&gt;""),(J147-I147)*1440,"")</f>
        <v/>
      </c>
      <c r="Q147" s="33" t="str">
        <f aca="false">IF(AND(G147&lt;&gt;"",J147&lt;&gt;"",K147&lt;&gt;""),(K147-J147)*1440,"")</f>
        <v/>
      </c>
      <c r="R147" s="33" t="str">
        <f aca="false">IF(AND(G147&lt;&gt;"",K147&lt;&gt;"",L147&lt;&gt;""),(L147-K147)*1440,"")</f>
        <v/>
      </c>
      <c r="S147" s="33" t="str">
        <f aca="false">IF(AND(G147&lt;&gt;"",I147&lt;&gt;"",L147&lt;&gt;""),(L147-I147)*1440,"")</f>
        <v/>
      </c>
      <c r="T147" s="33" t="str">
        <f aca="false">IF(G147="","",IFERROR(INDEX(Settings!$B$5:$B$8,MATCH(G147,Settings!$A$5:$A$8,0)),""))</f>
        <v/>
      </c>
      <c r="U147" s="25" t="str">
        <f aca="false">IF(G147="","",IF(S147="","No",IF(S147&lt;=T147,"Yes","No")))</f>
        <v/>
      </c>
      <c r="V147" s="25" t="str">
        <f aca="false">IF(G147="","",IF(AND(J147="",K147="",L147=""),"Telemetry Blind Spot",IF(AND(K147="",L147=""),"Missed Alert",IF(L147="","Triage Delay",IF(S147&lt;=T147,"Detected - Within SLA",IF(AND(R147&lt;&gt;"",R147&gt;IFERROR(INDEX(Settings!$C$5:$C$8,MATCH(G147,Settings!$A$5:$A$8,0)),1E+099)),"Triage Delay","Detected - SLA Breach"))))))</f>
        <v/>
      </c>
      <c r="W147" s="25" t="str">
        <f aca="false">IF(G147="","",IF(L147&lt;&gt;"",1,0))</f>
        <v/>
      </c>
      <c r="X147" s="32"/>
      <c r="Y147" s="32"/>
      <c r="Z147" s="32"/>
      <c r="AA147" s="24"/>
      <c r="AB147" s="24"/>
      <c r="AC147" s="33" t="str">
        <f aca="false">IF(AND(G147&lt;&gt;"",L147&lt;&gt;"",X147&lt;&gt;""),(X147-L147)*1440,"")</f>
        <v/>
      </c>
      <c r="AD147" s="33" t="str">
        <f aca="false">IF(AND(G147&lt;&gt;"",X147&lt;&gt;"",Y147&lt;&gt;""),(Y147-X147)*1440,"")</f>
        <v/>
      </c>
      <c r="AE147" s="33" t="str">
        <f aca="false">IF(AND(G147&lt;&gt;"",Y147&lt;&gt;"",Z147&lt;&gt;""),(Z147-Y147)*1440,"")</f>
        <v/>
      </c>
      <c r="AF147" s="33" t="str">
        <f aca="false">IF(AND(G147&lt;&gt;"",L147&lt;&gt;"",Z147&lt;&gt;""),(Z147-L147)*1440,"")</f>
        <v/>
      </c>
      <c r="AG147" s="33" t="str">
        <f aca="false">IF(G147="","",IFERROR(INDEX(Settings!$D$5:$D$8,MATCH(G147,Settings!$A$5:$A$8,0)),""))</f>
        <v/>
      </c>
      <c r="AH147" s="25" t="str">
        <f aca="false">IF(G147="","",IF(AF147="","No",IF(AF147&lt;=AG147,"Yes","No")))</f>
        <v/>
      </c>
      <c r="AI147" s="25" t="str">
        <f aca="false">IF(G147="","",IF(L147="","N/A - Not Detected",IF(AND(X147="",Y147="",Z147=""),"No Containment Action",IF(Z147="",IF(Y147&lt;&gt;"","C2 Persisted","Host Isolation Gap"),IF(AF147&lt;=AG147,"Contained - Within SLA","Contained - SLA Breach")))))</f>
        <v/>
      </c>
      <c r="AJ147" s="25" t="str">
        <f aca="false">IF(G147="","",IF(Z147&lt;&gt;"",1,0))</f>
        <v/>
      </c>
      <c r="AK147" s="34"/>
      <c r="AL147" s="34"/>
      <c r="AM147" s="35"/>
      <c r="AN147" s="34"/>
      <c r="AO147" s="34"/>
      <c r="AP147" s="35"/>
      <c r="AQ147" s="34"/>
      <c r="AR147" s="34"/>
      <c r="AS147" s="34"/>
      <c r="AT147" s="35"/>
      <c r="AU147" s="35"/>
    </row>
    <row r="148" customFormat="false" ht="15" hidden="false" customHeight="false" outlineLevel="0" collapsed="false">
      <c r="A148" s="24"/>
      <c r="B148" s="24"/>
      <c r="C148" s="24"/>
      <c r="D148" s="24"/>
      <c r="E148" s="24"/>
      <c r="F148" s="24"/>
      <c r="G148" s="24"/>
      <c r="H148" s="24"/>
      <c r="I148" s="32"/>
      <c r="J148" s="32"/>
      <c r="K148" s="32"/>
      <c r="L148" s="32"/>
      <c r="M148" s="24"/>
      <c r="N148" s="24"/>
      <c r="O148" s="24"/>
      <c r="P148" s="33" t="str">
        <f aca="false">IF(AND(G148&lt;&gt;"",I148&lt;&gt;"",J148&lt;&gt;""),(J148-I148)*1440,"")</f>
        <v/>
      </c>
      <c r="Q148" s="33" t="str">
        <f aca="false">IF(AND(G148&lt;&gt;"",J148&lt;&gt;"",K148&lt;&gt;""),(K148-J148)*1440,"")</f>
        <v/>
      </c>
      <c r="R148" s="33" t="str">
        <f aca="false">IF(AND(G148&lt;&gt;"",K148&lt;&gt;"",L148&lt;&gt;""),(L148-K148)*1440,"")</f>
        <v/>
      </c>
      <c r="S148" s="33" t="str">
        <f aca="false">IF(AND(G148&lt;&gt;"",I148&lt;&gt;"",L148&lt;&gt;""),(L148-I148)*1440,"")</f>
        <v/>
      </c>
      <c r="T148" s="33" t="str">
        <f aca="false">IF(G148="","",IFERROR(INDEX(Settings!$B$5:$B$8,MATCH(G148,Settings!$A$5:$A$8,0)),""))</f>
        <v/>
      </c>
      <c r="U148" s="25" t="str">
        <f aca="false">IF(G148="","",IF(S148="","No",IF(S148&lt;=T148,"Yes","No")))</f>
        <v/>
      </c>
      <c r="V148" s="25" t="str">
        <f aca="false">IF(G148="","",IF(AND(J148="",K148="",L148=""),"Telemetry Blind Spot",IF(AND(K148="",L148=""),"Missed Alert",IF(L148="","Triage Delay",IF(S148&lt;=T148,"Detected - Within SLA",IF(AND(R148&lt;&gt;"",R148&gt;IFERROR(INDEX(Settings!$C$5:$C$8,MATCH(G148,Settings!$A$5:$A$8,0)),1E+099)),"Triage Delay","Detected - SLA Breach"))))))</f>
        <v/>
      </c>
      <c r="W148" s="25" t="str">
        <f aca="false">IF(G148="","",IF(L148&lt;&gt;"",1,0))</f>
        <v/>
      </c>
      <c r="X148" s="32"/>
      <c r="Y148" s="32"/>
      <c r="Z148" s="32"/>
      <c r="AA148" s="24"/>
      <c r="AB148" s="24"/>
      <c r="AC148" s="33" t="str">
        <f aca="false">IF(AND(G148&lt;&gt;"",L148&lt;&gt;"",X148&lt;&gt;""),(X148-L148)*1440,"")</f>
        <v/>
      </c>
      <c r="AD148" s="33" t="str">
        <f aca="false">IF(AND(G148&lt;&gt;"",X148&lt;&gt;"",Y148&lt;&gt;""),(Y148-X148)*1440,"")</f>
        <v/>
      </c>
      <c r="AE148" s="33" t="str">
        <f aca="false">IF(AND(G148&lt;&gt;"",Y148&lt;&gt;"",Z148&lt;&gt;""),(Z148-Y148)*1440,"")</f>
        <v/>
      </c>
      <c r="AF148" s="33" t="str">
        <f aca="false">IF(AND(G148&lt;&gt;"",L148&lt;&gt;"",Z148&lt;&gt;""),(Z148-L148)*1440,"")</f>
        <v/>
      </c>
      <c r="AG148" s="33" t="str">
        <f aca="false">IF(G148="","",IFERROR(INDEX(Settings!$D$5:$D$8,MATCH(G148,Settings!$A$5:$A$8,0)),""))</f>
        <v/>
      </c>
      <c r="AH148" s="25" t="str">
        <f aca="false">IF(G148="","",IF(AF148="","No",IF(AF148&lt;=AG148,"Yes","No")))</f>
        <v/>
      </c>
      <c r="AI148" s="25" t="str">
        <f aca="false">IF(G148="","",IF(L148="","N/A - Not Detected",IF(AND(X148="",Y148="",Z148=""),"No Containment Action",IF(Z148="",IF(Y148&lt;&gt;"","C2 Persisted","Host Isolation Gap"),IF(AF148&lt;=AG148,"Contained - Within SLA","Contained - SLA Breach")))))</f>
        <v/>
      </c>
      <c r="AJ148" s="25" t="str">
        <f aca="false">IF(G148="","",IF(Z148&lt;&gt;"",1,0))</f>
        <v/>
      </c>
      <c r="AK148" s="34"/>
      <c r="AL148" s="34"/>
      <c r="AM148" s="35"/>
      <c r="AN148" s="34"/>
      <c r="AO148" s="34"/>
      <c r="AP148" s="35"/>
      <c r="AQ148" s="34"/>
      <c r="AR148" s="34"/>
      <c r="AS148" s="34"/>
      <c r="AT148" s="35"/>
      <c r="AU148" s="35"/>
    </row>
    <row r="149" customFormat="false" ht="15" hidden="false" customHeight="false" outlineLevel="0" collapsed="false">
      <c r="A149" s="24"/>
      <c r="B149" s="24"/>
      <c r="C149" s="24"/>
      <c r="D149" s="24"/>
      <c r="E149" s="24"/>
      <c r="F149" s="24"/>
      <c r="G149" s="24"/>
      <c r="H149" s="24"/>
      <c r="I149" s="32"/>
      <c r="J149" s="32"/>
      <c r="K149" s="32"/>
      <c r="L149" s="32"/>
      <c r="M149" s="24"/>
      <c r="N149" s="24"/>
      <c r="O149" s="24"/>
      <c r="P149" s="33" t="str">
        <f aca="false">IF(AND(G149&lt;&gt;"",I149&lt;&gt;"",J149&lt;&gt;""),(J149-I149)*1440,"")</f>
        <v/>
      </c>
      <c r="Q149" s="33" t="str">
        <f aca="false">IF(AND(G149&lt;&gt;"",J149&lt;&gt;"",K149&lt;&gt;""),(K149-J149)*1440,"")</f>
        <v/>
      </c>
      <c r="R149" s="33" t="str">
        <f aca="false">IF(AND(G149&lt;&gt;"",K149&lt;&gt;"",L149&lt;&gt;""),(L149-K149)*1440,"")</f>
        <v/>
      </c>
      <c r="S149" s="33" t="str">
        <f aca="false">IF(AND(G149&lt;&gt;"",I149&lt;&gt;"",L149&lt;&gt;""),(L149-I149)*1440,"")</f>
        <v/>
      </c>
      <c r="T149" s="33" t="str">
        <f aca="false">IF(G149="","",IFERROR(INDEX(Settings!$B$5:$B$8,MATCH(G149,Settings!$A$5:$A$8,0)),""))</f>
        <v/>
      </c>
      <c r="U149" s="25" t="str">
        <f aca="false">IF(G149="","",IF(S149="","No",IF(S149&lt;=T149,"Yes","No")))</f>
        <v/>
      </c>
      <c r="V149" s="25" t="str">
        <f aca="false">IF(G149="","",IF(AND(J149="",K149="",L149=""),"Telemetry Blind Spot",IF(AND(K149="",L149=""),"Missed Alert",IF(L149="","Triage Delay",IF(S149&lt;=T149,"Detected - Within SLA",IF(AND(R149&lt;&gt;"",R149&gt;IFERROR(INDEX(Settings!$C$5:$C$8,MATCH(G149,Settings!$A$5:$A$8,0)),1E+099)),"Triage Delay","Detected - SLA Breach"))))))</f>
        <v/>
      </c>
      <c r="W149" s="25" t="str">
        <f aca="false">IF(G149="","",IF(L149&lt;&gt;"",1,0))</f>
        <v/>
      </c>
      <c r="X149" s="32"/>
      <c r="Y149" s="32"/>
      <c r="Z149" s="32"/>
      <c r="AA149" s="24"/>
      <c r="AB149" s="24"/>
      <c r="AC149" s="33" t="str">
        <f aca="false">IF(AND(G149&lt;&gt;"",L149&lt;&gt;"",X149&lt;&gt;""),(X149-L149)*1440,"")</f>
        <v/>
      </c>
      <c r="AD149" s="33" t="str">
        <f aca="false">IF(AND(G149&lt;&gt;"",X149&lt;&gt;"",Y149&lt;&gt;""),(Y149-X149)*1440,"")</f>
        <v/>
      </c>
      <c r="AE149" s="33" t="str">
        <f aca="false">IF(AND(G149&lt;&gt;"",Y149&lt;&gt;"",Z149&lt;&gt;""),(Z149-Y149)*1440,"")</f>
        <v/>
      </c>
      <c r="AF149" s="33" t="str">
        <f aca="false">IF(AND(G149&lt;&gt;"",L149&lt;&gt;"",Z149&lt;&gt;""),(Z149-L149)*1440,"")</f>
        <v/>
      </c>
      <c r="AG149" s="33" t="str">
        <f aca="false">IF(G149="","",IFERROR(INDEX(Settings!$D$5:$D$8,MATCH(G149,Settings!$A$5:$A$8,0)),""))</f>
        <v/>
      </c>
      <c r="AH149" s="25" t="str">
        <f aca="false">IF(G149="","",IF(AF149="","No",IF(AF149&lt;=AG149,"Yes","No")))</f>
        <v/>
      </c>
      <c r="AI149" s="25" t="str">
        <f aca="false">IF(G149="","",IF(L149="","N/A - Not Detected",IF(AND(X149="",Y149="",Z149=""),"No Containment Action",IF(Z149="",IF(Y149&lt;&gt;"","C2 Persisted","Host Isolation Gap"),IF(AF149&lt;=AG149,"Contained - Within SLA","Contained - SLA Breach")))))</f>
        <v/>
      </c>
      <c r="AJ149" s="25" t="str">
        <f aca="false">IF(G149="","",IF(Z149&lt;&gt;"",1,0))</f>
        <v/>
      </c>
      <c r="AK149" s="34"/>
      <c r="AL149" s="34"/>
      <c r="AM149" s="35"/>
      <c r="AN149" s="34"/>
      <c r="AO149" s="34"/>
      <c r="AP149" s="35"/>
      <c r="AQ149" s="34"/>
      <c r="AR149" s="34"/>
      <c r="AS149" s="34"/>
      <c r="AT149" s="35"/>
      <c r="AU149" s="35"/>
    </row>
    <row r="150" customFormat="false" ht="15" hidden="false" customHeight="false" outlineLevel="0" collapsed="false">
      <c r="A150" s="24"/>
      <c r="B150" s="24"/>
      <c r="C150" s="24"/>
      <c r="D150" s="24"/>
      <c r="E150" s="24"/>
      <c r="F150" s="24"/>
      <c r="G150" s="24"/>
      <c r="H150" s="24"/>
      <c r="I150" s="32"/>
      <c r="J150" s="32"/>
      <c r="K150" s="32"/>
      <c r="L150" s="32"/>
      <c r="M150" s="24"/>
      <c r="N150" s="24"/>
      <c r="O150" s="24"/>
      <c r="P150" s="33" t="str">
        <f aca="false">IF(AND(G150&lt;&gt;"",I150&lt;&gt;"",J150&lt;&gt;""),(J150-I150)*1440,"")</f>
        <v/>
      </c>
      <c r="Q150" s="33" t="str">
        <f aca="false">IF(AND(G150&lt;&gt;"",J150&lt;&gt;"",K150&lt;&gt;""),(K150-J150)*1440,"")</f>
        <v/>
      </c>
      <c r="R150" s="33" t="str">
        <f aca="false">IF(AND(G150&lt;&gt;"",K150&lt;&gt;"",L150&lt;&gt;""),(L150-K150)*1440,"")</f>
        <v/>
      </c>
      <c r="S150" s="33" t="str">
        <f aca="false">IF(AND(G150&lt;&gt;"",I150&lt;&gt;"",L150&lt;&gt;""),(L150-I150)*1440,"")</f>
        <v/>
      </c>
      <c r="T150" s="33" t="str">
        <f aca="false">IF(G150="","",IFERROR(INDEX(Settings!$B$5:$B$8,MATCH(G150,Settings!$A$5:$A$8,0)),""))</f>
        <v/>
      </c>
      <c r="U150" s="25" t="str">
        <f aca="false">IF(G150="","",IF(S150="","No",IF(S150&lt;=T150,"Yes","No")))</f>
        <v/>
      </c>
      <c r="V150" s="25" t="str">
        <f aca="false">IF(G150="","",IF(AND(J150="",K150="",L150=""),"Telemetry Blind Spot",IF(AND(K150="",L150=""),"Missed Alert",IF(L150="","Triage Delay",IF(S150&lt;=T150,"Detected - Within SLA",IF(AND(R150&lt;&gt;"",R150&gt;IFERROR(INDEX(Settings!$C$5:$C$8,MATCH(G150,Settings!$A$5:$A$8,0)),1E+099)),"Triage Delay","Detected - SLA Breach"))))))</f>
        <v/>
      </c>
      <c r="W150" s="25" t="str">
        <f aca="false">IF(G150="","",IF(L150&lt;&gt;"",1,0))</f>
        <v/>
      </c>
      <c r="X150" s="32"/>
      <c r="Y150" s="32"/>
      <c r="Z150" s="32"/>
      <c r="AA150" s="24"/>
      <c r="AB150" s="24"/>
      <c r="AC150" s="33" t="str">
        <f aca="false">IF(AND(G150&lt;&gt;"",L150&lt;&gt;"",X150&lt;&gt;""),(X150-L150)*1440,"")</f>
        <v/>
      </c>
      <c r="AD150" s="33" t="str">
        <f aca="false">IF(AND(G150&lt;&gt;"",X150&lt;&gt;"",Y150&lt;&gt;""),(Y150-X150)*1440,"")</f>
        <v/>
      </c>
      <c r="AE150" s="33" t="str">
        <f aca="false">IF(AND(G150&lt;&gt;"",Y150&lt;&gt;"",Z150&lt;&gt;""),(Z150-Y150)*1440,"")</f>
        <v/>
      </c>
      <c r="AF150" s="33" t="str">
        <f aca="false">IF(AND(G150&lt;&gt;"",L150&lt;&gt;"",Z150&lt;&gt;""),(Z150-L150)*1440,"")</f>
        <v/>
      </c>
      <c r="AG150" s="33" t="str">
        <f aca="false">IF(G150="","",IFERROR(INDEX(Settings!$D$5:$D$8,MATCH(G150,Settings!$A$5:$A$8,0)),""))</f>
        <v/>
      </c>
      <c r="AH150" s="25" t="str">
        <f aca="false">IF(G150="","",IF(AF150="","No",IF(AF150&lt;=AG150,"Yes","No")))</f>
        <v/>
      </c>
      <c r="AI150" s="25" t="str">
        <f aca="false">IF(G150="","",IF(L150="","N/A - Not Detected",IF(AND(X150="",Y150="",Z150=""),"No Containment Action",IF(Z150="",IF(Y150&lt;&gt;"","C2 Persisted","Host Isolation Gap"),IF(AF150&lt;=AG150,"Contained - Within SLA","Contained - SLA Breach")))))</f>
        <v/>
      </c>
      <c r="AJ150" s="25" t="str">
        <f aca="false">IF(G150="","",IF(Z150&lt;&gt;"",1,0))</f>
        <v/>
      </c>
      <c r="AK150" s="34"/>
      <c r="AL150" s="34"/>
      <c r="AM150" s="35"/>
      <c r="AN150" s="34"/>
      <c r="AO150" s="34"/>
      <c r="AP150" s="35"/>
      <c r="AQ150" s="34"/>
      <c r="AR150" s="34"/>
      <c r="AS150" s="34"/>
      <c r="AT150" s="35"/>
      <c r="AU150" s="35"/>
    </row>
    <row r="151" customFormat="false" ht="15" hidden="false" customHeight="false" outlineLevel="0" collapsed="false">
      <c r="A151" s="24"/>
      <c r="B151" s="24"/>
      <c r="C151" s="24"/>
      <c r="D151" s="24"/>
      <c r="E151" s="24"/>
      <c r="F151" s="24"/>
      <c r="G151" s="24"/>
      <c r="H151" s="24"/>
      <c r="I151" s="32"/>
      <c r="J151" s="32"/>
      <c r="K151" s="32"/>
      <c r="L151" s="32"/>
      <c r="M151" s="24"/>
      <c r="N151" s="24"/>
      <c r="O151" s="24"/>
      <c r="P151" s="33" t="str">
        <f aca="false">IF(AND(G151&lt;&gt;"",I151&lt;&gt;"",J151&lt;&gt;""),(J151-I151)*1440,"")</f>
        <v/>
      </c>
      <c r="Q151" s="33" t="str">
        <f aca="false">IF(AND(G151&lt;&gt;"",J151&lt;&gt;"",K151&lt;&gt;""),(K151-J151)*1440,"")</f>
        <v/>
      </c>
      <c r="R151" s="33" t="str">
        <f aca="false">IF(AND(G151&lt;&gt;"",K151&lt;&gt;"",L151&lt;&gt;""),(L151-K151)*1440,"")</f>
        <v/>
      </c>
      <c r="S151" s="33" t="str">
        <f aca="false">IF(AND(G151&lt;&gt;"",I151&lt;&gt;"",L151&lt;&gt;""),(L151-I151)*1440,"")</f>
        <v/>
      </c>
      <c r="T151" s="33" t="str">
        <f aca="false">IF(G151="","",IFERROR(INDEX(Settings!$B$5:$B$8,MATCH(G151,Settings!$A$5:$A$8,0)),""))</f>
        <v/>
      </c>
      <c r="U151" s="25" t="str">
        <f aca="false">IF(G151="","",IF(S151="","No",IF(S151&lt;=T151,"Yes","No")))</f>
        <v/>
      </c>
      <c r="V151" s="25" t="str">
        <f aca="false">IF(G151="","",IF(AND(J151="",K151="",L151=""),"Telemetry Blind Spot",IF(AND(K151="",L151=""),"Missed Alert",IF(L151="","Triage Delay",IF(S151&lt;=T151,"Detected - Within SLA",IF(AND(R151&lt;&gt;"",R151&gt;IFERROR(INDEX(Settings!$C$5:$C$8,MATCH(G151,Settings!$A$5:$A$8,0)),1E+099)),"Triage Delay","Detected - SLA Breach"))))))</f>
        <v/>
      </c>
      <c r="W151" s="25" t="str">
        <f aca="false">IF(G151="","",IF(L151&lt;&gt;"",1,0))</f>
        <v/>
      </c>
      <c r="X151" s="32"/>
      <c r="Y151" s="32"/>
      <c r="Z151" s="32"/>
      <c r="AA151" s="24"/>
      <c r="AB151" s="24"/>
      <c r="AC151" s="33" t="str">
        <f aca="false">IF(AND(G151&lt;&gt;"",L151&lt;&gt;"",X151&lt;&gt;""),(X151-L151)*1440,"")</f>
        <v/>
      </c>
      <c r="AD151" s="33" t="str">
        <f aca="false">IF(AND(G151&lt;&gt;"",X151&lt;&gt;"",Y151&lt;&gt;""),(Y151-X151)*1440,"")</f>
        <v/>
      </c>
      <c r="AE151" s="33" t="str">
        <f aca="false">IF(AND(G151&lt;&gt;"",Y151&lt;&gt;"",Z151&lt;&gt;""),(Z151-Y151)*1440,"")</f>
        <v/>
      </c>
      <c r="AF151" s="33" t="str">
        <f aca="false">IF(AND(G151&lt;&gt;"",L151&lt;&gt;"",Z151&lt;&gt;""),(Z151-L151)*1440,"")</f>
        <v/>
      </c>
      <c r="AG151" s="33" t="str">
        <f aca="false">IF(G151="","",IFERROR(INDEX(Settings!$D$5:$D$8,MATCH(G151,Settings!$A$5:$A$8,0)),""))</f>
        <v/>
      </c>
      <c r="AH151" s="25" t="str">
        <f aca="false">IF(G151="","",IF(AF151="","No",IF(AF151&lt;=AG151,"Yes","No")))</f>
        <v/>
      </c>
      <c r="AI151" s="25" t="str">
        <f aca="false">IF(G151="","",IF(L151="","N/A - Not Detected",IF(AND(X151="",Y151="",Z151=""),"No Containment Action",IF(Z151="",IF(Y151&lt;&gt;"","C2 Persisted","Host Isolation Gap"),IF(AF151&lt;=AG151,"Contained - Within SLA","Contained - SLA Breach")))))</f>
        <v/>
      </c>
      <c r="AJ151" s="25" t="str">
        <f aca="false">IF(G151="","",IF(Z151&lt;&gt;"",1,0))</f>
        <v/>
      </c>
      <c r="AK151" s="34"/>
      <c r="AL151" s="34"/>
      <c r="AM151" s="35"/>
      <c r="AN151" s="34"/>
      <c r="AO151" s="34"/>
      <c r="AP151" s="35"/>
      <c r="AQ151" s="34"/>
      <c r="AR151" s="34"/>
      <c r="AS151" s="34"/>
      <c r="AT151" s="35"/>
      <c r="AU151" s="35"/>
    </row>
    <row r="152" customFormat="false" ht="15" hidden="false" customHeight="false" outlineLevel="0" collapsed="false">
      <c r="A152" s="24"/>
      <c r="B152" s="24"/>
      <c r="C152" s="24"/>
      <c r="D152" s="24"/>
      <c r="E152" s="24"/>
      <c r="F152" s="24"/>
      <c r="G152" s="24"/>
      <c r="H152" s="24"/>
      <c r="I152" s="32"/>
      <c r="J152" s="32"/>
      <c r="K152" s="32"/>
      <c r="L152" s="32"/>
      <c r="M152" s="24"/>
      <c r="N152" s="24"/>
      <c r="O152" s="24"/>
      <c r="P152" s="33" t="str">
        <f aca="false">IF(AND(G152&lt;&gt;"",I152&lt;&gt;"",J152&lt;&gt;""),(J152-I152)*1440,"")</f>
        <v/>
      </c>
      <c r="Q152" s="33" t="str">
        <f aca="false">IF(AND(G152&lt;&gt;"",J152&lt;&gt;"",K152&lt;&gt;""),(K152-J152)*1440,"")</f>
        <v/>
      </c>
      <c r="R152" s="33" t="str">
        <f aca="false">IF(AND(G152&lt;&gt;"",K152&lt;&gt;"",L152&lt;&gt;""),(L152-K152)*1440,"")</f>
        <v/>
      </c>
      <c r="S152" s="33" t="str">
        <f aca="false">IF(AND(G152&lt;&gt;"",I152&lt;&gt;"",L152&lt;&gt;""),(L152-I152)*1440,"")</f>
        <v/>
      </c>
      <c r="T152" s="33" t="str">
        <f aca="false">IF(G152="","",IFERROR(INDEX(Settings!$B$5:$B$8,MATCH(G152,Settings!$A$5:$A$8,0)),""))</f>
        <v/>
      </c>
      <c r="U152" s="25" t="str">
        <f aca="false">IF(G152="","",IF(S152="","No",IF(S152&lt;=T152,"Yes","No")))</f>
        <v/>
      </c>
      <c r="V152" s="25" t="str">
        <f aca="false">IF(G152="","",IF(AND(J152="",K152="",L152=""),"Telemetry Blind Spot",IF(AND(K152="",L152=""),"Missed Alert",IF(L152="","Triage Delay",IF(S152&lt;=T152,"Detected - Within SLA",IF(AND(R152&lt;&gt;"",R152&gt;IFERROR(INDEX(Settings!$C$5:$C$8,MATCH(G152,Settings!$A$5:$A$8,0)),1E+099)),"Triage Delay","Detected - SLA Breach"))))))</f>
        <v/>
      </c>
      <c r="W152" s="25" t="str">
        <f aca="false">IF(G152="","",IF(L152&lt;&gt;"",1,0))</f>
        <v/>
      </c>
      <c r="X152" s="32"/>
      <c r="Y152" s="32"/>
      <c r="Z152" s="32"/>
      <c r="AA152" s="24"/>
      <c r="AB152" s="24"/>
      <c r="AC152" s="33" t="str">
        <f aca="false">IF(AND(G152&lt;&gt;"",L152&lt;&gt;"",X152&lt;&gt;""),(X152-L152)*1440,"")</f>
        <v/>
      </c>
      <c r="AD152" s="33" t="str">
        <f aca="false">IF(AND(G152&lt;&gt;"",X152&lt;&gt;"",Y152&lt;&gt;""),(Y152-X152)*1440,"")</f>
        <v/>
      </c>
      <c r="AE152" s="33" t="str">
        <f aca="false">IF(AND(G152&lt;&gt;"",Y152&lt;&gt;"",Z152&lt;&gt;""),(Z152-Y152)*1440,"")</f>
        <v/>
      </c>
      <c r="AF152" s="33" t="str">
        <f aca="false">IF(AND(G152&lt;&gt;"",L152&lt;&gt;"",Z152&lt;&gt;""),(Z152-L152)*1440,"")</f>
        <v/>
      </c>
      <c r="AG152" s="33" t="str">
        <f aca="false">IF(G152="","",IFERROR(INDEX(Settings!$D$5:$D$8,MATCH(G152,Settings!$A$5:$A$8,0)),""))</f>
        <v/>
      </c>
      <c r="AH152" s="25" t="str">
        <f aca="false">IF(G152="","",IF(AF152="","No",IF(AF152&lt;=AG152,"Yes","No")))</f>
        <v/>
      </c>
      <c r="AI152" s="25" t="str">
        <f aca="false">IF(G152="","",IF(L152="","N/A - Not Detected",IF(AND(X152="",Y152="",Z152=""),"No Containment Action",IF(Z152="",IF(Y152&lt;&gt;"","C2 Persisted","Host Isolation Gap"),IF(AF152&lt;=AG152,"Contained - Within SLA","Contained - SLA Breach")))))</f>
        <v/>
      </c>
      <c r="AJ152" s="25" t="str">
        <f aca="false">IF(G152="","",IF(Z152&lt;&gt;"",1,0))</f>
        <v/>
      </c>
      <c r="AK152" s="34"/>
      <c r="AL152" s="34"/>
      <c r="AM152" s="35"/>
      <c r="AN152" s="34"/>
      <c r="AO152" s="34"/>
      <c r="AP152" s="35"/>
      <c r="AQ152" s="34"/>
      <c r="AR152" s="34"/>
      <c r="AS152" s="34"/>
      <c r="AT152" s="35"/>
      <c r="AU152" s="35"/>
    </row>
    <row r="153" customFormat="false" ht="15" hidden="false" customHeight="false" outlineLevel="0" collapsed="false">
      <c r="A153" s="24"/>
      <c r="B153" s="24"/>
      <c r="C153" s="24"/>
      <c r="D153" s="24"/>
      <c r="E153" s="24"/>
      <c r="F153" s="24"/>
      <c r="G153" s="24"/>
      <c r="H153" s="24"/>
      <c r="I153" s="32"/>
      <c r="J153" s="32"/>
      <c r="K153" s="32"/>
      <c r="L153" s="32"/>
      <c r="M153" s="24"/>
      <c r="N153" s="24"/>
      <c r="O153" s="24"/>
      <c r="P153" s="33" t="str">
        <f aca="false">IF(AND(G153&lt;&gt;"",I153&lt;&gt;"",J153&lt;&gt;""),(J153-I153)*1440,"")</f>
        <v/>
      </c>
      <c r="Q153" s="33" t="str">
        <f aca="false">IF(AND(G153&lt;&gt;"",J153&lt;&gt;"",K153&lt;&gt;""),(K153-J153)*1440,"")</f>
        <v/>
      </c>
      <c r="R153" s="33" t="str">
        <f aca="false">IF(AND(G153&lt;&gt;"",K153&lt;&gt;"",L153&lt;&gt;""),(L153-K153)*1440,"")</f>
        <v/>
      </c>
      <c r="S153" s="33" t="str">
        <f aca="false">IF(AND(G153&lt;&gt;"",I153&lt;&gt;"",L153&lt;&gt;""),(L153-I153)*1440,"")</f>
        <v/>
      </c>
      <c r="T153" s="33" t="str">
        <f aca="false">IF(G153="","",IFERROR(INDEX(Settings!$B$5:$B$8,MATCH(G153,Settings!$A$5:$A$8,0)),""))</f>
        <v/>
      </c>
      <c r="U153" s="25" t="str">
        <f aca="false">IF(G153="","",IF(S153="","No",IF(S153&lt;=T153,"Yes","No")))</f>
        <v/>
      </c>
      <c r="V153" s="25" t="str">
        <f aca="false">IF(G153="","",IF(AND(J153="",K153="",L153=""),"Telemetry Blind Spot",IF(AND(K153="",L153=""),"Missed Alert",IF(L153="","Triage Delay",IF(S153&lt;=T153,"Detected - Within SLA",IF(AND(R153&lt;&gt;"",R153&gt;IFERROR(INDEX(Settings!$C$5:$C$8,MATCH(G153,Settings!$A$5:$A$8,0)),1E+099)),"Triage Delay","Detected - SLA Breach"))))))</f>
        <v/>
      </c>
      <c r="W153" s="25" t="str">
        <f aca="false">IF(G153="","",IF(L153&lt;&gt;"",1,0))</f>
        <v/>
      </c>
      <c r="X153" s="32"/>
      <c r="Y153" s="32"/>
      <c r="Z153" s="32"/>
      <c r="AA153" s="24"/>
      <c r="AB153" s="24"/>
      <c r="AC153" s="33" t="str">
        <f aca="false">IF(AND(G153&lt;&gt;"",L153&lt;&gt;"",X153&lt;&gt;""),(X153-L153)*1440,"")</f>
        <v/>
      </c>
      <c r="AD153" s="33" t="str">
        <f aca="false">IF(AND(G153&lt;&gt;"",X153&lt;&gt;"",Y153&lt;&gt;""),(Y153-X153)*1440,"")</f>
        <v/>
      </c>
      <c r="AE153" s="33" t="str">
        <f aca="false">IF(AND(G153&lt;&gt;"",Y153&lt;&gt;"",Z153&lt;&gt;""),(Z153-Y153)*1440,"")</f>
        <v/>
      </c>
      <c r="AF153" s="33" t="str">
        <f aca="false">IF(AND(G153&lt;&gt;"",L153&lt;&gt;"",Z153&lt;&gt;""),(Z153-L153)*1440,"")</f>
        <v/>
      </c>
      <c r="AG153" s="33" t="str">
        <f aca="false">IF(G153="","",IFERROR(INDEX(Settings!$D$5:$D$8,MATCH(G153,Settings!$A$5:$A$8,0)),""))</f>
        <v/>
      </c>
      <c r="AH153" s="25" t="str">
        <f aca="false">IF(G153="","",IF(AF153="","No",IF(AF153&lt;=AG153,"Yes","No")))</f>
        <v/>
      </c>
      <c r="AI153" s="25" t="str">
        <f aca="false">IF(G153="","",IF(L153="","N/A - Not Detected",IF(AND(X153="",Y153="",Z153=""),"No Containment Action",IF(Z153="",IF(Y153&lt;&gt;"","C2 Persisted","Host Isolation Gap"),IF(AF153&lt;=AG153,"Contained - Within SLA","Contained - SLA Breach")))))</f>
        <v/>
      </c>
      <c r="AJ153" s="25" t="str">
        <f aca="false">IF(G153="","",IF(Z153&lt;&gt;"",1,0))</f>
        <v/>
      </c>
      <c r="AK153" s="34"/>
      <c r="AL153" s="34"/>
      <c r="AM153" s="35"/>
      <c r="AN153" s="34"/>
      <c r="AO153" s="34"/>
      <c r="AP153" s="35"/>
      <c r="AQ153" s="34"/>
      <c r="AR153" s="34"/>
      <c r="AS153" s="34"/>
      <c r="AT153" s="35"/>
      <c r="AU153" s="35"/>
    </row>
    <row r="154" customFormat="false" ht="15" hidden="false" customHeight="false" outlineLevel="0" collapsed="false">
      <c r="A154" s="24"/>
      <c r="B154" s="24"/>
      <c r="C154" s="24"/>
      <c r="D154" s="24"/>
      <c r="E154" s="24"/>
      <c r="F154" s="24"/>
      <c r="G154" s="24"/>
      <c r="H154" s="24"/>
      <c r="I154" s="32"/>
      <c r="J154" s="32"/>
      <c r="K154" s="32"/>
      <c r="L154" s="32"/>
      <c r="M154" s="24"/>
      <c r="N154" s="24"/>
      <c r="O154" s="24"/>
      <c r="P154" s="33" t="str">
        <f aca="false">IF(AND(G154&lt;&gt;"",I154&lt;&gt;"",J154&lt;&gt;""),(J154-I154)*1440,"")</f>
        <v/>
      </c>
      <c r="Q154" s="33" t="str">
        <f aca="false">IF(AND(G154&lt;&gt;"",J154&lt;&gt;"",K154&lt;&gt;""),(K154-J154)*1440,"")</f>
        <v/>
      </c>
      <c r="R154" s="33" t="str">
        <f aca="false">IF(AND(G154&lt;&gt;"",K154&lt;&gt;"",L154&lt;&gt;""),(L154-K154)*1440,"")</f>
        <v/>
      </c>
      <c r="S154" s="33" t="str">
        <f aca="false">IF(AND(G154&lt;&gt;"",I154&lt;&gt;"",L154&lt;&gt;""),(L154-I154)*1440,"")</f>
        <v/>
      </c>
      <c r="T154" s="33" t="str">
        <f aca="false">IF(G154="","",IFERROR(INDEX(Settings!$B$5:$B$8,MATCH(G154,Settings!$A$5:$A$8,0)),""))</f>
        <v/>
      </c>
      <c r="U154" s="25" t="str">
        <f aca="false">IF(G154="","",IF(S154="","No",IF(S154&lt;=T154,"Yes","No")))</f>
        <v/>
      </c>
      <c r="V154" s="25" t="str">
        <f aca="false">IF(G154="","",IF(AND(J154="",K154="",L154=""),"Telemetry Blind Spot",IF(AND(K154="",L154=""),"Missed Alert",IF(L154="","Triage Delay",IF(S154&lt;=T154,"Detected - Within SLA",IF(AND(R154&lt;&gt;"",R154&gt;IFERROR(INDEX(Settings!$C$5:$C$8,MATCH(G154,Settings!$A$5:$A$8,0)),1E+099)),"Triage Delay","Detected - SLA Breach"))))))</f>
        <v/>
      </c>
      <c r="W154" s="25" t="str">
        <f aca="false">IF(G154="","",IF(L154&lt;&gt;"",1,0))</f>
        <v/>
      </c>
      <c r="X154" s="32"/>
      <c r="Y154" s="32"/>
      <c r="Z154" s="32"/>
      <c r="AA154" s="24"/>
      <c r="AB154" s="24"/>
      <c r="AC154" s="33" t="str">
        <f aca="false">IF(AND(G154&lt;&gt;"",L154&lt;&gt;"",X154&lt;&gt;""),(X154-L154)*1440,"")</f>
        <v/>
      </c>
      <c r="AD154" s="33" t="str">
        <f aca="false">IF(AND(G154&lt;&gt;"",X154&lt;&gt;"",Y154&lt;&gt;""),(Y154-X154)*1440,"")</f>
        <v/>
      </c>
      <c r="AE154" s="33" t="str">
        <f aca="false">IF(AND(G154&lt;&gt;"",Y154&lt;&gt;"",Z154&lt;&gt;""),(Z154-Y154)*1440,"")</f>
        <v/>
      </c>
      <c r="AF154" s="33" t="str">
        <f aca="false">IF(AND(G154&lt;&gt;"",L154&lt;&gt;"",Z154&lt;&gt;""),(Z154-L154)*1440,"")</f>
        <v/>
      </c>
      <c r="AG154" s="33" t="str">
        <f aca="false">IF(G154="","",IFERROR(INDEX(Settings!$D$5:$D$8,MATCH(G154,Settings!$A$5:$A$8,0)),""))</f>
        <v/>
      </c>
      <c r="AH154" s="25" t="str">
        <f aca="false">IF(G154="","",IF(AF154="","No",IF(AF154&lt;=AG154,"Yes","No")))</f>
        <v/>
      </c>
      <c r="AI154" s="25" t="str">
        <f aca="false">IF(G154="","",IF(L154="","N/A - Not Detected",IF(AND(X154="",Y154="",Z154=""),"No Containment Action",IF(Z154="",IF(Y154&lt;&gt;"","C2 Persisted","Host Isolation Gap"),IF(AF154&lt;=AG154,"Contained - Within SLA","Contained - SLA Breach")))))</f>
        <v/>
      </c>
      <c r="AJ154" s="25" t="str">
        <f aca="false">IF(G154="","",IF(Z154&lt;&gt;"",1,0))</f>
        <v/>
      </c>
      <c r="AK154" s="34"/>
      <c r="AL154" s="34"/>
      <c r="AM154" s="35"/>
      <c r="AN154" s="34"/>
      <c r="AO154" s="34"/>
      <c r="AP154" s="35"/>
      <c r="AQ154" s="34"/>
      <c r="AR154" s="34"/>
      <c r="AS154" s="34"/>
      <c r="AT154" s="35"/>
      <c r="AU154" s="35"/>
    </row>
    <row r="155" customFormat="false" ht="15" hidden="false" customHeight="false" outlineLevel="0" collapsed="false">
      <c r="A155" s="24"/>
      <c r="B155" s="24"/>
      <c r="C155" s="24"/>
      <c r="D155" s="24"/>
      <c r="E155" s="24"/>
      <c r="F155" s="24"/>
      <c r="G155" s="24"/>
      <c r="H155" s="24"/>
      <c r="I155" s="32"/>
      <c r="J155" s="32"/>
      <c r="K155" s="32"/>
      <c r="L155" s="32"/>
      <c r="M155" s="24"/>
      <c r="N155" s="24"/>
      <c r="O155" s="24"/>
      <c r="P155" s="33" t="str">
        <f aca="false">IF(AND(G155&lt;&gt;"",I155&lt;&gt;"",J155&lt;&gt;""),(J155-I155)*1440,"")</f>
        <v/>
      </c>
      <c r="Q155" s="33" t="str">
        <f aca="false">IF(AND(G155&lt;&gt;"",J155&lt;&gt;"",K155&lt;&gt;""),(K155-J155)*1440,"")</f>
        <v/>
      </c>
      <c r="R155" s="33" t="str">
        <f aca="false">IF(AND(G155&lt;&gt;"",K155&lt;&gt;"",L155&lt;&gt;""),(L155-K155)*1440,"")</f>
        <v/>
      </c>
      <c r="S155" s="33" t="str">
        <f aca="false">IF(AND(G155&lt;&gt;"",I155&lt;&gt;"",L155&lt;&gt;""),(L155-I155)*1440,"")</f>
        <v/>
      </c>
      <c r="T155" s="33" t="str">
        <f aca="false">IF(G155="","",IFERROR(INDEX(Settings!$B$5:$B$8,MATCH(G155,Settings!$A$5:$A$8,0)),""))</f>
        <v/>
      </c>
      <c r="U155" s="25" t="str">
        <f aca="false">IF(G155="","",IF(S155="","No",IF(S155&lt;=T155,"Yes","No")))</f>
        <v/>
      </c>
      <c r="V155" s="25" t="str">
        <f aca="false">IF(G155="","",IF(AND(J155="",K155="",L155=""),"Telemetry Blind Spot",IF(AND(K155="",L155=""),"Missed Alert",IF(L155="","Triage Delay",IF(S155&lt;=T155,"Detected - Within SLA",IF(AND(R155&lt;&gt;"",R155&gt;IFERROR(INDEX(Settings!$C$5:$C$8,MATCH(G155,Settings!$A$5:$A$8,0)),1E+099)),"Triage Delay","Detected - SLA Breach"))))))</f>
        <v/>
      </c>
      <c r="W155" s="25" t="str">
        <f aca="false">IF(G155="","",IF(L155&lt;&gt;"",1,0))</f>
        <v/>
      </c>
      <c r="X155" s="32"/>
      <c r="Y155" s="32"/>
      <c r="Z155" s="32"/>
      <c r="AA155" s="24"/>
      <c r="AB155" s="24"/>
      <c r="AC155" s="33" t="str">
        <f aca="false">IF(AND(G155&lt;&gt;"",L155&lt;&gt;"",X155&lt;&gt;""),(X155-L155)*1440,"")</f>
        <v/>
      </c>
      <c r="AD155" s="33" t="str">
        <f aca="false">IF(AND(G155&lt;&gt;"",X155&lt;&gt;"",Y155&lt;&gt;""),(Y155-X155)*1440,"")</f>
        <v/>
      </c>
      <c r="AE155" s="33" t="str">
        <f aca="false">IF(AND(G155&lt;&gt;"",Y155&lt;&gt;"",Z155&lt;&gt;""),(Z155-Y155)*1440,"")</f>
        <v/>
      </c>
      <c r="AF155" s="33" t="str">
        <f aca="false">IF(AND(G155&lt;&gt;"",L155&lt;&gt;"",Z155&lt;&gt;""),(Z155-L155)*1440,"")</f>
        <v/>
      </c>
      <c r="AG155" s="33" t="str">
        <f aca="false">IF(G155="","",IFERROR(INDEX(Settings!$D$5:$D$8,MATCH(G155,Settings!$A$5:$A$8,0)),""))</f>
        <v/>
      </c>
      <c r="AH155" s="25" t="str">
        <f aca="false">IF(G155="","",IF(AF155="","No",IF(AF155&lt;=AG155,"Yes","No")))</f>
        <v/>
      </c>
      <c r="AI155" s="25" t="str">
        <f aca="false">IF(G155="","",IF(L155="","N/A - Not Detected",IF(AND(X155="",Y155="",Z155=""),"No Containment Action",IF(Z155="",IF(Y155&lt;&gt;"","C2 Persisted","Host Isolation Gap"),IF(AF155&lt;=AG155,"Contained - Within SLA","Contained - SLA Breach")))))</f>
        <v/>
      </c>
      <c r="AJ155" s="25" t="str">
        <f aca="false">IF(G155="","",IF(Z155&lt;&gt;"",1,0))</f>
        <v/>
      </c>
      <c r="AK155" s="34"/>
      <c r="AL155" s="34"/>
      <c r="AM155" s="35"/>
      <c r="AN155" s="34"/>
      <c r="AO155" s="34"/>
      <c r="AP155" s="35"/>
      <c r="AQ155" s="34"/>
      <c r="AR155" s="34"/>
      <c r="AS155" s="34"/>
      <c r="AT155" s="35"/>
      <c r="AU155" s="35"/>
    </row>
    <row r="156" customFormat="false" ht="15" hidden="false" customHeight="false" outlineLevel="0" collapsed="false">
      <c r="A156" s="24"/>
      <c r="B156" s="24"/>
      <c r="C156" s="24"/>
      <c r="D156" s="24"/>
      <c r="E156" s="24"/>
      <c r="F156" s="24"/>
      <c r="G156" s="24"/>
      <c r="H156" s="24"/>
      <c r="I156" s="32"/>
      <c r="J156" s="32"/>
      <c r="K156" s="32"/>
      <c r="L156" s="32"/>
      <c r="M156" s="24"/>
      <c r="N156" s="24"/>
      <c r="O156" s="24"/>
      <c r="P156" s="33" t="str">
        <f aca="false">IF(AND(G156&lt;&gt;"",I156&lt;&gt;"",J156&lt;&gt;""),(J156-I156)*1440,"")</f>
        <v/>
      </c>
      <c r="Q156" s="33" t="str">
        <f aca="false">IF(AND(G156&lt;&gt;"",J156&lt;&gt;"",K156&lt;&gt;""),(K156-J156)*1440,"")</f>
        <v/>
      </c>
      <c r="R156" s="33" t="str">
        <f aca="false">IF(AND(G156&lt;&gt;"",K156&lt;&gt;"",L156&lt;&gt;""),(L156-K156)*1440,"")</f>
        <v/>
      </c>
      <c r="S156" s="33" t="str">
        <f aca="false">IF(AND(G156&lt;&gt;"",I156&lt;&gt;"",L156&lt;&gt;""),(L156-I156)*1440,"")</f>
        <v/>
      </c>
      <c r="T156" s="33" t="str">
        <f aca="false">IF(G156="","",IFERROR(INDEX(Settings!$B$5:$B$8,MATCH(G156,Settings!$A$5:$A$8,0)),""))</f>
        <v/>
      </c>
      <c r="U156" s="25" t="str">
        <f aca="false">IF(G156="","",IF(S156="","No",IF(S156&lt;=T156,"Yes","No")))</f>
        <v/>
      </c>
      <c r="V156" s="25" t="str">
        <f aca="false">IF(G156="","",IF(AND(J156="",K156="",L156=""),"Telemetry Blind Spot",IF(AND(K156="",L156=""),"Missed Alert",IF(L156="","Triage Delay",IF(S156&lt;=T156,"Detected - Within SLA",IF(AND(R156&lt;&gt;"",R156&gt;IFERROR(INDEX(Settings!$C$5:$C$8,MATCH(G156,Settings!$A$5:$A$8,0)),1E+099)),"Triage Delay","Detected - SLA Breach"))))))</f>
        <v/>
      </c>
      <c r="W156" s="25" t="str">
        <f aca="false">IF(G156="","",IF(L156&lt;&gt;"",1,0))</f>
        <v/>
      </c>
      <c r="X156" s="32"/>
      <c r="Y156" s="32"/>
      <c r="Z156" s="32"/>
      <c r="AA156" s="24"/>
      <c r="AB156" s="24"/>
      <c r="AC156" s="33" t="str">
        <f aca="false">IF(AND(G156&lt;&gt;"",L156&lt;&gt;"",X156&lt;&gt;""),(X156-L156)*1440,"")</f>
        <v/>
      </c>
      <c r="AD156" s="33" t="str">
        <f aca="false">IF(AND(G156&lt;&gt;"",X156&lt;&gt;"",Y156&lt;&gt;""),(Y156-X156)*1440,"")</f>
        <v/>
      </c>
      <c r="AE156" s="33" t="str">
        <f aca="false">IF(AND(G156&lt;&gt;"",Y156&lt;&gt;"",Z156&lt;&gt;""),(Z156-Y156)*1440,"")</f>
        <v/>
      </c>
      <c r="AF156" s="33" t="str">
        <f aca="false">IF(AND(G156&lt;&gt;"",L156&lt;&gt;"",Z156&lt;&gt;""),(Z156-L156)*1440,"")</f>
        <v/>
      </c>
      <c r="AG156" s="33" t="str">
        <f aca="false">IF(G156="","",IFERROR(INDEX(Settings!$D$5:$D$8,MATCH(G156,Settings!$A$5:$A$8,0)),""))</f>
        <v/>
      </c>
      <c r="AH156" s="25" t="str">
        <f aca="false">IF(G156="","",IF(AF156="","No",IF(AF156&lt;=AG156,"Yes","No")))</f>
        <v/>
      </c>
      <c r="AI156" s="25" t="str">
        <f aca="false">IF(G156="","",IF(L156="","N/A - Not Detected",IF(AND(X156="",Y156="",Z156=""),"No Containment Action",IF(Z156="",IF(Y156&lt;&gt;"","C2 Persisted","Host Isolation Gap"),IF(AF156&lt;=AG156,"Contained - Within SLA","Contained - SLA Breach")))))</f>
        <v/>
      </c>
      <c r="AJ156" s="25" t="str">
        <f aca="false">IF(G156="","",IF(Z156&lt;&gt;"",1,0))</f>
        <v/>
      </c>
      <c r="AK156" s="34"/>
      <c r="AL156" s="34"/>
      <c r="AM156" s="35"/>
      <c r="AN156" s="34"/>
      <c r="AO156" s="34"/>
      <c r="AP156" s="35"/>
      <c r="AQ156" s="34"/>
      <c r="AR156" s="34"/>
      <c r="AS156" s="34"/>
      <c r="AT156" s="35"/>
      <c r="AU156" s="35"/>
    </row>
    <row r="157" customFormat="false" ht="15" hidden="false" customHeight="false" outlineLevel="0" collapsed="false">
      <c r="A157" s="24"/>
      <c r="B157" s="24"/>
      <c r="C157" s="24"/>
      <c r="D157" s="24"/>
      <c r="E157" s="24"/>
      <c r="F157" s="24"/>
      <c r="G157" s="24"/>
      <c r="H157" s="24"/>
      <c r="I157" s="32"/>
      <c r="J157" s="32"/>
      <c r="K157" s="32"/>
      <c r="L157" s="32"/>
      <c r="M157" s="24"/>
      <c r="N157" s="24"/>
      <c r="O157" s="24"/>
      <c r="P157" s="33" t="str">
        <f aca="false">IF(AND(G157&lt;&gt;"",I157&lt;&gt;"",J157&lt;&gt;""),(J157-I157)*1440,"")</f>
        <v/>
      </c>
      <c r="Q157" s="33" t="str">
        <f aca="false">IF(AND(G157&lt;&gt;"",J157&lt;&gt;"",K157&lt;&gt;""),(K157-J157)*1440,"")</f>
        <v/>
      </c>
      <c r="R157" s="33" t="str">
        <f aca="false">IF(AND(G157&lt;&gt;"",K157&lt;&gt;"",L157&lt;&gt;""),(L157-K157)*1440,"")</f>
        <v/>
      </c>
      <c r="S157" s="33" t="str">
        <f aca="false">IF(AND(G157&lt;&gt;"",I157&lt;&gt;"",L157&lt;&gt;""),(L157-I157)*1440,"")</f>
        <v/>
      </c>
      <c r="T157" s="33" t="str">
        <f aca="false">IF(G157="","",IFERROR(INDEX(Settings!$B$5:$B$8,MATCH(G157,Settings!$A$5:$A$8,0)),""))</f>
        <v/>
      </c>
      <c r="U157" s="25" t="str">
        <f aca="false">IF(G157="","",IF(S157="","No",IF(S157&lt;=T157,"Yes","No")))</f>
        <v/>
      </c>
      <c r="V157" s="25" t="str">
        <f aca="false">IF(G157="","",IF(AND(J157="",K157="",L157=""),"Telemetry Blind Spot",IF(AND(K157="",L157=""),"Missed Alert",IF(L157="","Triage Delay",IF(S157&lt;=T157,"Detected - Within SLA",IF(AND(R157&lt;&gt;"",R157&gt;IFERROR(INDEX(Settings!$C$5:$C$8,MATCH(G157,Settings!$A$5:$A$8,0)),1E+099)),"Triage Delay","Detected - SLA Breach"))))))</f>
        <v/>
      </c>
      <c r="W157" s="25" t="str">
        <f aca="false">IF(G157="","",IF(L157&lt;&gt;"",1,0))</f>
        <v/>
      </c>
      <c r="X157" s="32"/>
      <c r="Y157" s="32"/>
      <c r="Z157" s="32"/>
      <c r="AA157" s="24"/>
      <c r="AB157" s="24"/>
      <c r="AC157" s="33" t="str">
        <f aca="false">IF(AND(G157&lt;&gt;"",L157&lt;&gt;"",X157&lt;&gt;""),(X157-L157)*1440,"")</f>
        <v/>
      </c>
      <c r="AD157" s="33" t="str">
        <f aca="false">IF(AND(G157&lt;&gt;"",X157&lt;&gt;"",Y157&lt;&gt;""),(Y157-X157)*1440,"")</f>
        <v/>
      </c>
      <c r="AE157" s="33" t="str">
        <f aca="false">IF(AND(G157&lt;&gt;"",Y157&lt;&gt;"",Z157&lt;&gt;""),(Z157-Y157)*1440,"")</f>
        <v/>
      </c>
      <c r="AF157" s="33" t="str">
        <f aca="false">IF(AND(G157&lt;&gt;"",L157&lt;&gt;"",Z157&lt;&gt;""),(Z157-L157)*1440,"")</f>
        <v/>
      </c>
      <c r="AG157" s="33" t="str">
        <f aca="false">IF(G157="","",IFERROR(INDEX(Settings!$D$5:$D$8,MATCH(G157,Settings!$A$5:$A$8,0)),""))</f>
        <v/>
      </c>
      <c r="AH157" s="25" t="str">
        <f aca="false">IF(G157="","",IF(AF157="","No",IF(AF157&lt;=AG157,"Yes","No")))</f>
        <v/>
      </c>
      <c r="AI157" s="25" t="str">
        <f aca="false">IF(G157="","",IF(L157="","N/A - Not Detected",IF(AND(X157="",Y157="",Z157=""),"No Containment Action",IF(Z157="",IF(Y157&lt;&gt;"","C2 Persisted","Host Isolation Gap"),IF(AF157&lt;=AG157,"Contained - Within SLA","Contained - SLA Breach")))))</f>
        <v/>
      </c>
      <c r="AJ157" s="25" t="str">
        <f aca="false">IF(G157="","",IF(Z157&lt;&gt;"",1,0))</f>
        <v/>
      </c>
      <c r="AK157" s="34"/>
      <c r="AL157" s="34"/>
      <c r="AM157" s="35"/>
      <c r="AN157" s="34"/>
      <c r="AO157" s="34"/>
      <c r="AP157" s="35"/>
      <c r="AQ157" s="34"/>
      <c r="AR157" s="34"/>
      <c r="AS157" s="34"/>
      <c r="AT157" s="35"/>
      <c r="AU157" s="35"/>
    </row>
    <row r="158" customFormat="false" ht="15" hidden="false" customHeight="false" outlineLevel="0" collapsed="false">
      <c r="A158" s="24"/>
      <c r="B158" s="24"/>
      <c r="C158" s="24"/>
      <c r="D158" s="24"/>
      <c r="E158" s="24"/>
      <c r="F158" s="24"/>
      <c r="G158" s="24"/>
      <c r="H158" s="24"/>
      <c r="I158" s="32"/>
      <c r="J158" s="32"/>
      <c r="K158" s="32"/>
      <c r="L158" s="32"/>
      <c r="M158" s="24"/>
      <c r="N158" s="24"/>
      <c r="O158" s="24"/>
      <c r="P158" s="33" t="str">
        <f aca="false">IF(AND(G158&lt;&gt;"",I158&lt;&gt;"",J158&lt;&gt;""),(J158-I158)*1440,"")</f>
        <v/>
      </c>
      <c r="Q158" s="33" t="str">
        <f aca="false">IF(AND(G158&lt;&gt;"",J158&lt;&gt;"",K158&lt;&gt;""),(K158-J158)*1440,"")</f>
        <v/>
      </c>
      <c r="R158" s="33" t="str">
        <f aca="false">IF(AND(G158&lt;&gt;"",K158&lt;&gt;"",L158&lt;&gt;""),(L158-K158)*1440,"")</f>
        <v/>
      </c>
      <c r="S158" s="33" t="str">
        <f aca="false">IF(AND(G158&lt;&gt;"",I158&lt;&gt;"",L158&lt;&gt;""),(L158-I158)*1440,"")</f>
        <v/>
      </c>
      <c r="T158" s="33" t="str">
        <f aca="false">IF(G158="","",IFERROR(INDEX(Settings!$B$5:$B$8,MATCH(G158,Settings!$A$5:$A$8,0)),""))</f>
        <v/>
      </c>
      <c r="U158" s="25" t="str">
        <f aca="false">IF(G158="","",IF(S158="","No",IF(S158&lt;=T158,"Yes","No")))</f>
        <v/>
      </c>
      <c r="V158" s="25" t="str">
        <f aca="false">IF(G158="","",IF(AND(J158="",K158="",L158=""),"Telemetry Blind Spot",IF(AND(K158="",L158=""),"Missed Alert",IF(L158="","Triage Delay",IF(S158&lt;=T158,"Detected - Within SLA",IF(AND(R158&lt;&gt;"",R158&gt;IFERROR(INDEX(Settings!$C$5:$C$8,MATCH(G158,Settings!$A$5:$A$8,0)),1E+099)),"Triage Delay","Detected - SLA Breach"))))))</f>
        <v/>
      </c>
      <c r="W158" s="25" t="str">
        <f aca="false">IF(G158="","",IF(L158&lt;&gt;"",1,0))</f>
        <v/>
      </c>
      <c r="X158" s="32"/>
      <c r="Y158" s="32"/>
      <c r="Z158" s="32"/>
      <c r="AA158" s="24"/>
      <c r="AB158" s="24"/>
      <c r="AC158" s="33" t="str">
        <f aca="false">IF(AND(G158&lt;&gt;"",L158&lt;&gt;"",X158&lt;&gt;""),(X158-L158)*1440,"")</f>
        <v/>
      </c>
      <c r="AD158" s="33" t="str">
        <f aca="false">IF(AND(G158&lt;&gt;"",X158&lt;&gt;"",Y158&lt;&gt;""),(Y158-X158)*1440,"")</f>
        <v/>
      </c>
      <c r="AE158" s="33" t="str">
        <f aca="false">IF(AND(G158&lt;&gt;"",Y158&lt;&gt;"",Z158&lt;&gt;""),(Z158-Y158)*1440,"")</f>
        <v/>
      </c>
      <c r="AF158" s="33" t="str">
        <f aca="false">IF(AND(G158&lt;&gt;"",L158&lt;&gt;"",Z158&lt;&gt;""),(Z158-L158)*1440,"")</f>
        <v/>
      </c>
      <c r="AG158" s="33" t="str">
        <f aca="false">IF(G158="","",IFERROR(INDEX(Settings!$D$5:$D$8,MATCH(G158,Settings!$A$5:$A$8,0)),""))</f>
        <v/>
      </c>
      <c r="AH158" s="25" t="str">
        <f aca="false">IF(G158="","",IF(AF158="","No",IF(AF158&lt;=AG158,"Yes","No")))</f>
        <v/>
      </c>
      <c r="AI158" s="25" t="str">
        <f aca="false">IF(G158="","",IF(L158="","N/A - Not Detected",IF(AND(X158="",Y158="",Z158=""),"No Containment Action",IF(Z158="",IF(Y158&lt;&gt;"","C2 Persisted","Host Isolation Gap"),IF(AF158&lt;=AG158,"Contained - Within SLA","Contained - SLA Breach")))))</f>
        <v/>
      </c>
      <c r="AJ158" s="25" t="str">
        <f aca="false">IF(G158="","",IF(Z158&lt;&gt;"",1,0))</f>
        <v/>
      </c>
      <c r="AK158" s="34"/>
      <c r="AL158" s="34"/>
      <c r="AM158" s="35"/>
      <c r="AN158" s="34"/>
      <c r="AO158" s="34"/>
      <c r="AP158" s="35"/>
      <c r="AQ158" s="34"/>
      <c r="AR158" s="34"/>
      <c r="AS158" s="34"/>
      <c r="AT158" s="35"/>
      <c r="AU158" s="35"/>
    </row>
    <row r="159" customFormat="false" ht="15" hidden="false" customHeight="false" outlineLevel="0" collapsed="false">
      <c r="A159" s="24"/>
      <c r="B159" s="24"/>
      <c r="C159" s="24"/>
      <c r="D159" s="24"/>
      <c r="E159" s="24"/>
      <c r="F159" s="24"/>
      <c r="G159" s="24"/>
      <c r="H159" s="24"/>
      <c r="I159" s="32"/>
      <c r="J159" s="32"/>
      <c r="K159" s="32"/>
      <c r="L159" s="32"/>
      <c r="M159" s="24"/>
      <c r="N159" s="24"/>
      <c r="O159" s="24"/>
      <c r="P159" s="33" t="str">
        <f aca="false">IF(AND(G159&lt;&gt;"",I159&lt;&gt;"",J159&lt;&gt;""),(J159-I159)*1440,"")</f>
        <v/>
      </c>
      <c r="Q159" s="33" t="str">
        <f aca="false">IF(AND(G159&lt;&gt;"",J159&lt;&gt;"",K159&lt;&gt;""),(K159-J159)*1440,"")</f>
        <v/>
      </c>
      <c r="R159" s="33" t="str">
        <f aca="false">IF(AND(G159&lt;&gt;"",K159&lt;&gt;"",L159&lt;&gt;""),(L159-K159)*1440,"")</f>
        <v/>
      </c>
      <c r="S159" s="33" t="str">
        <f aca="false">IF(AND(G159&lt;&gt;"",I159&lt;&gt;"",L159&lt;&gt;""),(L159-I159)*1440,"")</f>
        <v/>
      </c>
      <c r="T159" s="33" t="str">
        <f aca="false">IF(G159="","",IFERROR(INDEX(Settings!$B$5:$B$8,MATCH(G159,Settings!$A$5:$A$8,0)),""))</f>
        <v/>
      </c>
      <c r="U159" s="25" t="str">
        <f aca="false">IF(G159="","",IF(S159="","No",IF(S159&lt;=T159,"Yes","No")))</f>
        <v/>
      </c>
      <c r="V159" s="25" t="str">
        <f aca="false">IF(G159="","",IF(AND(J159="",K159="",L159=""),"Telemetry Blind Spot",IF(AND(K159="",L159=""),"Missed Alert",IF(L159="","Triage Delay",IF(S159&lt;=T159,"Detected - Within SLA",IF(AND(R159&lt;&gt;"",R159&gt;IFERROR(INDEX(Settings!$C$5:$C$8,MATCH(G159,Settings!$A$5:$A$8,0)),1E+099)),"Triage Delay","Detected - SLA Breach"))))))</f>
        <v/>
      </c>
      <c r="W159" s="25" t="str">
        <f aca="false">IF(G159="","",IF(L159&lt;&gt;"",1,0))</f>
        <v/>
      </c>
      <c r="X159" s="32"/>
      <c r="Y159" s="32"/>
      <c r="Z159" s="32"/>
      <c r="AA159" s="24"/>
      <c r="AB159" s="24"/>
      <c r="AC159" s="33" t="str">
        <f aca="false">IF(AND(G159&lt;&gt;"",L159&lt;&gt;"",X159&lt;&gt;""),(X159-L159)*1440,"")</f>
        <v/>
      </c>
      <c r="AD159" s="33" t="str">
        <f aca="false">IF(AND(G159&lt;&gt;"",X159&lt;&gt;"",Y159&lt;&gt;""),(Y159-X159)*1440,"")</f>
        <v/>
      </c>
      <c r="AE159" s="33" t="str">
        <f aca="false">IF(AND(G159&lt;&gt;"",Y159&lt;&gt;"",Z159&lt;&gt;""),(Z159-Y159)*1440,"")</f>
        <v/>
      </c>
      <c r="AF159" s="33" t="str">
        <f aca="false">IF(AND(G159&lt;&gt;"",L159&lt;&gt;"",Z159&lt;&gt;""),(Z159-L159)*1440,"")</f>
        <v/>
      </c>
      <c r="AG159" s="33" t="str">
        <f aca="false">IF(G159="","",IFERROR(INDEX(Settings!$D$5:$D$8,MATCH(G159,Settings!$A$5:$A$8,0)),""))</f>
        <v/>
      </c>
      <c r="AH159" s="25" t="str">
        <f aca="false">IF(G159="","",IF(AF159="","No",IF(AF159&lt;=AG159,"Yes","No")))</f>
        <v/>
      </c>
      <c r="AI159" s="25" t="str">
        <f aca="false">IF(G159="","",IF(L159="","N/A - Not Detected",IF(AND(X159="",Y159="",Z159=""),"No Containment Action",IF(Z159="",IF(Y159&lt;&gt;"","C2 Persisted","Host Isolation Gap"),IF(AF159&lt;=AG159,"Contained - Within SLA","Contained - SLA Breach")))))</f>
        <v/>
      </c>
      <c r="AJ159" s="25" t="str">
        <f aca="false">IF(G159="","",IF(Z159&lt;&gt;"",1,0))</f>
        <v/>
      </c>
      <c r="AK159" s="34"/>
      <c r="AL159" s="34"/>
      <c r="AM159" s="35"/>
      <c r="AN159" s="34"/>
      <c r="AO159" s="34"/>
      <c r="AP159" s="35"/>
      <c r="AQ159" s="34"/>
      <c r="AR159" s="34"/>
      <c r="AS159" s="34"/>
      <c r="AT159" s="35"/>
      <c r="AU159" s="35"/>
    </row>
    <row r="160" customFormat="false" ht="15" hidden="false" customHeight="false" outlineLevel="0" collapsed="false">
      <c r="A160" s="24"/>
      <c r="B160" s="24"/>
      <c r="C160" s="24"/>
      <c r="D160" s="24"/>
      <c r="E160" s="24"/>
      <c r="F160" s="24"/>
      <c r="G160" s="24"/>
      <c r="H160" s="24"/>
      <c r="I160" s="32"/>
      <c r="J160" s="32"/>
      <c r="K160" s="32"/>
      <c r="L160" s="32"/>
      <c r="M160" s="24"/>
      <c r="N160" s="24"/>
      <c r="O160" s="24"/>
      <c r="P160" s="33" t="str">
        <f aca="false">IF(AND(G160&lt;&gt;"",I160&lt;&gt;"",J160&lt;&gt;""),(J160-I160)*1440,"")</f>
        <v/>
      </c>
      <c r="Q160" s="33" t="str">
        <f aca="false">IF(AND(G160&lt;&gt;"",J160&lt;&gt;"",K160&lt;&gt;""),(K160-J160)*1440,"")</f>
        <v/>
      </c>
      <c r="R160" s="33" t="str">
        <f aca="false">IF(AND(G160&lt;&gt;"",K160&lt;&gt;"",L160&lt;&gt;""),(L160-K160)*1440,"")</f>
        <v/>
      </c>
      <c r="S160" s="33" t="str">
        <f aca="false">IF(AND(G160&lt;&gt;"",I160&lt;&gt;"",L160&lt;&gt;""),(L160-I160)*1440,"")</f>
        <v/>
      </c>
      <c r="T160" s="33" t="str">
        <f aca="false">IF(G160="","",IFERROR(INDEX(Settings!$B$5:$B$8,MATCH(G160,Settings!$A$5:$A$8,0)),""))</f>
        <v/>
      </c>
      <c r="U160" s="25" t="str">
        <f aca="false">IF(G160="","",IF(S160="","No",IF(S160&lt;=T160,"Yes","No")))</f>
        <v/>
      </c>
      <c r="V160" s="25" t="str">
        <f aca="false">IF(G160="","",IF(AND(J160="",K160="",L160=""),"Telemetry Blind Spot",IF(AND(K160="",L160=""),"Missed Alert",IF(L160="","Triage Delay",IF(S160&lt;=T160,"Detected - Within SLA",IF(AND(R160&lt;&gt;"",R160&gt;IFERROR(INDEX(Settings!$C$5:$C$8,MATCH(G160,Settings!$A$5:$A$8,0)),1E+099)),"Triage Delay","Detected - SLA Breach"))))))</f>
        <v/>
      </c>
      <c r="W160" s="25" t="str">
        <f aca="false">IF(G160="","",IF(L160&lt;&gt;"",1,0))</f>
        <v/>
      </c>
      <c r="X160" s="32"/>
      <c r="Y160" s="32"/>
      <c r="Z160" s="32"/>
      <c r="AA160" s="24"/>
      <c r="AB160" s="24"/>
      <c r="AC160" s="33" t="str">
        <f aca="false">IF(AND(G160&lt;&gt;"",L160&lt;&gt;"",X160&lt;&gt;""),(X160-L160)*1440,"")</f>
        <v/>
      </c>
      <c r="AD160" s="33" t="str">
        <f aca="false">IF(AND(G160&lt;&gt;"",X160&lt;&gt;"",Y160&lt;&gt;""),(Y160-X160)*1440,"")</f>
        <v/>
      </c>
      <c r="AE160" s="33" t="str">
        <f aca="false">IF(AND(G160&lt;&gt;"",Y160&lt;&gt;"",Z160&lt;&gt;""),(Z160-Y160)*1440,"")</f>
        <v/>
      </c>
      <c r="AF160" s="33" t="str">
        <f aca="false">IF(AND(G160&lt;&gt;"",L160&lt;&gt;"",Z160&lt;&gt;""),(Z160-L160)*1440,"")</f>
        <v/>
      </c>
      <c r="AG160" s="33" t="str">
        <f aca="false">IF(G160="","",IFERROR(INDEX(Settings!$D$5:$D$8,MATCH(G160,Settings!$A$5:$A$8,0)),""))</f>
        <v/>
      </c>
      <c r="AH160" s="25" t="str">
        <f aca="false">IF(G160="","",IF(AF160="","No",IF(AF160&lt;=AG160,"Yes","No")))</f>
        <v/>
      </c>
      <c r="AI160" s="25" t="str">
        <f aca="false">IF(G160="","",IF(L160="","N/A - Not Detected",IF(AND(X160="",Y160="",Z160=""),"No Containment Action",IF(Z160="",IF(Y160&lt;&gt;"","C2 Persisted","Host Isolation Gap"),IF(AF160&lt;=AG160,"Contained - Within SLA","Contained - SLA Breach")))))</f>
        <v/>
      </c>
      <c r="AJ160" s="25" t="str">
        <f aca="false">IF(G160="","",IF(Z160&lt;&gt;"",1,0))</f>
        <v/>
      </c>
      <c r="AK160" s="34"/>
      <c r="AL160" s="34"/>
      <c r="AM160" s="35"/>
      <c r="AN160" s="34"/>
      <c r="AO160" s="34"/>
      <c r="AP160" s="35"/>
      <c r="AQ160" s="34"/>
      <c r="AR160" s="34"/>
      <c r="AS160" s="34"/>
      <c r="AT160" s="35"/>
      <c r="AU160" s="35"/>
    </row>
    <row r="161" customFormat="false" ht="15" hidden="false" customHeight="false" outlineLevel="0" collapsed="false">
      <c r="A161" s="24"/>
      <c r="B161" s="24"/>
      <c r="C161" s="24"/>
      <c r="D161" s="24"/>
      <c r="E161" s="24"/>
      <c r="F161" s="24"/>
      <c r="G161" s="24"/>
      <c r="H161" s="24"/>
      <c r="I161" s="32"/>
      <c r="J161" s="32"/>
      <c r="K161" s="32"/>
      <c r="L161" s="32"/>
      <c r="M161" s="24"/>
      <c r="N161" s="24"/>
      <c r="O161" s="24"/>
      <c r="P161" s="33" t="str">
        <f aca="false">IF(AND(G161&lt;&gt;"",I161&lt;&gt;"",J161&lt;&gt;""),(J161-I161)*1440,"")</f>
        <v/>
      </c>
      <c r="Q161" s="33" t="str">
        <f aca="false">IF(AND(G161&lt;&gt;"",J161&lt;&gt;"",K161&lt;&gt;""),(K161-J161)*1440,"")</f>
        <v/>
      </c>
      <c r="R161" s="33" t="str">
        <f aca="false">IF(AND(G161&lt;&gt;"",K161&lt;&gt;"",L161&lt;&gt;""),(L161-K161)*1440,"")</f>
        <v/>
      </c>
      <c r="S161" s="33" t="str">
        <f aca="false">IF(AND(G161&lt;&gt;"",I161&lt;&gt;"",L161&lt;&gt;""),(L161-I161)*1440,"")</f>
        <v/>
      </c>
      <c r="T161" s="33" t="str">
        <f aca="false">IF(G161="","",IFERROR(INDEX(Settings!$B$5:$B$8,MATCH(G161,Settings!$A$5:$A$8,0)),""))</f>
        <v/>
      </c>
      <c r="U161" s="25" t="str">
        <f aca="false">IF(G161="","",IF(S161="","No",IF(S161&lt;=T161,"Yes","No")))</f>
        <v/>
      </c>
      <c r="V161" s="25" t="str">
        <f aca="false">IF(G161="","",IF(AND(J161="",K161="",L161=""),"Telemetry Blind Spot",IF(AND(K161="",L161=""),"Missed Alert",IF(L161="","Triage Delay",IF(S161&lt;=T161,"Detected - Within SLA",IF(AND(R161&lt;&gt;"",R161&gt;IFERROR(INDEX(Settings!$C$5:$C$8,MATCH(G161,Settings!$A$5:$A$8,0)),1E+099)),"Triage Delay","Detected - SLA Breach"))))))</f>
        <v/>
      </c>
      <c r="W161" s="25" t="str">
        <f aca="false">IF(G161="","",IF(L161&lt;&gt;"",1,0))</f>
        <v/>
      </c>
      <c r="X161" s="32"/>
      <c r="Y161" s="32"/>
      <c r="Z161" s="32"/>
      <c r="AA161" s="24"/>
      <c r="AB161" s="24"/>
      <c r="AC161" s="33" t="str">
        <f aca="false">IF(AND(G161&lt;&gt;"",L161&lt;&gt;"",X161&lt;&gt;""),(X161-L161)*1440,"")</f>
        <v/>
      </c>
      <c r="AD161" s="33" t="str">
        <f aca="false">IF(AND(G161&lt;&gt;"",X161&lt;&gt;"",Y161&lt;&gt;""),(Y161-X161)*1440,"")</f>
        <v/>
      </c>
      <c r="AE161" s="33" t="str">
        <f aca="false">IF(AND(G161&lt;&gt;"",Y161&lt;&gt;"",Z161&lt;&gt;""),(Z161-Y161)*1440,"")</f>
        <v/>
      </c>
      <c r="AF161" s="33" t="str">
        <f aca="false">IF(AND(G161&lt;&gt;"",L161&lt;&gt;"",Z161&lt;&gt;""),(Z161-L161)*1440,"")</f>
        <v/>
      </c>
      <c r="AG161" s="33" t="str">
        <f aca="false">IF(G161="","",IFERROR(INDEX(Settings!$D$5:$D$8,MATCH(G161,Settings!$A$5:$A$8,0)),""))</f>
        <v/>
      </c>
      <c r="AH161" s="25" t="str">
        <f aca="false">IF(G161="","",IF(AF161="","No",IF(AF161&lt;=AG161,"Yes","No")))</f>
        <v/>
      </c>
      <c r="AI161" s="25" t="str">
        <f aca="false">IF(G161="","",IF(L161="","N/A - Not Detected",IF(AND(X161="",Y161="",Z161=""),"No Containment Action",IF(Z161="",IF(Y161&lt;&gt;"","C2 Persisted","Host Isolation Gap"),IF(AF161&lt;=AG161,"Contained - Within SLA","Contained - SLA Breach")))))</f>
        <v/>
      </c>
      <c r="AJ161" s="25" t="str">
        <f aca="false">IF(G161="","",IF(Z161&lt;&gt;"",1,0))</f>
        <v/>
      </c>
      <c r="AK161" s="34"/>
      <c r="AL161" s="34"/>
      <c r="AM161" s="35"/>
      <c r="AN161" s="34"/>
      <c r="AO161" s="34"/>
      <c r="AP161" s="35"/>
      <c r="AQ161" s="34"/>
      <c r="AR161" s="34"/>
      <c r="AS161" s="34"/>
      <c r="AT161" s="35"/>
      <c r="AU161" s="35"/>
    </row>
    <row r="162" customFormat="false" ht="15" hidden="false" customHeight="false" outlineLevel="0" collapsed="false">
      <c r="A162" s="24"/>
      <c r="B162" s="24"/>
      <c r="C162" s="24"/>
      <c r="D162" s="24"/>
      <c r="E162" s="24"/>
      <c r="F162" s="24"/>
      <c r="G162" s="24"/>
      <c r="H162" s="24"/>
      <c r="I162" s="32"/>
      <c r="J162" s="32"/>
      <c r="K162" s="32"/>
      <c r="L162" s="32"/>
      <c r="M162" s="24"/>
      <c r="N162" s="24"/>
      <c r="O162" s="24"/>
      <c r="P162" s="33" t="str">
        <f aca="false">IF(AND(G162&lt;&gt;"",I162&lt;&gt;"",J162&lt;&gt;""),(J162-I162)*1440,"")</f>
        <v/>
      </c>
      <c r="Q162" s="33" t="str">
        <f aca="false">IF(AND(G162&lt;&gt;"",J162&lt;&gt;"",K162&lt;&gt;""),(K162-J162)*1440,"")</f>
        <v/>
      </c>
      <c r="R162" s="33" t="str">
        <f aca="false">IF(AND(G162&lt;&gt;"",K162&lt;&gt;"",L162&lt;&gt;""),(L162-K162)*1440,"")</f>
        <v/>
      </c>
      <c r="S162" s="33" t="str">
        <f aca="false">IF(AND(G162&lt;&gt;"",I162&lt;&gt;"",L162&lt;&gt;""),(L162-I162)*1440,"")</f>
        <v/>
      </c>
      <c r="T162" s="33" t="str">
        <f aca="false">IF(G162="","",IFERROR(INDEX(Settings!$B$5:$B$8,MATCH(G162,Settings!$A$5:$A$8,0)),""))</f>
        <v/>
      </c>
      <c r="U162" s="25" t="str">
        <f aca="false">IF(G162="","",IF(S162="","No",IF(S162&lt;=T162,"Yes","No")))</f>
        <v/>
      </c>
      <c r="V162" s="25" t="str">
        <f aca="false">IF(G162="","",IF(AND(J162="",K162="",L162=""),"Telemetry Blind Spot",IF(AND(K162="",L162=""),"Missed Alert",IF(L162="","Triage Delay",IF(S162&lt;=T162,"Detected - Within SLA",IF(AND(R162&lt;&gt;"",R162&gt;IFERROR(INDEX(Settings!$C$5:$C$8,MATCH(G162,Settings!$A$5:$A$8,0)),1E+099)),"Triage Delay","Detected - SLA Breach"))))))</f>
        <v/>
      </c>
      <c r="W162" s="25" t="str">
        <f aca="false">IF(G162="","",IF(L162&lt;&gt;"",1,0))</f>
        <v/>
      </c>
      <c r="X162" s="32"/>
      <c r="Y162" s="32"/>
      <c r="Z162" s="32"/>
      <c r="AA162" s="24"/>
      <c r="AB162" s="24"/>
      <c r="AC162" s="33" t="str">
        <f aca="false">IF(AND(G162&lt;&gt;"",L162&lt;&gt;"",X162&lt;&gt;""),(X162-L162)*1440,"")</f>
        <v/>
      </c>
      <c r="AD162" s="33" t="str">
        <f aca="false">IF(AND(G162&lt;&gt;"",X162&lt;&gt;"",Y162&lt;&gt;""),(Y162-X162)*1440,"")</f>
        <v/>
      </c>
      <c r="AE162" s="33" t="str">
        <f aca="false">IF(AND(G162&lt;&gt;"",Y162&lt;&gt;"",Z162&lt;&gt;""),(Z162-Y162)*1440,"")</f>
        <v/>
      </c>
      <c r="AF162" s="33" t="str">
        <f aca="false">IF(AND(G162&lt;&gt;"",L162&lt;&gt;"",Z162&lt;&gt;""),(Z162-L162)*1440,"")</f>
        <v/>
      </c>
      <c r="AG162" s="33" t="str">
        <f aca="false">IF(G162="","",IFERROR(INDEX(Settings!$D$5:$D$8,MATCH(G162,Settings!$A$5:$A$8,0)),""))</f>
        <v/>
      </c>
      <c r="AH162" s="25" t="str">
        <f aca="false">IF(G162="","",IF(AF162="","No",IF(AF162&lt;=AG162,"Yes","No")))</f>
        <v/>
      </c>
      <c r="AI162" s="25" t="str">
        <f aca="false">IF(G162="","",IF(L162="","N/A - Not Detected",IF(AND(X162="",Y162="",Z162=""),"No Containment Action",IF(Z162="",IF(Y162&lt;&gt;"","C2 Persisted","Host Isolation Gap"),IF(AF162&lt;=AG162,"Contained - Within SLA","Contained - SLA Breach")))))</f>
        <v/>
      </c>
      <c r="AJ162" s="25" t="str">
        <f aca="false">IF(G162="","",IF(Z162&lt;&gt;"",1,0))</f>
        <v/>
      </c>
      <c r="AK162" s="34"/>
      <c r="AL162" s="34"/>
      <c r="AM162" s="35"/>
      <c r="AN162" s="34"/>
      <c r="AO162" s="34"/>
      <c r="AP162" s="35"/>
      <c r="AQ162" s="34"/>
      <c r="AR162" s="34"/>
      <c r="AS162" s="34"/>
      <c r="AT162" s="35"/>
      <c r="AU162" s="35"/>
    </row>
    <row r="163" customFormat="false" ht="15" hidden="false" customHeight="false" outlineLevel="0" collapsed="false">
      <c r="A163" s="24"/>
      <c r="B163" s="24"/>
      <c r="C163" s="24"/>
      <c r="D163" s="24"/>
      <c r="E163" s="24"/>
      <c r="F163" s="24"/>
      <c r="G163" s="24"/>
      <c r="H163" s="24"/>
      <c r="I163" s="32"/>
      <c r="J163" s="32"/>
      <c r="K163" s="32"/>
      <c r="L163" s="32"/>
      <c r="M163" s="24"/>
      <c r="N163" s="24"/>
      <c r="O163" s="24"/>
      <c r="P163" s="33" t="str">
        <f aca="false">IF(AND(G163&lt;&gt;"",I163&lt;&gt;"",J163&lt;&gt;""),(J163-I163)*1440,"")</f>
        <v/>
      </c>
      <c r="Q163" s="33" t="str">
        <f aca="false">IF(AND(G163&lt;&gt;"",J163&lt;&gt;"",K163&lt;&gt;""),(K163-J163)*1440,"")</f>
        <v/>
      </c>
      <c r="R163" s="33" t="str">
        <f aca="false">IF(AND(G163&lt;&gt;"",K163&lt;&gt;"",L163&lt;&gt;""),(L163-K163)*1440,"")</f>
        <v/>
      </c>
      <c r="S163" s="33" t="str">
        <f aca="false">IF(AND(G163&lt;&gt;"",I163&lt;&gt;"",L163&lt;&gt;""),(L163-I163)*1440,"")</f>
        <v/>
      </c>
      <c r="T163" s="33" t="str">
        <f aca="false">IF(G163="","",IFERROR(INDEX(Settings!$B$5:$B$8,MATCH(G163,Settings!$A$5:$A$8,0)),""))</f>
        <v/>
      </c>
      <c r="U163" s="25" t="str">
        <f aca="false">IF(G163="","",IF(S163="","No",IF(S163&lt;=T163,"Yes","No")))</f>
        <v/>
      </c>
      <c r="V163" s="25" t="str">
        <f aca="false">IF(G163="","",IF(AND(J163="",K163="",L163=""),"Telemetry Blind Spot",IF(AND(K163="",L163=""),"Missed Alert",IF(L163="","Triage Delay",IF(S163&lt;=T163,"Detected - Within SLA",IF(AND(R163&lt;&gt;"",R163&gt;IFERROR(INDEX(Settings!$C$5:$C$8,MATCH(G163,Settings!$A$5:$A$8,0)),1E+099)),"Triage Delay","Detected - SLA Breach"))))))</f>
        <v/>
      </c>
      <c r="W163" s="25" t="str">
        <f aca="false">IF(G163="","",IF(L163&lt;&gt;"",1,0))</f>
        <v/>
      </c>
      <c r="X163" s="32"/>
      <c r="Y163" s="32"/>
      <c r="Z163" s="32"/>
      <c r="AA163" s="24"/>
      <c r="AB163" s="24"/>
      <c r="AC163" s="33" t="str">
        <f aca="false">IF(AND(G163&lt;&gt;"",L163&lt;&gt;"",X163&lt;&gt;""),(X163-L163)*1440,"")</f>
        <v/>
      </c>
      <c r="AD163" s="33" t="str">
        <f aca="false">IF(AND(G163&lt;&gt;"",X163&lt;&gt;"",Y163&lt;&gt;""),(Y163-X163)*1440,"")</f>
        <v/>
      </c>
      <c r="AE163" s="33" t="str">
        <f aca="false">IF(AND(G163&lt;&gt;"",Y163&lt;&gt;"",Z163&lt;&gt;""),(Z163-Y163)*1440,"")</f>
        <v/>
      </c>
      <c r="AF163" s="33" t="str">
        <f aca="false">IF(AND(G163&lt;&gt;"",L163&lt;&gt;"",Z163&lt;&gt;""),(Z163-L163)*1440,"")</f>
        <v/>
      </c>
      <c r="AG163" s="33" t="str">
        <f aca="false">IF(G163="","",IFERROR(INDEX(Settings!$D$5:$D$8,MATCH(G163,Settings!$A$5:$A$8,0)),""))</f>
        <v/>
      </c>
      <c r="AH163" s="25" t="str">
        <f aca="false">IF(G163="","",IF(AF163="","No",IF(AF163&lt;=AG163,"Yes","No")))</f>
        <v/>
      </c>
      <c r="AI163" s="25" t="str">
        <f aca="false">IF(G163="","",IF(L163="","N/A - Not Detected",IF(AND(X163="",Y163="",Z163=""),"No Containment Action",IF(Z163="",IF(Y163&lt;&gt;"","C2 Persisted","Host Isolation Gap"),IF(AF163&lt;=AG163,"Contained - Within SLA","Contained - SLA Breach")))))</f>
        <v/>
      </c>
      <c r="AJ163" s="25" t="str">
        <f aca="false">IF(G163="","",IF(Z163&lt;&gt;"",1,0))</f>
        <v/>
      </c>
      <c r="AK163" s="34"/>
      <c r="AL163" s="34"/>
      <c r="AM163" s="35"/>
      <c r="AN163" s="34"/>
      <c r="AO163" s="34"/>
      <c r="AP163" s="35"/>
      <c r="AQ163" s="34"/>
      <c r="AR163" s="34"/>
      <c r="AS163" s="34"/>
      <c r="AT163" s="35"/>
      <c r="AU163" s="35"/>
    </row>
    <row r="164" customFormat="false" ht="15" hidden="false" customHeight="false" outlineLevel="0" collapsed="false">
      <c r="A164" s="24"/>
      <c r="B164" s="24"/>
      <c r="C164" s="24"/>
      <c r="D164" s="24"/>
      <c r="E164" s="24"/>
      <c r="F164" s="24"/>
      <c r="G164" s="24"/>
      <c r="H164" s="24"/>
      <c r="I164" s="32"/>
      <c r="J164" s="32"/>
      <c r="K164" s="32"/>
      <c r="L164" s="32"/>
      <c r="M164" s="24"/>
      <c r="N164" s="24"/>
      <c r="O164" s="24"/>
      <c r="P164" s="33" t="str">
        <f aca="false">IF(AND(G164&lt;&gt;"",I164&lt;&gt;"",J164&lt;&gt;""),(J164-I164)*1440,"")</f>
        <v/>
      </c>
      <c r="Q164" s="33" t="str">
        <f aca="false">IF(AND(G164&lt;&gt;"",J164&lt;&gt;"",K164&lt;&gt;""),(K164-J164)*1440,"")</f>
        <v/>
      </c>
      <c r="R164" s="33" t="str">
        <f aca="false">IF(AND(G164&lt;&gt;"",K164&lt;&gt;"",L164&lt;&gt;""),(L164-K164)*1440,"")</f>
        <v/>
      </c>
      <c r="S164" s="33" t="str">
        <f aca="false">IF(AND(G164&lt;&gt;"",I164&lt;&gt;"",L164&lt;&gt;""),(L164-I164)*1440,"")</f>
        <v/>
      </c>
      <c r="T164" s="33" t="str">
        <f aca="false">IF(G164="","",IFERROR(INDEX(Settings!$B$5:$B$8,MATCH(G164,Settings!$A$5:$A$8,0)),""))</f>
        <v/>
      </c>
      <c r="U164" s="25" t="str">
        <f aca="false">IF(G164="","",IF(S164="","No",IF(S164&lt;=T164,"Yes","No")))</f>
        <v/>
      </c>
      <c r="V164" s="25" t="str">
        <f aca="false">IF(G164="","",IF(AND(J164="",K164="",L164=""),"Telemetry Blind Spot",IF(AND(K164="",L164=""),"Missed Alert",IF(L164="","Triage Delay",IF(S164&lt;=T164,"Detected - Within SLA",IF(AND(R164&lt;&gt;"",R164&gt;IFERROR(INDEX(Settings!$C$5:$C$8,MATCH(G164,Settings!$A$5:$A$8,0)),1E+099)),"Triage Delay","Detected - SLA Breach"))))))</f>
        <v/>
      </c>
      <c r="W164" s="25" t="str">
        <f aca="false">IF(G164="","",IF(L164&lt;&gt;"",1,0))</f>
        <v/>
      </c>
      <c r="X164" s="32"/>
      <c r="Y164" s="32"/>
      <c r="Z164" s="32"/>
      <c r="AA164" s="24"/>
      <c r="AB164" s="24"/>
      <c r="AC164" s="33" t="str">
        <f aca="false">IF(AND(G164&lt;&gt;"",L164&lt;&gt;"",X164&lt;&gt;""),(X164-L164)*1440,"")</f>
        <v/>
      </c>
      <c r="AD164" s="33" t="str">
        <f aca="false">IF(AND(G164&lt;&gt;"",X164&lt;&gt;"",Y164&lt;&gt;""),(Y164-X164)*1440,"")</f>
        <v/>
      </c>
      <c r="AE164" s="33" t="str">
        <f aca="false">IF(AND(G164&lt;&gt;"",Y164&lt;&gt;"",Z164&lt;&gt;""),(Z164-Y164)*1440,"")</f>
        <v/>
      </c>
      <c r="AF164" s="33" t="str">
        <f aca="false">IF(AND(G164&lt;&gt;"",L164&lt;&gt;"",Z164&lt;&gt;""),(Z164-L164)*1440,"")</f>
        <v/>
      </c>
      <c r="AG164" s="33" t="str">
        <f aca="false">IF(G164="","",IFERROR(INDEX(Settings!$D$5:$D$8,MATCH(G164,Settings!$A$5:$A$8,0)),""))</f>
        <v/>
      </c>
      <c r="AH164" s="25" t="str">
        <f aca="false">IF(G164="","",IF(AF164="","No",IF(AF164&lt;=AG164,"Yes","No")))</f>
        <v/>
      </c>
      <c r="AI164" s="25" t="str">
        <f aca="false">IF(G164="","",IF(L164="","N/A - Not Detected",IF(AND(X164="",Y164="",Z164=""),"No Containment Action",IF(Z164="",IF(Y164&lt;&gt;"","C2 Persisted","Host Isolation Gap"),IF(AF164&lt;=AG164,"Contained - Within SLA","Contained - SLA Breach")))))</f>
        <v/>
      </c>
      <c r="AJ164" s="25" t="str">
        <f aca="false">IF(G164="","",IF(Z164&lt;&gt;"",1,0))</f>
        <v/>
      </c>
      <c r="AK164" s="34"/>
      <c r="AL164" s="34"/>
      <c r="AM164" s="35"/>
      <c r="AN164" s="34"/>
      <c r="AO164" s="34"/>
      <c r="AP164" s="35"/>
      <c r="AQ164" s="34"/>
      <c r="AR164" s="34"/>
      <c r="AS164" s="34"/>
      <c r="AT164" s="35"/>
      <c r="AU164" s="35"/>
    </row>
    <row r="165" customFormat="false" ht="15" hidden="false" customHeight="false" outlineLevel="0" collapsed="false">
      <c r="A165" s="24"/>
      <c r="B165" s="24"/>
      <c r="C165" s="24"/>
      <c r="D165" s="24"/>
      <c r="E165" s="24"/>
      <c r="F165" s="24"/>
      <c r="G165" s="24"/>
      <c r="H165" s="24"/>
      <c r="I165" s="32"/>
      <c r="J165" s="32"/>
      <c r="K165" s="32"/>
      <c r="L165" s="32"/>
      <c r="M165" s="24"/>
      <c r="N165" s="24"/>
      <c r="O165" s="24"/>
      <c r="P165" s="33" t="str">
        <f aca="false">IF(AND(G165&lt;&gt;"",I165&lt;&gt;"",J165&lt;&gt;""),(J165-I165)*1440,"")</f>
        <v/>
      </c>
      <c r="Q165" s="33" t="str">
        <f aca="false">IF(AND(G165&lt;&gt;"",J165&lt;&gt;"",K165&lt;&gt;""),(K165-J165)*1440,"")</f>
        <v/>
      </c>
      <c r="R165" s="33" t="str">
        <f aca="false">IF(AND(G165&lt;&gt;"",K165&lt;&gt;"",L165&lt;&gt;""),(L165-K165)*1440,"")</f>
        <v/>
      </c>
      <c r="S165" s="33" t="str">
        <f aca="false">IF(AND(G165&lt;&gt;"",I165&lt;&gt;"",L165&lt;&gt;""),(L165-I165)*1440,"")</f>
        <v/>
      </c>
      <c r="T165" s="33" t="str">
        <f aca="false">IF(G165="","",IFERROR(INDEX(Settings!$B$5:$B$8,MATCH(G165,Settings!$A$5:$A$8,0)),""))</f>
        <v/>
      </c>
      <c r="U165" s="25" t="str">
        <f aca="false">IF(G165="","",IF(S165="","No",IF(S165&lt;=T165,"Yes","No")))</f>
        <v/>
      </c>
      <c r="V165" s="25" t="str">
        <f aca="false">IF(G165="","",IF(AND(J165="",K165="",L165=""),"Telemetry Blind Spot",IF(AND(K165="",L165=""),"Missed Alert",IF(L165="","Triage Delay",IF(S165&lt;=T165,"Detected - Within SLA",IF(AND(R165&lt;&gt;"",R165&gt;IFERROR(INDEX(Settings!$C$5:$C$8,MATCH(G165,Settings!$A$5:$A$8,0)),1E+099)),"Triage Delay","Detected - SLA Breach"))))))</f>
        <v/>
      </c>
      <c r="W165" s="25" t="str">
        <f aca="false">IF(G165="","",IF(L165&lt;&gt;"",1,0))</f>
        <v/>
      </c>
      <c r="X165" s="32"/>
      <c r="Y165" s="32"/>
      <c r="Z165" s="32"/>
      <c r="AA165" s="24"/>
      <c r="AB165" s="24"/>
      <c r="AC165" s="33" t="str">
        <f aca="false">IF(AND(G165&lt;&gt;"",L165&lt;&gt;"",X165&lt;&gt;""),(X165-L165)*1440,"")</f>
        <v/>
      </c>
      <c r="AD165" s="33" t="str">
        <f aca="false">IF(AND(G165&lt;&gt;"",X165&lt;&gt;"",Y165&lt;&gt;""),(Y165-X165)*1440,"")</f>
        <v/>
      </c>
      <c r="AE165" s="33" t="str">
        <f aca="false">IF(AND(G165&lt;&gt;"",Y165&lt;&gt;"",Z165&lt;&gt;""),(Z165-Y165)*1440,"")</f>
        <v/>
      </c>
      <c r="AF165" s="33" t="str">
        <f aca="false">IF(AND(G165&lt;&gt;"",L165&lt;&gt;"",Z165&lt;&gt;""),(Z165-L165)*1440,"")</f>
        <v/>
      </c>
      <c r="AG165" s="33" t="str">
        <f aca="false">IF(G165="","",IFERROR(INDEX(Settings!$D$5:$D$8,MATCH(G165,Settings!$A$5:$A$8,0)),""))</f>
        <v/>
      </c>
      <c r="AH165" s="25" t="str">
        <f aca="false">IF(G165="","",IF(AF165="","No",IF(AF165&lt;=AG165,"Yes","No")))</f>
        <v/>
      </c>
      <c r="AI165" s="25" t="str">
        <f aca="false">IF(G165="","",IF(L165="","N/A - Not Detected",IF(AND(X165="",Y165="",Z165=""),"No Containment Action",IF(Z165="",IF(Y165&lt;&gt;"","C2 Persisted","Host Isolation Gap"),IF(AF165&lt;=AG165,"Contained - Within SLA","Contained - SLA Breach")))))</f>
        <v/>
      </c>
      <c r="AJ165" s="25" t="str">
        <f aca="false">IF(G165="","",IF(Z165&lt;&gt;"",1,0))</f>
        <v/>
      </c>
      <c r="AK165" s="34"/>
      <c r="AL165" s="34"/>
      <c r="AM165" s="35"/>
      <c r="AN165" s="34"/>
      <c r="AO165" s="34"/>
      <c r="AP165" s="35"/>
      <c r="AQ165" s="34"/>
      <c r="AR165" s="34"/>
      <c r="AS165" s="34"/>
      <c r="AT165" s="35"/>
      <c r="AU165" s="35"/>
    </row>
    <row r="166" customFormat="false" ht="15" hidden="false" customHeight="false" outlineLevel="0" collapsed="false">
      <c r="A166" s="24"/>
      <c r="B166" s="24"/>
      <c r="C166" s="24"/>
      <c r="D166" s="24"/>
      <c r="E166" s="24"/>
      <c r="F166" s="24"/>
      <c r="G166" s="24"/>
      <c r="H166" s="24"/>
      <c r="I166" s="32"/>
      <c r="J166" s="32"/>
      <c r="K166" s="32"/>
      <c r="L166" s="32"/>
      <c r="M166" s="24"/>
      <c r="N166" s="24"/>
      <c r="O166" s="24"/>
      <c r="P166" s="33" t="str">
        <f aca="false">IF(AND(G166&lt;&gt;"",I166&lt;&gt;"",J166&lt;&gt;""),(J166-I166)*1440,"")</f>
        <v/>
      </c>
      <c r="Q166" s="33" t="str">
        <f aca="false">IF(AND(G166&lt;&gt;"",J166&lt;&gt;"",K166&lt;&gt;""),(K166-J166)*1440,"")</f>
        <v/>
      </c>
      <c r="R166" s="33" t="str">
        <f aca="false">IF(AND(G166&lt;&gt;"",K166&lt;&gt;"",L166&lt;&gt;""),(L166-K166)*1440,"")</f>
        <v/>
      </c>
      <c r="S166" s="33" t="str">
        <f aca="false">IF(AND(G166&lt;&gt;"",I166&lt;&gt;"",L166&lt;&gt;""),(L166-I166)*1440,"")</f>
        <v/>
      </c>
      <c r="T166" s="33" t="str">
        <f aca="false">IF(G166="","",IFERROR(INDEX(Settings!$B$5:$B$8,MATCH(G166,Settings!$A$5:$A$8,0)),""))</f>
        <v/>
      </c>
      <c r="U166" s="25" t="str">
        <f aca="false">IF(G166="","",IF(S166="","No",IF(S166&lt;=T166,"Yes","No")))</f>
        <v/>
      </c>
      <c r="V166" s="25" t="str">
        <f aca="false">IF(G166="","",IF(AND(J166="",K166="",L166=""),"Telemetry Blind Spot",IF(AND(K166="",L166=""),"Missed Alert",IF(L166="","Triage Delay",IF(S166&lt;=T166,"Detected - Within SLA",IF(AND(R166&lt;&gt;"",R166&gt;IFERROR(INDEX(Settings!$C$5:$C$8,MATCH(G166,Settings!$A$5:$A$8,0)),1E+099)),"Triage Delay","Detected - SLA Breach"))))))</f>
        <v/>
      </c>
      <c r="W166" s="25" t="str">
        <f aca="false">IF(G166="","",IF(L166&lt;&gt;"",1,0))</f>
        <v/>
      </c>
      <c r="X166" s="32"/>
      <c r="Y166" s="32"/>
      <c r="Z166" s="32"/>
      <c r="AA166" s="24"/>
      <c r="AB166" s="24"/>
      <c r="AC166" s="33" t="str">
        <f aca="false">IF(AND(G166&lt;&gt;"",L166&lt;&gt;"",X166&lt;&gt;""),(X166-L166)*1440,"")</f>
        <v/>
      </c>
      <c r="AD166" s="33" t="str">
        <f aca="false">IF(AND(G166&lt;&gt;"",X166&lt;&gt;"",Y166&lt;&gt;""),(Y166-X166)*1440,"")</f>
        <v/>
      </c>
      <c r="AE166" s="33" t="str">
        <f aca="false">IF(AND(G166&lt;&gt;"",Y166&lt;&gt;"",Z166&lt;&gt;""),(Z166-Y166)*1440,"")</f>
        <v/>
      </c>
      <c r="AF166" s="33" t="str">
        <f aca="false">IF(AND(G166&lt;&gt;"",L166&lt;&gt;"",Z166&lt;&gt;""),(Z166-L166)*1440,"")</f>
        <v/>
      </c>
      <c r="AG166" s="33" t="str">
        <f aca="false">IF(G166="","",IFERROR(INDEX(Settings!$D$5:$D$8,MATCH(G166,Settings!$A$5:$A$8,0)),""))</f>
        <v/>
      </c>
      <c r="AH166" s="25" t="str">
        <f aca="false">IF(G166="","",IF(AF166="","No",IF(AF166&lt;=AG166,"Yes","No")))</f>
        <v/>
      </c>
      <c r="AI166" s="25" t="str">
        <f aca="false">IF(G166="","",IF(L166="","N/A - Not Detected",IF(AND(X166="",Y166="",Z166=""),"No Containment Action",IF(Z166="",IF(Y166&lt;&gt;"","C2 Persisted","Host Isolation Gap"),IF(AF166&lt;=AG166,"Contained - Within SLA","Contained - SLA Breach")))))</f>
        <v/>
      </c>
      <c r="AJ166" s="25" t="str">
        <f aca="false">IF(G166="","",IF(Z166&lt;&gt;"",1,0))</f>
        <v/>
      </c>
      <c r="AK166" s="34"/>
      <c r="AL166" s="34"/>
      <c r="AM166" s="35"/>
      <c r="AN166" s="34"/>
      <c r="AO166" s="34"/>
      <c r="AP166" s="35"/>
      <c r="AQ166" s="34"/>
      <c r="AR166" s="34"/>
      <c r="AS166" s="34"/>
      <c r="AT166" s="35"/>
      <c r="AU166" s="35"/>
    </row>
    <row r="167" customFormat="false" ht="15" hidden="false" customHeight="false" outlineLevel="0" collapsed="false">
      <c r="A167" s="24"/>
      <c r="B167" s="24"/>
      <c r="C167" s="24"/>
      <c r="D167" s="24"/>
      <c r="E167" s="24"/>
      <c r="F167" s="24"/>
      <c r="G167" s="24"/>
      <c r="H167" s="24"/>
      <c r="I167" s="32"/>
      <c r="J167" s="32"/>
      <c r="K167" s="32"/>
      <c r="L167" s="32"/>
      <c r="M167" s="24"/>
      <c r="N167" s="24"/>
      <c r="O167" s="24"/>
      <c r="P167" s="33" t="str">
        <f aca="false">IF(AND(G167&lt;&gt;"",I167&lt;&gt;"",J167&lt;&gt;""),(J167-I167)*1440,"")</f>
        <v/>
      </c>
      <c r="Q167" s="33" t="str">
        <f aca="false">IF(AND(G167&lt;&gt;"",J167&lt;&gt;"",K167&lt;&gt;""),(K167-J167)*1440,"")</f>
        <v/>
      </c>
      <c r="R167" s="33" t="str">
        <f aca="false">IF(AND(G167&lt;&gt;"",K167&lt;&gt;"",L167&lt;&gt;""),(L167-K167)*1440,"")</f>
        <v/>
      </c>
      <c r="S167" s="33" t="str">
        <f aca="false">IF(AND(G167&lt;&gt;"",I167&lt;&gt;"",L167&lt;&gt;""),(L167-I167)*1440,"")</f>
        <v/>
      </c>
      <c r="T167" s="33" t="str">
        <f aca="false">IF(G167="","",IFERROR(INDEX(Settings!$B$5:$B$8,MATCH(G167,Settings!$A$5:$A$8,0)),""))</f>
        <v/>
      </c>
      <c r="U167" s="25" t="str">
        <f aca="false">IF(G167="","",IF(S167="","No",IF(S167&lt;=T167,"Yes","No")))</f>
        <v/>
      </c>
      <c r="V167" s="25" t="str">
        <f aca="false">IF(G167="","",IF(AND(J167="",K167="",L167=""),"Telemetry Blind Spot",IF(AND(K167="",L167=""),"Missed Alert",IF(L167="","Triage Delay",IF(S167&lt;=T167,"Detected - Within SLA",IF(AND(R167&lt;&gt;"",R167&gt;IFERROR(INDEX(Settings!$C$5:$C$8,MATCH(G167,Settings!$A$5:$A$8,0)),1E+099)),"Triage Delay","Detected - SLA Breach"))))))</f>
        <v/>
      </c>
      <c r="W167" s="25" t="str">
        <f aca="false">IF(G167="","",IF(L167&lt;&gt;"",1,0))</f>
        <v/>
      </c>
      <c r="X167" s="32"/>
      <c r="Y167" s="32"/>
      <c r="Z167" s="32"/>
      <c r="AA167" s="24"/>
      <c r="AB167" s="24"/>
      <c r="AC167" s="33" t="str">
        <f aca="false">IF(AND(G167&lt;&gt;"",L167&lt;&gt;"",X167&lt;&gt;""),(X167-L167)*1440,"")</f>
        <v/>
      </c>
      <c r="AD167" s="33" t="str">
        <f aca="false">IF(AND(G167&lt;&gt;"",X167&lt;&gt;"",Y167&lt;&gt;""),(Y167-X167)*1440,"")</f>
        <v/>
      </c>
      <c r="AE167" s="33" t="str">
        <f aca="false">IF(AND(G167&lt;&gt;"",Y167&lt;&gt;"",Z167&lt;&gt;""),(Z167-Y167)*1440,"")</f>
        <v/>
      </c>
      <c r="AF167" s="33" t="str">
        <f aca="false">IF(AND(G167&lt;&gt;"",L167&lt;&gt;"",Z167&lt;&gt;""),(Z167-L167)*1440,"")</f>
        <v/>
      </c>
      <c r="AG167" s="33" t="str">
        <f aca="false">IF(G167="","",IFERROR(INDEX(Settings!$D$5:$D$8,MATCH(G167,Settings!$A$5:$A$8,0)),""))</f>
        <v/>
      </c>
      <c r="AH167" s="25" t="str">
        <f aca="false">IF(G167="","",IF(AF167="","No",IF(AF167&lt;=AG167,"Yes","No")))</f>
        <v/>
      </c>
      <c r="AI167" s="25" t="str">
        <f aca="false">IF(G167="","",IF(L167="","N/A - Not Detected",IF(AND(X167="",Y167="",Z167=""),"No Containment Action",IF(Z167="",IF(Y167&lt;&gt;"","C2 Persisted","Host Isolation Gap"),IF(AF167&lt;=AG167,"Contained - Within SLA","Contained - SLA Breach")))))</f>
        <v/>
      </c>
      <c r="AJ167" s="25" t="str">
        <f aca="false">IF(G167="","",IF(Z167&lt;&gt;"",1,0))</f>
        <v/>
      </c>
      <c r="AK167" s="34"/>
      <c r="AL167" s="34"/>
      <c r="AM167" s="35"/>
      <c r="AN167" s="34"/>
      <c r="AO167" s="34"/>
      <c r="AP167" s="35"/>
      <c r="AQ167" s="34"/>
      <c r="AR167" s="34"/>
      <c r="AS167" s="34"/>
      <c r="AT167" s="35"/>
      <c r="AU167" s="35"/>
    </row>
    <row r="168" customFormat="false" ht="15" hidden="false" customHeight="false" outlineLevel="0" collapsed="false">
      <c r="A168" s="24"/>
      <c r="B168" s="24"/>
      <c r="C168" s="24"/>
      <c r="D168" s="24"/>
      <c r="E168" s="24"/>
      <c r="F168" s="24"/>
      <c r="G168" s="24"/>
      <c r="H168" s="24"/>
      <c r="I168" s="32"/>
      <c r="J168" s="32"/>
      <c r="K168" s="32"/>
      <c r="L168" s="32"/>
      <c r="M168" s="24"/>
      <c r="N168" s="24"/>
      <c r="O168" s="24"/>
      <c r="P168" s="33" t="str">
        <f aca="false">IF(AND(G168&lt;&gt;"",I168&lt;&gt;"",J168&lt;&gt;""),(J168-I168)*1440,"")</f>
        <v/>
      </c>
      <c r="Q168" s="33" t="str">
        <f aca="false">IF(AND(G168&lt;&gt;"",J168&lt;&gt;"",K168&lt;&gt;""),(K168-J168)*1440,"")</f>
        <v/>
      </c>
      <c r="R168" s="33" t="str">
        <f aca="false">IF(AND(G168&lt;&gt;"",K168&lt;&gt;"",L168&lt;&gt;""),(L168-K168)*1440,"")</f>
        <v/>
      </c>
      <c r="S168" s="33" t="str">
        <f aca="false">IF(AND(G168&lt;&gt;"",I168&lt;&gt;"",L168&lt;&gt;""),(L168-I168)*1440,"")</f>
        <v/>
      </c>
      <c r="T168" s="33" t="str">
        <f aca="false">IF(G168="","",IFERROR(INDEX(Settings!$B$5:$B$8,MATCH(G168,Settings!$A$5:$A$8,0)),""))</f>
        <v/>
      </c>
      <c r="U168" s="25" t="str">
        <f aca="false">IF(G168="","",IF(S168="","No",IF(S168&lt;=T168,"Yes","No")))</f>
        <v/>
      </c>
      <c r="V168" s="25" t="str">
        <f aca="false">IF(G168="","",IF(AND(J168="",K168="",L168=""),"Telemetry Blind Spot",IF(AND(K168="",L168=""),"Missed Alert",IF(L168="","Triage Delay",IF(S168&lt;=T168,"Detected - Within SLA",IF(AND(R168&lt;&gt;"",R168&gt;IFERROR(INDEX(Settings!$C$5:$C$8,MATCH(G168,Settings!$A$5:$A$8,0)),1E+099)),"Triage Delay","Detected - SLA Breach"))))))</f>
        <v/>
      </c>
      <c r="W168" s="25" t="str">
        <f aca="false">IF(G168="","",IF(L168&lt;&gt;"",1,0))</f>
        <v/>
      </c>
      <c r="X168" s="32"/>
      <c r="Y168" s="32"/>
      <c r="Z168" s="32"/>
      <c r="AA168" s="24"/>
      <c r="AB168" s="24"/>
      <c r="AC168" s="33" t="str">
        <f aca="false">IF(AND(G168&lt;&gt;"",L168&lt;&gt;"",X168&lt;&gt;""),(X168-L168)*1440,"")</f>
        <v/>
      </c>
      <c r="AD168" s="33" t="str">
        <f aca="false">IF(AND(G168&lt;&gt;"",X168&lt;&gt;"",Y168&lt;&gt;""),(Y168-X168)*1440,"")</f>
        <v/>
      </c>
      <c r="AE168" s="33" t="str">
        <f aca="false">IF(AND(G168&lt;&gt;"",Y168&lt;&gt;"",Z168&lt;&gt;""),(Z168-Y168)*1440,"")</f>
        <v/>
      </c>
      <c r="AF168" s="33" t="str">
        <f aca="false">IF(AND(G168&lt;&gt;"",L168&lt;&gt;"",Z168&lt;&gt;""),(Z168-L168)*1440,"")</f>
        <v/>
      </c>
      <c r="AG168" s="33" t="str">
        <f aca="false">IF(G168="","",IFERROR(INDEX(Settings!$D$5:$D$8,MATCH(G168,Settings!$A$5:$A$8,0)),""))</f>
        <v/>
      </c>
      <c r="AH168" s="25" t="str">
        <f aca="false">IF(G168="","",IF(AF168="","No",IF(AF168&lt;=AG168,"Yes","No")))</f>
        <v/>
      </c>
      <c r="AI168" s="25" t="str">
        <f aca="false">IF(G168="","",IF(L168="","N/A - Not Detected",IF(AND(X168="",Y168="",Z168=""),"No Containment Action",IF(Z168="",IF(Y168&lt;&gt;"","C2 Persisted","Host Isolation Gap"),IF(AF168&lt;=AG168,"Contained - Within SLA","Contained - SLA Breach")))))</f>
        <v/>
      </c>
      <c r="AJ168" s="25" t="str">
        <f aca="false">IF(G168="","",IF(Z168&lt;&gt;"",1,0))</f>
        <v/>
      </c>
      <c r="AK168" s="34"/>
      <c r="AL168" s="34"/>
      <c r="AM168" s="35"/>
      <c r="AN168" s="34"/>
      <c r="AO168" s="34"/>
      <c r="AP168" s="35"/>
      <c r="AQ168" s="34"/>
      <c r="AR168" s="34"/>
      <c r="AS168" s="34"/>
      <c r="AT168" s="35"/>
      <c r="AU168" s="35"/>
    </row>
    <row r="169" customFormat="false" ht="15" hidden="false" customHeight="false" outlineLevel="0" collapsed="false">
      <c r="A169" s="24"/>
      <c r="B169" s="24"/>
      <c r="C169" s="24"/>
      <c r="D169" s="24"/>
      <c r="E169" s="24"/>
      <c r="F169" s="24"/>
      <c r="G169" s="24"/>
      <c r="H169" s="24"/>
      <c r="I169" s="32"/>
      <c r="J169" s="32"/>
      <c r="K169" s="32"/>
      <c r="L169" s="32"/>
      <c r="M169" s="24"/>
      <c r="N169" s="24"/>
      <c r="O169" s="24"/>
      <c r="P169" s="33" t="str">
        <f aca="false">IF(AND(G169&lt;&gt;"",I169&lt;&gt;"",J169&lt;&gt;""),(J169-I169)*1440,"")</f>
        <v/>
      </c>
      <c r="Q169" s="33" t="str">
        <f aca="false">IF(AND(G169&lt;&gt;"",J169&lt;&gt;"",K169&lt;&gt;""),(K169-J169)*1440,"")</f>
        <v/>
      </c>
      <c r="R169" s="33" t="str">
        <f aca="false">IF(AND(G169&lt;&gt;"",K169&lt;&gt;"",L169&lt;&gt;""),(L169-K169)*1440,"")</f>
        <v/>
      </c>
      <c r="S169" s="33" t="str">
        <f aca="false">IF(AND(G169&lt;&gt;"",I169&lt;&gt;"",L169&lt;&gt;""),(L169-I169)*1440,"")</f>
        <v/>
      </c>
      <c r="T169" s="33" t="str">
        <f aca="false">IF(G169="","",IFERROR(INDEX(Settings!$B$5:$B$8,MATCH(G169,Settings!$A$5:$A$8,0)),""))</f>
        <v/>
      </c>
      <c r="U169" s="25" t="str">
        <f aca="false">IF(G169="","",IF(S169="","No",IF(S169&lt;=T169,"Yes","No")))</f>
        <v/>
      </c>
      <c r="V169" s="25" t="str">
        <f aca="false">IF(G169="","",IF(AND(J169="",K169="",L169=""),"Telemetry Blind Spot",IF(AND(K169="",L169=""),"Missed Alert",IF(L169="","Triage Delay",IF(S169&lt;=T169,"Detected - Within SLA",IF(AND(R169&lt;&gt;"",R169&gt;IFERROR(INDEX(Settings!$C$5:$C$8,MATCH(G169,Settings!$A$5:$A$8,0)),1E+099)),"Triage Delay","Detected - SLA Breach"))))))</f>
        <v/>
      </c>
      <c r="W169" s="25" t="str">
        <f aca="false">IF(G169="","",IF(L169&lt;&gt;"",1,0))</f>
        <v/>
      </c>
      <c r="X169" s="32"/>
      <c r="Y169" s="32"/>
      <c r="Z169" s="32"/>
      <c r="AA169" s="24"/>
      <c r="AB169" s="24"/>
      <c r="AC169" s="33" t="str">
        <f aca="false">IF(AND(G169&lt;&gt;"",L169&lt;&gt;"",X169&lt;&gt;""),(X169-L169)*1440,"")</f>
        <v/>
      </c>
      <c r="AD169" s="33" t="str">
        <f aca="false">IF(AND(G169&lt;&gt;"",X169&lt;&gt;"",Y169&lt;&gt;""),(Y169-X169)*1440,"")</f>
        <v/>
      </c>
      <c r="AE169" s="33" t="str">
        <f aca="false">IF(AND(G169&lt;&gt;"",Y169&lt;&gt;"",Z169&lt;&gt;""),(Z169-Y169)*1440,"")</f>
        <v/>
      </c>
      <c r="AF169" s="33" t="str">
        <f aca="false">IF(AND(G169&lt;&gt;"",L169&lt;&gt;"",Z169&lt;&gt;""),(Z169-L169)*1440,"")</f>
        <v/>
      </c>
      <c r="AG169" s="33" t="str">
        <f aca="false">IF(G169="","",IFERROR(INDEX(Settings!$D$5:$D$8,MATCH(G169,Settings!$A$5:$A$8,0)),""))</f>
        <v/>
      </c>
      <c r="AH169" s="25" t="str">
        <f aca="false">IF(G169="","",IF(AF169="","No",IF(AF169&lt;=AG169,"Yes","No")))</f>
        <v/>
      </c>
      <c r="AI169" s="25" t="str">
        <f aca="false">IF(G169="","",IF(L169="","N/A - Not Detected",IF(AND(X169="",Y169="",Z169=""),"No Containment Action",IF(Z169="",IF(Y169&lt;&gt;"","C2 Persisted","Host Isolation Gap"),IF(AF169&lt;=AG169,"Contained - Within SLA","Contained - SLA Breach")))))</f>
        <v/>
      </c>
      <c r="AJ169" s="25" t="str">
        <f aca="false">IF(G169="","",IF(Z169&lt;&gt;"",1,0))</f>
        <v/>
      </c>
      <c r="AK169" s="34"/>
      <c r="AL169" s="34"/>
      <c r="AM169" s="35"/>
      <c r="AN169" s="34"/>
      <c r="AO169" s="34"/>
      <c r="AP169" s="35"/>
      <c r="AQ169" s="34"/>
      <c r="AR169" s="34"/>
      <c r="AS169" s="34"/>
      <c r="AT169" s="35"/>
      <c r="AU169" s="35"/>
    </row>
    <row r="170" customFormat="false" ht="15" hidden="false" customHeight="false" outlineLevel="0" collapsed="false">
      <c r="A170" s="24"/>
      <c r="B170" s="24"/>
      <c r="C170" s="24"/>
      <c r="D170" s="24"/>
      <c r="E170" s="24"/>
      <c r="F170" s="24"/>
      <c r="G170" s="24"/>
      <c r="H170" s="24"/>
      <c r="I170" s="32"/>
      <c r="J170" s="32"/>
      <c r="K170" s="32"/>
      <c r="L170" s="32"/>
      <c r="M170" s="24"/>
      <c r="N170" s="24"/>
      <c r="O170" s="24"/>
      <c r="P170" s="33" t="str">
        <f aca="false">IF(AND(G170&lt;&gt;"",I170&lt;&gt;"",J170&lt;&gt;""),(J170-I170)*1440,"")</f>
        <v/>
      </c>
      <c r="Q170" s="33" t="str">
        <f aca="false">IF(AND(G170&lt;&gt;"",J170&lt;&gt;"",K170&lt;&gt;""),(K170-J170)*1440,"")</f>
        <v/>
      </c>
      <c r="R170" s="33" t="str">
        <f aca="false">IF(AND(G170&lt;&gt;"",K170&lt;&gt;"",L170&lt;&gt;""),(L170-K170)*1440,"")</f>
        <v/>
      </c>
      <c r="S170" s="33" t="str">
        <f aca="false">IF(AND(G170&lt;&gt;"",I170&lt;&gt;"",L170&lt;&gt;""),(L170-I170)*1440,"")</f>
        <v/>
      </c>
      <c r="T170" s="33" t="str">
        <f aca="false">IF(G170="","",IFERROR(INDEX(Settings!$B$5:$B$8,MATCH(G170,Settings!$A$5:$A$8,0)),""))</f>
        <v/>
      </c>
      <c r="U170" s="25" t="str">
        <f aca="false">IF(G170="","",IF(S170="","No",IF(S170&lt;=T170,"Yes","No")))</f>
        <v/>
      </c>
      <c r="V170" s="25" t="str">
        <f aca="false">IF(G170="","",IF(AND(J170="",K170="",L170=""),"Telemetry Blind Spot",IF(AND(K170="",L170=""),"Missed Alert",IF(L170="","Triage Delay",IF(S170&lt;=T170,"Detected - Within SLA",IF(AND(R170&lt;&gt;"",R170&gt;IFERROR(INDEX(Settings!$C$5:$C$8,MATCH(G170,Settings!$A$5:$A$8,0)),1E+099)),"Triage Delay","Detected - SLA Breach"))))))</f>
        <v/>
      </c>
      <c r="W170" s="25" t="str">
        <f aca="false">IF(G170="","",IF(L170&lt;&gt;"",1,0))</f>
        <v/>
      </c>
      <c r="X170" s="32"/>
      <c r="Y170" s="32"/>
      <c r="Z170" s="32"/>
      <c r="AA170" s="24"/>
      <c r="AB170" s="24"/>
      <c r="AC170" s="33" t="str">
        <f aca="false">IF(AND(G170&lt;&gt;"",L170&lt;&gt;"",X170&lt;&gt;""),(X170-L170)*1440,"")</f>
        <v/>
      </c>
      <c r="AD170" s="33" t="str">
        <f aca="false">IF(AND(G170&lt;&gt;"",X170&lt;&gt;"",Y170&lt;&gt;""),(Y170-X170)*1440,"")</f>
        <v/>
      </c>
      <c r="AE170" s="33" t="str">
        <f aca="false">IF(AND(G170&lt;&gt;"",Y170&lt;&gt;"",Z170&lt;&gt;""),(Z170-Y170)*1440,"")</f>
        <v/>
      </c>
      <c r="AF170" s="33" t="str">
        <f aca="false">IF(AND(G170&lt;&gt;"",L170&lt;&gt;"",Z170&lt;&gt;""),(Z170-L170)*1440,"")</f>
        <v/>
      </c>
      <c r="AG170" s="33" t="str">
        <f aca="false">IF(G170="","",IFERROR(INDEX(Settings!$D$5:$D$8,MATCH(G170,Settings!$A$5:$A$8,0)),""))</f>
        <v/>
      </c>
      <c r="AH170" s="25" t="str">
        <f aca="false">IF(G170="","",IF(AF170="","No",IF(AF170&lt;=AG170,"Yes","No")))</f>
        <v/>
      </c>
      <c r="AI170" s="25" t="str">
        <f aca="false">IF(G170="","",IF(L170="","N/A - Not Detected",IF(AND(X170="",Y170="",Z170=""),"No Containment Action",IF(Z170="",IF(Y170&lt;&gt;"","C2 Persisted","Host Isolation Gap"),IF(AF170&lt;=AG170,"Contained - Within SLA","Contained - SLA Breach")))))</f>
        <v/>
      </c>
      <c r="AJ170" s="25" t="str">
        <f aca="false">IF(G170="","",IF(Z170&lt;&gt;"",1,0))</f>
        <v/>
      </c>
      <c r="AK170" s="34"/>
      <c r="AL170" s="34"/>
      <c r="AM170" s="35"/>
      <c r="AN170" s="34"/>
      <c r="AO170" s="34"/>
      <c r="AP170" s="35"/>
      <c r="AQ170" s="34"/>
      <c r="AR170" s="34"/>
      <c r="AS170" s="34"/>
      <c r="AT170" s="35"/>
      <c r="AU170" s="35"/>
    </row>
    <row r="171" customFormat="false" ht="15" hidden="false" customHeight="false" outlineLevel="0" collapsed="false">
      <c r="A171" s="24"/>
      <c r="B171" s="24"/>
      <c r="C171" s="24"/>
      <c r="D171" s="24"/>
      <c r="E171" s="24"/>
      <c r="F171" s="24"/>
      <c r="G171" s="24"/>
      <c r="H171" s="24"/>
      <c r="I171" s="32"/>
      <c r="J171" s="32"/>
      <c r="K171" s="32"/>
      <c r="L171" s="32"/>
      <c r="M171" s="24"/>
      <c r="N171" s="24"/>
      <c r="O171" s="24"/>
      <c r="P171" s="33" t="str">
        <f aca="false">IF(AND(G171&lt;&gt;"",I171&lt;&gt;"",J171&lt;&gt;""),(J171-I171)*1440,"")</f>
        <v/>
      </c>
      <c r="Q171" s="33" t="str">
        <f aca="false">IF(AND(G171&lt;&gt;"",J171&lt;&gt;"",K171&lt;&gt;""),(K171-J171)*1440,"")</f>
        <v/>
      </c>
      <c r="R171" s="33" t="str">
        <f aca="false">IF(AND(G171&lt;&gt;"",K171&lt;&gt;"",L171&lt;&gt;""),(L171-K171)*1440,"")</f>
        <v/>
      </c>
      <c r="S171" s="33" t="str">
        <f aca="false">IF(AND(G171&lt;&gt;"",I171&lt;&gt;"",L171&lt;&gt;""),(L171-I171)*1440,"")</f>
        <v/>
      </c>
      <c r="T171" s="33" t="str">
        <f aca="false">IF(G171="","",IFERROR(INDEX(Settings!$B$5:$B$8,MATCH(G171,Settings!$A$5:$A$8,0)),""))</f>
        <v/>
      </c>
      <c r="U171" s="25" t="str">
        <f aca="false">IF(G171="","",IF(S171="","No",IF(S171&lt;=T171,"Yes","No")))</f>
        <v/>
      </c>
      <c r="V171" s="25" t="str">
        <f aca="false">IF(G171="","",IF(AND(J171="",K171="",L171=""),"Telemetry Blind Spot",IF(AND(K171="",L171=""),"Missed Alert",IF(L171="","Triage Delay",IF(S171&lt;=T171,"Detected - Within SLA",IF(AND(R171&lt;&gt;"",R171&gt;IFERROR(INDEX(Settings!$C$5:$C$8,MATCH(G171,Settings!$A$5:$A$8,0)),1E+099)),"Triage Delay","Detected - SLA Breach"))))))</f>
        <v/>
      </c>
      <c r="W171" s="25" t="str">
        <f aca="false">IF(G171="","",IF(L171&lt;&gt;"",1,0))</f>
        <v/>
      </c>
      <c r="X171" s="32"/>
      <c r="Y171" s="32"/>
      <c r="Z171" s="32"/>
      <c r="AA171" s="24"/>
      <c r="AB171" s="24"/>
      <c r="AC171" s="33" t="str">
        <f aca="false">IF(AND(G171&lt;&gt;"",L171&lt;&gt;"",X171&lt;&gt;""),(X171-L171)*1440,"")</f>
        <v/>
      </c>
      <c r="AD171" s="33" t="str">
        <f aca="false">IF(AND(G171&lt;&gt;"",X171&lt;&gt;"",Y171&lt;&gt;""),(Y171-X171)*1440,"")</f>
        <v/>
      </c>
      <c r="AE171" s="33" t="str">
        <f aca="false">IF(AND(G171&lt;&gt;"",Y171&lt;&gt;"",Z171&lt;&gt;""),(Z171-Y171)*1440,"")</f>
        <v/>
      </c>
      <c r="AF171" s="33" t="str">
        <f aca="false">IF(AND(G171&lt;&gt;"",L171&lt;&gt;"",Z171&lt;&gt;""),(Z171-L171)*1440,"")</f>
        <v/>
      </c>
      <c r="AG171" s="33" t="str">
        <f aca="false">IF(G171="","",IFERROR(INDEX(Settings!$D$5:$D$8,MATCH(G171,Settings!$A$5:$A$8,0)),""))</f>
        <v/>
      </c>
      <c r="AH171" s="25" t="str">
        <f aca="false">IF(G171="","",IF(AF171="","No",IF(AF171&lt;=AG171,"Yes","No")))</f>
        <v/>
      </c>
      <c r="AI171" s="25" t="str">
        <f aca="false">IF(G171="","",IF(L171="","N/A - Not Detected",IF(AND(X171="",Y171="",Z171=""),"No Containment Action",IF(Z171="",IF(Y171&lt;&gt;"","C2 Persisted","Host Isolation Gap"),IF(AF171&lt;=AG171,"Contained - Within SLA","Contained - SLA Breach")))))</f>
        <v/>
      </c>
      <c r="AJ171" s="25" t="str">
        <f aca="false">IF(G171="","",IF(Z171&lt;&gt;"",1,0))</f>
        <v/>
      </c>
      <c r="AK171" s="34"/>
      <c r="AL171" s="34"/>
      <c r="AM171" s="35"/>
      <c r="AN171" s="34"/>
      <c r="AO171" s="34"/>
      <c r="AP171" s="35"/>
      <c r="AQ171" s="34"/>
      <c r="AR171" s="34"/>
      <c r="AS171" s="34"/>
      <c r="AT171" s="35"/>
      <c r="AU171" s="35"/>
    </row>
    <row r="172" customFormat="false" ht="15" hidden="false" customHeight="false" outlineLevel="0" collapsed="false">
      <c r="A172" s="24"/>
      <c r="B172" s="24"/>
      <c r="C172" s="24"/>
      <c r="D172" s="24"/>
      <c r="E172" s="24"/>
      <c r="F172" s="24"/>
      <c r="G172" s="24"/>
      <c r="H172" s="24"/>
      <c r="I172" s="32"/>
      <c r="J172" s="32"/>
      <c r="K172" s="32"/>
      <c r="L172" s="32"/>
      <c r="M172" s="24"/>
      <c r="N172" s="24"/>
      <c r="O172" s="24"/>
      <c r="P172" s="33" t="str">
        <f aca="false">IF(AND(G172&lt;&gt;"",I172&lt;&gt;"",J172&lt;&gt;""),(J172-I172)*1440,"")</f>
        <v/>
      </c>
      <c r="Q172" s="33" t="str">
        <f aca="false">IF(AND(G172&lt;&gt;"",J172&lt;&gt;"",K172&lt;&gt;""),(K172-J172)*1440,"")</f>
        <v/>
      </c>
      <c r="R172" s="33" t="str">
        <f aca="false">IF(AND(G172&lt;&gt;"",K172&lt;&gt;"",L172&lt;&gt;""),(L172-K172)*1440,"")</f>
        <v/>
      </c>
      <c r="S172" s="33" t="str">
        <f aca="false">IF(AND(G172&lt;&gt;"",I172&lt;&gt;"",L172&lt;&gt;""),(L172-I172)*1440,"")</f>
        <v/>
      </c>
      <c r="T172" s="33" t="str">
        <f aca="false">IF(G172="","",IFERROR(INDEX(Settings!$B$5:$B$8,MATCH(G172,Settings!$A$5:$A$8,0)),""))</f>
        <v/>
      </c>
      <c r="U172" s="25" t="str">
        <f aca="false">IF(G172="","",IF(S172="","No",IF(S172&lt;=T172,"Yes","No")))</f>
        <v/>
      </c>
      <c r="V172" s="25" t="str">
        <f aca="false">IF(G172="","",IF(AND(J172="",K172="",L172=""),"Telemetry Blind Spot",IF(AND(K172="",L172=""),"Missed Alert",IF(L172="","Triage Delay",IF(S172&lt;=T172,"Detected - Within SLA",IF(AND(R172&lt;&gt;"",R172&gt;IFERROR(INDEX(Settings!$C$5:$C$8,MATCH(G172,Settings!$A$5:$A$8,0)),1E+099)),"Triage Delay","Detected - SLA Breach"))))))</f>
        <v/>
      </c>
      <c r="W172" s="25" t="str">
        <f aca="false">IF(G172="","",IF(L172&lt;&gt;"",1,0))</f>
        <v/>
      </c>
      <c r="X172" s="32"/>
      <c r="Y172" s="32"/>
      <c r="Z172" s="32"/>
      <c r="AA172" s="24"/>
      <c r="AB172" s="24"/>
      <c r="AC172" s="33" t="str">
        <f aca="false">IF(AND(G172&lt;&gt;"",L172&lt;&gt;"",X172&lt;&gt;""),(X172-L172)*1440,"")</f>
        <v/>
      </c>
      <c r="AD172" s="33" t="str">
        <f aca="false">IF(AND(G172&lt;&gt;"",X172&lt;&gt;"",Y172&lt;&gt;""),(Y172-X172)*1440,"")</f>
        <v/>
      </c>
      <c r="AE172" s="33" t="str">
        <f aca="false">IF(AND(G172&lt;&gt;"",Y172&lt;&gt;"",Z172&lt;&gt;""),(Z172-Y172)*1440,"")</f>
        <v/>
      </c>
      <c r="AF172" s="33" t="str">
        <f aca="false">IF(AND(G172&lt;&gt;"",L172&lt;&gt;"",Z172&lt;&gt;""),(Z172-L172)*1440,"")</f>
        <v/>
      </c>
      <c r="AG172" s="33" t="str">
        <f aca="false">IF(G172="","",IFERROR(INDEX(Settings!$D$5:$D$8,MATCH(G172,Settings!$A$5:$A$8,0)),""))</f>
        <v/>
      </c>
      <c r="AH172" s="25" t="str">
        <f aca="false">IF(G172="","",IF(AF172="","No",IF(AF172&lt;=AG172,"Yes","No")))</f>
        <v/>
      </c>
      <c r="AI172" s="25" t="str">
        <f aca="false">IF(G172="","",IF(L172="","N/A - Not Detected",IF(AND(X172="",Y172="",Z172=""),"No Containment Action",IF(Z172="",IF(Y172&lt;&gt;"","C2 Persisted","Host Isolation Gap"),IF(AF172&lt;=AG172,"Contained - Within SLA","Contained - SLA Breach")))))</f>
        <v/>
      </c>
      <c r="AJ172" s="25" t="str">
        <f aca="false">IF(G172="","",IF(Z172&lt;&gt;"",1,0))</f>
        <v/>
      </c>
      <c r="AK172" s="34"/>
      <c r="AL172" s="34"/>
      <c r="AM172" s="35"/>
      <c r="AN172" s="34"/>
      <c r="AO172" s="34"/>
      <c r="AP172" s="35"/>
      <c r="AQ172" s="34"/>
      <c r="AR172" s="34"/>
      <c r="AS172" s="34"/>
      <c r="AT172" s="35"/>
      <c r="AU172" s="35"/>
    </row>
    <row r="173" customFormat="false" ht="15" hidden="false" customHeight="false" outlineLevel="0" collapsed="false">
      <c r="A173" s="24"/>
      <c r="B173" s="24"/>
      <c r="C173" s="24"/>
      <c r="D173" s="24"/>
      <c r="E173" s="24"/>
      <c r="F173" s="24"/>
      <c r="G173" s="24"/>
      <c r="H173" s="24"/>
      <c r="I173" s="32"/>
      <c r="J173" s="32"/>
      <c r="K173" s="32"/>
      <c r="L173" s="32"/>
      <c r="M173" s="24"/>
      <c r="N173" s="24"/>
      <c r="O173" s="24"/>
      <c r="P173" s="33" t="str">
        <f aca="false">IF(AND(G173&lt;&gt;"",I173&lt;&gt;"",J173&lt;&gt;""),(J173-I173)*1440,"")</f>
        <v/>
      </c>
      <c r="Q173" s="33" t="str">
        <f aca="false">IF(AND(G173&lt;&gt;"",J173&lt;&gt;"",K173&lt;&gt;""),(K173-J173)*1440,"")</f>
        <v/>
      </c>
      <c r="R173" s="33" t="str">
        <f aca="false">IF(AND(G173&lt;&gt;"",K173&lt;&gt;"",L173&lt;&gt;""),(L173-K173)*1440,"")</f>
        <v/>
      </c>
      <c r="S173" s="33" t="str">
        <f aca="false">IF(AND(G173&lt;&gt;"",I173&lt;&gt;"",L173&lt;&gt;""),(L173-I173)*1440,"")</f>
        <v/>
      </c>
      <c r="T173" s="33" t="str">
        <f aca="false">IF(G173="","",IFERROR(INDEX(Settings!$B$5:$B$8,MATCH(G173,Settings!$A$5:$A$8,0)),""))</f>
        <v/>
      </c>
      <c r="U173" s="25" t="str">
        <f aca="false">IF(G173="","",IF(S173="","No",IF(S173&lt;=T173,"Yes","No")))</f>
        <v/>
      </c>
      <c r="V173" s="25" t="str">
        <f aca="false">IF(G173="","",IF(AND(J173="",K173="",L173=""),"Telemetry Blind Spot",IF(AND(K173="",L173=""),"Missed Alert",IF(L173="","Triage Delay",IF(S173&lt;=T173,"Detected - Within SLA",IF(AND(R173&lt;&gt;"",R173&gt;IFERROR(INDEX(Settings!$C$5:$C$8,MATCH(G173,Settings!$A$5:$A$8,0)),1E+099)),"Triage Delay","Detected - SLA Breach"))))))</f>
        <v/>
      </c>
      <c r="W173" s="25" t="str">
        <f aca="false">IF(G173="","",IF(L173&lt;&gt;"",1,0))</f>
        <v/>
      </c>
      <c r="X173" s="32"/>
      <c r="Y173" s="32"/>
      <c r="Z173" s="32"/>
      <c r="AA173" s="24"/>
      <c r="AB173" s="24"/>
      <c r="AC173" s="33" t="str">
        <f aca="false">IF(AND(G173&lt;&gt;"",L173&lt;&gt;"",X173&lt;&gt;""),(X173-L173)*1440,"")</f>
        <v/>
      </c>
      <c r="AD173" s="33" t="str">
        <f aca="false">IF(AND(G173&lt;&gt;"",X173&lt;&gt;"",Y173&lt;&gt;""),(Y173-X173)*1440,"")</f>
        <v/>
      </c>
      <c r="AE173" s="33" t="str">
        <f aca="false">IF(AND(G173&lt;&gt;"",Y173&lt;&gt;"",Z173&lt;&gt;""),(Z173-Y173)*1440,"")</f>
        <v/>
      </c>
      <c r="AF173" s="33" t="str">
        <f aca="false">IF(AND(G173&lt;&gt;"",L173&lt;&gt;"",Z173&lt;&gt;""),(Z173-L173)*1440,"")</f>
        <v/>
      </c>
      <c r="AG173" s="33" t="str">
        <f aca="false">IF(G173="","",IFERROR(INDEX(Settings!$D$5:$D$8,MATCH(G173,Settings!$A$5:$A$8,0)),""))</f>
        <v/>
      </c>
      <c r="AH173" s="25" t="str">
        <f aca="false">IF(G173="","",IF(AF173="","No",IF(AF173&lt;=AG173,"Yes","No")))</f>
        <v/>
      </c>
      <c r="AI173" s="25" t="str">
        <f aca="false">IF(G173="","",IF(L173="","N/A - Not Detected",IF(AND(X173="",Y173="",Z173=""),"No Containment Action",IF(Z173="",IF(Y173&lt;&gt;"","C2 Persisted","Host Isolation Gap"),IF(AF173&lt;=AG173,"Contained - Within SLA","Contained - SLA Breach")))))</f>
        <v/>
      </c>
      <c r="AJ173" s="25" t="str">
        <f aca="false">IF(G173="","",IF(Z173&lt;&gt;"",1,0))</f>
        <v/>
      </c>
      <c r="AK173" s="34"/>
      <c r="AL173" s="34"/>
      <c r="AM173" s="35"/>
      <c r="AN173" s="34"/>
      <c r="AO173" s="34"/>
      <c r="AP173" s="35"/>
      <c r="AQ173" s="34"/>
      <c r="AR173" s="34"/>
      <c r="AS173" s="34"/>
      <c r="AT173" s="35"/>
      <c r="AU173" s="35"/>
    </row>
    <row r="174" customFormat="false" ht="15" hidden="false" customHeight="false" outlineLevel="0" collapsed="false">
      <c r="A174" s="24"/>
      <c r="B174" s="24"/>
      <c r="C174" s="24"/>
      <c r="D174" s="24"/>
      <c r="E174" s="24"/>
      <c r="F174" s="24"/>
      <c r="G174" s="24"/>
      <c r="H174" s="24"/>
      <c r="I174" s="32"/>
      <c r="J174" s="32"/>
      <c r="K174" s="32"/>
      <c r="L174" s="32"/>
      <c r="M174" s="24"/>
      <c r="N174" s="24"/>
      <c r="O174" s="24"/>
      <c r="P174" s="33" t="str">
        <f aca="false">IF(AND(G174&lt;&gt;"",I174&lt;&gt;"",J174&lt;&gt;""),(J174-I174)*1440,"")</f>
        <v/>
      </c>
      <c r="Q174" s="33" t="str">
        <f aca="false">IF(AND(G174&lt;&gt;"",J174&lt;&gt;"",K174&lt;&gt;""),(K174-J174)*1440,"")</f>
        <v/>
      </c>
      <c r="R174" s="33" t="str">
        <f aca="false">IF(AND(G174&lt;&gt;"",K174&lt;&gt;"",L174&lt;&gt;""),(L174-K174)*1440,"")</f>
        <v/>
      </c>
      <c r="S174" s="33" t="str">
        <f aca="false">IF(AND(G174&lt;&gt;"",I174&lt;&gt;"",L174&lt;&gt;""),(L174-I174)*1440,"")</f>
        <v/>
      </c>
      <c r="T174" s="33" t="str">
        <f aca="false">IF(G174="","",IFERROR(INDEX(Settings!$B$5:$B$8,MATCH(G174,Settings!$A$5:$A$8,0)),""))</f>
        <v/>
      </c>
      <c r="U174" s="25" t="str">
        <f aca="false">IF(G174="","",IF(S174="","No",IF(S174&lt;=T174,"Yes","No")))</f>
        <v/>
      </c>
      <c r="V174" s="25" t="str">
        <f aca="false">IF(G174="","",IF(AND(J174="",K174="",L174=""),"Telemetry Blind Spot",IF(AND(K174="",L174=""),"Missed Alert",IF(L174="","Triage Delay",IF(S174&lt;=T174,"Detected - Within SLA",IF(AND(R174&lt;&gt;"",R174&gt;IFERROR(INDEX(Settings!$C$5:$C$8,MATCH(G174,Settings!$A$5:$A$8,0)),1E+099)),"Triage Delay","Detected - SLA Breach"))))))</f>
        <v/>
      </c>
      <c r="W174" s="25" t="str">
        <f aca="false">IF(G174="","",IF(L174&lt;&gt;"",1,0))</f>
        <v/>
      </c>
      <c r="X174" s="32"/>
      <c r="Y174" s="32"/>
      <c r="Z174" s="32"/>
      <c r="AA174" s="24"/>
      <c r="AB174" s="24"/>
      <c r="AC174" s="33" t="str">
        <f aca="false">IF(AND(G174&lt;&gt;"",L174&lt;&gt;"",X174&lt;&gt;""),(X174-L174)*1440,"")</f>
        <v/>
      </c>
      <c r="AD174" s="33" t="str">
        <f aca="false">IF(AND(G174&lt;&gt;"",X174&lt;&gt;"",Y174&lt;&gt;""),(Y174-X174)*1440,"")</f>
        <v/>
      </c>
      <c r="AE174" s="33" t="str">
        <f aca="false">IF(AND(G174&lt;&gt;"",Y174&lt;&gt;"",Z174&lt;&gt;""),(Z174-Y174)*1440,"")</f>
        <v/>
      </c>
      <c r="AF174" s="33" t="str">
        <f aca="false">IF(AND(G174&lt;&gt;"",L174&lt;&gt;"",Z174&lt;&gt;""),(Z174-L174)*1440,"")</f>
        <v/>
      </c>
      <c r="AG174" s="33" t="str">
        <f aca="false">IF(G174="","",IFERROR(INDEX(Settings!$D$5:$D$8,MATCH(G174,Settings!$A$5:$A$8,0)),""))</f>
        <v/>
      </c>
      <c r="AH174" s="25" t="str">
        <f aca="false">IF(G174="","",IF(AF174="","No",IF(AF174&lt;=AG174,"Yes","No")))</f>
        <v/>
      </c>
      <c r="AI174" s="25" t="str">
        <f aca="false">IF(G174="","",IF(L174="","N/A - Not Detected",IF(AND(X174="",Y174="",Z174=""),"No Containment Action",IF(Z174="",IF(Y174&lt;&gt;"","C2 Persisted","Host Isolation Gap"),IF(AF174&lt;=AG174,"Contained - Within SLA","Contained - SLA Breach")))))</f>
        <v/>
      </c>
      <c r="AJ174" s="25" t="str">
        <f aca="false">IF(G174="","",IF(Z174&lt;&gt;"",1,0))</f>
        <v/>
      </c>
      <c r="AK174" s="34"/>
      <c r="AL174" s="34"/>
      <c r="AM174" s="35"/>
      <c r="AN174" s="34"/>
      <c r="AO174" s="34"/>
      <c r="AP174" s="35"/>
      <c r="AQ174" s="34"/>
      <c r="AR174" s="34"/>
      <c r="AS174" s="34"/>
      <c r="AT174" s="35"/>
      <c r="AU174" s="35"/>
    </row>
    <row r="175" customFormat="false" ht="15" hidden="false" customHeight="false" outlineLevel="0" collapsed="false">
      <c r="A175" s="24"/>
      <c r="B175" s="24"/>
      <c r="C175" s="24"/>
      <c r="D175" s="24"/>
      <c r="E175" s="24"/>
      <c r="F175" s="24"/>
      <c r="G175" s="24"/>
      <c r="H175" s="24"/>
      <c r="I175" s="32"/>
      <c r="J175" s="32"/>
      <c r="K175" s="32"/>
      <c r="L175" s="32"/>
      <c r="M175" s="24"/>
      <c r="N175" s="24"/>
      <c r="O175" s="24"/>
      <c r="P175" s="33" t="str">
        <f aca="false">IF(AND(G175&lt;&gt;"",I175&lt;&gt;"",J175&lt;&gt;""),(J175-I175)*1440,"")</f>
        <v/>
      </c>
      <c r="Q175" s="33" t="str">
        <f aca="false">IF(AND(G175&lt;&gt;"",J175&lt;&gt;"",K175&lt;&gt;""),(K175-J175)*1440,"")</f>
        <v/>
      </c>
      <c r="R175" s="33" t="str">
        <f aca="false">IF(AND(G175&lt;&gt;"",K175&lt;&gt;"",L175&lt;&gt;""),(L175-K175)*1440,"")</f>
        <v/>
      </c>
      <c r="S175" s="33" t="str">
        <f aca="false">IF(AND(G175&lt;&gt;"",I175&lt;&gt;"",L175&lt;&gt;""),(L175-I175)*1440,"")</f>
        <v/>
      </c>
      <c r="T175" s="33" t="str">
        <f aca="false">IF(G175="","",IFERROR(INDEX(Settings!$B$5:$B$8,MATCH(G175,Settings!$A$5:$A$8,0)),""))</f>
        <v/>
      </c>
      <c r="U175" s="25" t="str">
        <f aca="false">IF(G175="","",IF(S175="","No",IF(S175&lt;=T175,"Yes","No")))</f>
        <v/>
      </c>
      <c r="V175" s="25" t="str">
        <f aca="false">IF(G175="","",IF(AND(J175="",K175="",L175=""),"Telemetry Blind Spot",IF(AND(K175="",L175=""),"Missed Alert",IF(L175="","Triage Delay",IF(S175&lt;=T175,"Detected - Within SLA",IF(AND(R175&lt;&gt;"",R175&gt;IFERROR(INDEX(Settings!$C$5:$C$8,MATCH(G175,Settings!$A$5:$A$8,0)),1E+099)),"Triage Delay","Detected - SLA Breach"))))))</f>
        <v/>
      </c>
      <c r="W175" s="25" t="str">
        <f aca="false">IF(G175="","",IF(L175&lt;&gt;"",1,0))</f>
        <v/>
      </c>
      <c r="X175" s="32"/>
      <c r="Y175" s="32"/>
      <c r="Z175" s="32"/>
      <c r="AA175" s="24"/>
      <c r="AB175" s="24"/>
      <c r="AC175" s="33" t="str">
        <f aca="false">IF(AND(G175&lt;&gt;"",L175&lt;&gt;"",X175&lt;&gt;""),(X175-L175)*1440,"")</f>
        <v/>
      </c>
      <c r="AD175" s="33" t="str">
        <f aca="false">IF(AND(G175&lt;&gt;"",X175&lt;&gt;"",Y175&lt;&gt;""),(Y175-X175)*1440,"")</f>
        <v/>
      </c>
      <c r="AE175" s="33" t="str">
        <f aca="false">IF(AND(G175&lt;&gt;"",Y175&lt;&gt;"",Z175&lt;&gt;""),(Z175-Y175)*1440,"")</f>
        <v/>
      </c>
      <c r="AF175" s="33" t="str">
        <f aca="false">IF(AND(G175&lt;&gt;"",L175&lt;&gt;"",Z175&lt;&gt;""),(Z175-L175)*1440,"")</f>
        <v/>
      </c>
      <c r="AG175" s="33" t="str">
        <f aca="false">IF(G175="","",IFERROR(INDEX(Settings!$D$5:$D$8,MATCH(G175,Settings!$A$5:$A$8,0)),""))</f>
        <v/>
      </c>
      <c r="AH175" s="25" t="str">
        <f aca="false">IF(G175="","",IF(AF175="","No",IF(AF175&lt;=AG175,"Yes","No")))</f>
        <v/>
      </c>
      <c r="AI175" s="25" t="str">
        <f aca="false">IF(G175="","",IF(L175="","N/A - Not Detected",IF(AND(X175="",Y175="",Z175=""),"No Containment Action",IF(Z175="",IF(Y175&lt;&gt;"","C2 Persisted","Host Isolation Gap"),IF(AF175&lt;=AG175,"Contained - Within SLA","Contained - SLA Breach")))))</f>
        <v/>
      </c>
      <c r="AJ175" s="25" t="str">
        <f aca="false">IF(G175="","",IF(Z175&lt;&gt;"",1,0))</f>
        <v/>
      </c>
      <c r="AK175" s="34"/>
      <c r="AL175" s="34"/>
      <c r="AM175" s="35"/>
      <c r="AN175" s="34"/>
      <c r="AO175" s="34"/>
      <c r="AP175" s="35"/>
      <c r="AQ175" s="34"/>
      <c r="AR175" s="34"/>
      <c r="AS175" s="34"/>
      <c r="AT175" s="35"/>
      <c r="AU175" s="35"/>
    </row>
    <row r="176" customFormat="false" ht="15" hidden="false" customHeight="false" outlineLevel="0" collapsed="false">
      <c r="A176" s="24"/>
      <c r="B176" s="24"/>
      <c r="C176" s="24"/>
      <c r="D176" s="24"/>
      <c r="E176" s="24"/>
      <c r="F176" s="24"/>
      <c r="G176" s="24"/>
      <c r="H176" s="24"/>
      <c r="I176" s="32"/>
      <c r="J176" s="32"/>
      <c r="K176" s="32"/>
      <c r="L176" s="32"/>
      <c r="M176" s="24"/>
      <c r="N176" s="24"/>
      <c r="O176" s="24"/>
      <c r="P176" s="33" t="str">
        <f aca="false">IF(AND(G176&lt;&gt;"",I176&lt;&gt;"",J176&lt;&gt;""),(J176-I176)*1440,"")</f>
        <v/>
      </c>
      <c r="Q176" s="33" t="str">
        <f aca="false">IF(AND(G176&lt;&gt;"",J176&lt;&gt;"",K176&lt;&gt;""),(K176-J176)*1440,"")</f>
        <v/>
      </c>
      <c r="R176" s="33" t="str">
        <f aca="false">IF(AND(G176&lt;&gt;"",K176&lt;&gt;"",L176&lt;&gt;""),(L176-K176)*1440,"")</f>
        <v/>
      </c>
      <c r="S176" s="33" t="str">
        <f aca="false">IF(AND(G176&lt;&gt;"",I176&lt;&gt;"",L176&lt;&gt;""),(L176-I176)*1440,"")</f>
        <v/>
      </c>
      <c r="T176" s="33" t="str">
        <f aca="false">IF(G176="","",IFERROR(INDEX(Settings!$B$5:$B$8,MATCH(G176,Settings!$A$5:$A$8,0)),""))</f>
        <v/>
      </c>
      <c r="U176" s="25" t="str">
        <f aca="false">IF(G176="","",IF(S176="","No",IF(S176&lt;=T176,"Yes","No")))</f>
        <v/>
      </c>
      <c r="V176" s="25" t="str">
        <f aca="false">IF(G176="","",IF(AND(J176="",K176="",L176=""),"Telemetry Blind Spot",IF(AND(K176="",L176=""),"Missed Alert",IF(L176="","Triage Delay",IF(S176&lt;=T176,"Detected - Within SLA",IF(AND(R176&lt;&gt;"",R176&gt;IFERROR(INDEX(Settings!$C$5:$C$8,MATCH(G176,Settings!$A$5:$A$8,0)),1E+099)),"Triage Delay","Detected - SLA Breach"))))))</f>
        <v/>
      </c>
      <c r="W176" s="25" t="str">
        <f aca="false">IF(G176="","",IF(L176&lt;&gt;"",1,0))</f>
        <v/>
      </c>
      <c r="X176" s="32"/>
      <c r="Y176" s="32"/>
      <c r="Z176" s="32"/>
      <c r="AA176" s="24"/>
      <c r="AB176" s="24"/>
      <c r="AC176" s="33" t="str">
        <f aca="false">IF(AND(G176&lt;&gt;"",L176&lt;&gt;"",X176&lt;&gt;""),(X176-L176)*1440,"")</f>
        <v/>
      </c>
      <c r="AD176" s="33" t="str">
        <f aca="false">IF(AND(G176&lt;&gt;"",X176&lt;&gt;"",Y176&lt;&gt;""),(Y176-X176)*1440,"")</f>
        <v/>
      </c>
      <c r="AE176" s="33" t="str">
        <f aca="false">IF(AND(G176&lt;&gt;"",Y176&lt;&gt;"",Z176&lt;&gt;""),(Z176-Y176)*1440,"")</f>
        <v/>
      </c>
      <c r="AF176" s="33" t="str">
        <f aca="false">IF(AND(G176&lt;&gt;"",L176&lt;&gt;"",Z176&lt;&gt;""),(Z176-L176)*1440,"")</f>
        <v/>
      </c>
      <c r="AG176" s="33" t="str">
        <f aca="false">IF(G176="","",IFERROR(INDEX(Settings!$D$5:$D$8,MATCH(G176,Settings!$A$5:$A$8,0)),""))</f>
        <v/>
      </c>
      <c r="AH176" s="25" t="str">
        <f aca="false">IF(G176="","",IF(AF176="","No",IF(AF176&lt;=AG176,"Yes","No")))</f>
        <v/>
      </c>
      <c r="AI176" s="25" t="str">
        <f aca="false">IF(G176="","",IF(L176="","N/A - Not Detected",IF(AND(X176="",Y176="",Z176=""),"No Containment Action",IF(Z176="",IF(Y176&lt;&gt;"","C2 Persisted","Host Isolation Gap"),IF(AF176&lt;=AG176,"Contained - Within SLA","Contained - SLA Breach")))))</f>
        <v/>
      </c>
      <c r="AJ176" s="25" t="str">
        <f aca="false">IF(G176="","",IF(Z176&lt;&gt;"",1,0))</f>
        <v/>
      </c>
      <c r="AK176" s="34"/>
      <c r="AL176" s="34"/>
      <c r="AM176" s="35"/>
      <c r="AN176" s="34"/>
      <c r="AO176" s="34"/>
      <c r="AP176" s="35"/>
      <c r="AQ176" s="34"/>
      <c r="AR176" s="34"/>
      <c r="AS176" s="34"/>
      <c r="AT176" s="35"/>
      <c r="AU176" s="35"/>
    </row>
    <row r="177" customFormat="false" ht="15" hidden="false" customHeight="false" outlineLevel="0" collapsed="false">
      <c r="A177" s="24"/>
      <c r="B177" s="24"/>
      <c r="C177" s="24"/>
      <c r="D177" s="24"/>
      <c r="E177" s="24"/>
      <c r="F177" s="24"/>
      <c r="G177" s="24"/>
      <c r="H177" s="24"/>
      <c r="I177" s="32"/>
      <c r="J177" s="32"/>
      <c r="K177" s="32"/>
      <c r="L177" s="32"/>
      <c r="M177" s="24"/>
      <c r="N177" s="24"/>
      <c r="O177" s="24"/>
      <c r="P177" s="33" t="str">
        <f aca="false">IF(AND(G177&lt;&gt;"",I177&lt;&gt;"",J177&lt;&gt;""),(J177-I177)*1440,"")</f>
        <v/>
      </c>
      <c r="Q177" s="33" t="str">
        <f aca="false">IF(AND(G177&lt;&gt;"",J177&lt;&gt;"",K177&lt;&gt;""),(K177-J177)*1440,"")</f>
        <v/>
      </c>
      <c r="R177" s="33" t="str">
        <f aca="false">IF(AND(G177&lt;&gt;"",K177&lt;&gt;"",L177&lt;&gt;""),(L177-K177)*1440,"")</f>
        <v/>
      </c>
      <c r="S177" s="33" t="str">
        <f aca="false">IF(AND(G177&lt;&gt;"",I177&lt;&gt;"",L177&lt;&gt;""),(L177-I177)*1440,"")</f>
        <v/>
      </c>
      <c r="T177" s="33" t="str">
        <f aca="false">IF(G177="","",IFERROR(INDEX(Settings!$B$5:$B$8,MATCH(G177,Settings!$A$5:$A$8,0)),""))</f>
        <v/>
      </c>
      <c r="U177" s="25" t="str">
        <f aca="false">IF(G177="","",IF(S177="","No",IF(S177&lt;=T177,"Yes","No")))</f>
        <v/>
      </c>
      <c r="V177" s="25" t="str">
        <f aca="false">IF(G177="","",IF(AND(J177="",K177="",L177=""),"Telemetry Blind Spot",IF(AND(K177="",L177=""),"Missed Alert",IF(L177="","Triage Delay",IF(S177&lt;=T177,"Detected - Within SLA",IF(AND(R177&lt;&gt;"",R177&gt;IFERROR(INDEX(Settings!$C$5:$C$8,MATCH(G177,Settings!$A$5:$A$8,0)),1E+099)),"Triage Delay","Detected - SLA Breach"))))))</f>
        <v/>
      </c>
      <c r="W177" s="25" t="str">
        <f aca="false">IF(G177="","",IF(L177&lt;&gt;"",1,0))</f>
        <v/>
      </c>
      <c r="X177" s="32"/>
      <c r="Y177" s="32"/>
      <c r="Z177" s="32"/>
      <c r="AA177" s="24"/>
      <c r="AB177" s="24"/>
      <c r="AC177" s="33" t="str">
        <f aca="false">IF(AND(G177&lt;&gt;"",L177&lt;&gt;"",X177&lt;&gt;""),(X177-L177)*1440,"")</f>
        <v/>
      </c>
      <c r="AD177" s="33" t="str">
        <f aca="false">IF(AND(G177&lt;&gt;"",X177&lt;&gt;"",Y177&lt;&gt;""),(Y177-X177)*1440,"")</f>
        <v/>
      </c>
      <c r="AE177" s="33" t="str">
        <f aca="false">IF(AND(G177&lt;&gt;"",Y177&lt;&gt;"",Z177&lt;&gt;""),(Z177-Y177)*1440,"")</f>
        <v/>
      </c>
      <c r="AF177" s="33" t="str">
        <f aca="false">IF(AND(G177&lt;&gt;"",L177&lt;&gt;"",Z177&lt;&gt;""),(Z177-L177)*1440,"")</f>
        <v/>
      </c>
      <c r="AG177" s="33" t="str">
        <f aca="false">IF(G177="","",IFERROR(INDEX(Settings!$D$5:$D$8,MATCH(G177,Settings!$A$5:$A$8,0)),""))</f>
        <v/>
      </c>
      <c r="AH177" s="25" t="str">
        <f aca="false">IF(G177="","",IF(AF177="","No",IF(AF177&lt;=AG177,"Yes","No")))</f>
        <v/>
      </c>
      <c r="AI177" s="25" t="str">
        <f aca="false">IF(G177="","",IF(L177="","N/A - Not Detected",IF(AND(X177="",Y177="",Z177=""),"No Containment Action",IF(Z177="",IF(Y177&lt;&gt;"","C2 Persisted","Host Isolation Gap"),IF(AF177&lt;=AG177,"Contained - Within SLA","Contained - SLA Breach")))))</f>
        <v/>
      </c>
      <c r="AJ177" s="25" t="str">
        <f aca="false">IF(G177="","",IF(Z177&lt;&gt;"",1,0))</f>
        <v/>
      </c>
      <c r="AK177" s="34"/>
      <c r="AL177" s="34"/>
      <c r="AM177" s="35"/>
      <c r="AN177" s="34"/>
      <c r="AO177" s="34"/>
      <c r="AP177" s="35"/>
      <c r="AQ177" s="34"/>
      <c r="AR177" s="34"/>
      <c r="AS177" s="34"/>
      <c r="AT177" s="35"/>
      <c r="AU177" s="35"/>
    </row>
    <row r="178" customFormat="false" ht="15" hidden="false" customHeight="false" outlineLevel="0" collapsed="false">
      <c r="A178" s="24"/>
      <c r="B178" s="24"/>
      <c r="C178" s="24"/>
      <c r="D178" s="24"/>
      <c r="E178" s="24"/>
      <c r="F178" s="24"/>
      <c r="G178" s="24"/>
      <c r="H178" s="24"/>
      <c r="I178" s="32"/>
      <c r="J178" s="32"/>
      <c r="K178" s="32"/>
      <c r="L178" s="32"/>
      <c r="M178" s="24"/>
      <c r="N178" s="24"/>
      <c r="O178" s="24"/>
      <c r="P178" s="33" t="str">
        <f aca="false">IF(AND(G178&lt;&gt;"",I178&lt;&gt;"",J178&lt;&gt;""),(J178-I178)*1440,"")</f>
        <v/>
      </c>
      <c r="Q178" s="33" t="str">
        <f aca="false">IF(AND(G178&lt;&gt;"",J178&lt;&gt;"",K178&lt;&gt;""),(K178-J178)*1440,"")</f>
        <v/>
      </c>
      <c r="R178" s="33" t="str">
        <f aca="false">IF(AND(G178&lt;&gt;"",K178&lt;&gt;"",L178&lt;&gt;""),(L178-K178)*1440,"")</f>
        <v/>
      </c>
      <c r="S178" s="33" t="str">
        <f aca="false">IF(AND(G178&lt;&gt;"",I178&lt;&gt;"",L178&lt;&gt;""),(L178-I178)*1440,"")</f>
        <v/>
      </c>
      <c r="T178" s="33" t="str">
        <f aca="false">IF(G178="","",IFERROR(INDEX(Settings!$B$5:$B$8,MATCH(G178,Settings!$A$5:$A$8,0)),""))</f>
        <v/>
      </c>
      <c r="U178" s="25" t="str">
        <f aca="false">IF(G178="","",IF(S178="","No",IF(S178&lt;=T178,"Yes","No")))</f>
        <v/>
      </c>
      <c r="V178" s="25" t="str">
        <f aca="false">IF(G178="","",IF(AND(J178="",K178="",L178=""),"Telemetry Blind Spot",IF(AND(K178="",L178=""),"Missed Alert",IF(L178="","Triage Delay",IF(S178&lt;=T178,"Detected - Within SLA",IF(AND(R178&lt;&gt;"",R178&gt;IFERROR(INDEX(Settings!$C$5:$C$8,MATCH(G178,Settings!$A$5:$A$8,0)),1E+099)),"Triage Delay","Detected - SLA Breach"))))))</f>
        <v/>
      </c>
      <c r="W178" s="25" t="str">
        <f aca="false">IF(G178="","",IF(L178&lt;&gt;"",1,0))</f>
        <v/>
      </c>
      <c r="X178" s="32"/>
      <c r="Y178" s="32"/>
      <c r="Z178" s="32"/>
      <c r="AA178" s="24"/>
      <c r="AB178" s="24"/>
      <c r="AC178" s="33" t="str">
        <f aca="false">IF(AND(G178&lt;&gt;"",L178&lt;&gt;"",X178&lt;&gt;""),(X178-L178)*1440,"")</f>
        <v/>
      </c>
      <c r="AD178" s="33" t="str">
        <f aca="false">IF(AND(G178&lt;&gt;"",X178&lt;&gt;"",Y178&lt;&gt;""),(Y178-X178)*1440,"")</f>
        <v/>
      </c>
      <c r="AE178" s="33" t="str">
        <f aca="false">IF(AND(G178&lt;&gt;"",Y178&lt;&gt;"",Z178&lt;&gt;""),(Z178-Y178)*1440,"")</f>
        <v/>
      </c>
      <c r="AF178" s="33" t="str">
        <f aca="false">IF(AND(G178&lt;&gt;"",L178&lt;&gt;"",Z178&lt;&gt;""),(Z178-L178)*1440,"")</f>
        <v/>
      </c>
      <c r="AG178" s="33" t="str">
        <f aca="false">IF(G178="","",IFERROR(INDEX(Settings!$D$5:$D$8,MATCH(G178,Settings!$A$5:$A$8,0)),""))</f>
        <v/>
      </c>
      <c r="AH178" s="25" t="str">
        <f aca="false">IF(G178="","",IF(AF178="","No",IF(AF178&lt;=AG178,"Yes","No")))</f>
        <v/>
      </c>
      <c r="AI178" s="25" t="str">
        <f aca="false">IF(G178="","",IF(L178="","N/A - Not Detected",IF(AND(X178="",Y178="",Z178=""),"No Containment Action",IF(Z178="",IF(Y178&lt;&gt;"","C2 Persisted","Host Isolation Gap"),IF(AF178&lt;=AG178,"Contained - Within SLA","Contained - SLA Breach")))))</f>
        <v/>
      </c>
      <c r="AJ178" s="25" t="str">
        <f aca="false">IF(G178="","",IF(Z178&lt;&gt;"",1,0))</f>
        <v/>
      </c>
      <c r="AK178" s="34"/>
      <c r="AL178" s="34"/>
      <c r="AM178" s="35"/>
      <c r="AN178" s="34"/>
      <c r="AO178" s="34"/>
      <c r="AP178" s="35"/>
      <c r="AQ178" s="34"/>
      <c r="AR178" s="34"/>
      <c r="AS178" s="34"/>
      <c r="AT178" s="35"/>
      <c r="AU178" s="35"/>
    </row>
    <row r="179" customFormat="false" ht="15" hidden="false" customHeight="false" outlineLevel="0" collapsed="false">
      <c r="A179" s="24"/>
      <c r="B179" s="24"/>
      <c r="C179" s="24"/>
      <c r="D179" s="24"/>
      <c r="E179" s="24"/>
      <c r="F179" s="24"/>
      <c r="G179" s="24"/>
      <c r="H179" s="24"/>
      <c r="I179" s="32"/>
      <c r="J179" s="32"/>
      <c r="K179" s="32"/>
      <c r="L179" s="32"/>
      <c r="M179" s="24"/>
      <c r="N179" s="24"/>
      <c r="O179" s="24"/>
      <c r="P179" s="33" t="str">
        <f aca="false">IF(AND(G179&lt;&gt;"",I179&lt;&gt;"",J179&lt;&gt;""),(J179-I179)*1440,"")</f>
        <v/>
      </c>
      <c r="Q179" s="33" t="str">
        <f aca="false">IF(AND(G179&lt;&gt;"",J179&lt;&gt;"",K179&lt;&gt;""),(K179-J179)*1440,"")</f>
        <v/>
      </c>
      <c r="R179" s="33" t="str">
        <f aca="false">IF(AND(G179&lt;&gt;"",K179&lt;&gt;"",L179&lt;&gt;""),(L179-K179)*1440,"")</f>
        <v/>
      </c>
      <c r="S179" s="33" t="str">
        <f aca="false">IF(AND(G179&lt;&gt;"",I179&lt;&gt;"",L179&lt;&gt;""),(L179-I179)*1440,"")</f>
        <v/>
      </c>
      <c r="T179" s="33" t="str">
        <f aca="false">IF(G179="","",IFERROR(INDEX(Settings!$B$5:$B$8,MATCH(G179,Settings!$A$5:$A$8,0)),""))</f>
        <v/>
      </c>
      <c r="U179" s="25" t="str">
        <f aca="false">IF(G179="","",IF(S179="","No",IF(S179&lt;=T179,"Yes","No")))</f>
        <v/>
      </c>
      <c r="V179" s="25" t="str">
        <f aca="false">IF(G179="","",IF(AND(J179="",K179="",L179=""),"Telemetry Blind Spot",IF(AND(K179="",L179=""),"Missed Alert",IF(L179="","Triage Delay",IF(S179&lt;=T179,"Detected - Within SLA",IF(AND(R179&lt;&gt;"",R179&gt;IFERROR(INDEX(Settings!$C$5:$C$8,MATCH(G179,Settings!$A$5:$A$8,0)),1E+099)),"Triage Delay","Detected - SLA Breach"))))))</f>
        <v/>
      </c>
      <c r="W179" s="25" t="str">
        <f aca="false">IF(G179="","",IF(L179&lt;&gt;"",1,0))</f>
        <v/>
      </c>
      <c r="X179" s="32"/>
      <c r="Y179" s="32"/>
      <c r="Z179" s="32"/>
      <c r="AA179" s="24"/>
      <c r="AB179" s="24"/>
      <c r="AC179" s="33" t="str">
        <f aca="false">IF(AND(G179&lt;&gt;"",L179&lt;&gt;"",X179&lt;&gt;""),(X179-L179)*1440,"")</f>
        <v/>
      </c>
      <c r="AD179" s="33" t="str">
        <f aca="false">IF(AND(G179&lt;&gt;"",X179&lt;&gt;"",Y179&lt;&gt;""),(Y179-X179)*1440,"")</f>
        <v/>
      </c>
      <c r="AE179" s="33" t="str">
        <f aca="false">IF(AND(G179&lt;&gt;"",Y179&lt;&gt;"",Z179&lt;&gt;""),(Z179-Y179)*1440,"")</f>
        <v/>
      </c>
      <c r="AF179" s="33" t="str">
        <f aca="false">IF(AND(G179&lt;&gt;"",L179&lt;&gt;"",Z179&lt;&gt;""),(Z179-L179)*1440,"")</f>
        <v/>
      </c>
      <c r="AG179" s="33" t="str">
        <f aca="false">IF(G179="","",IFERROR(INDEX(Settings!$D$5:$D$8,MATCH(G179,Settings!$A$5:$A$8,0)),""))</f>
        <v/>
      </c>
      <c r="AH179" s="25" t="str">
        <f aca="false">IF(G179="","",IF(AF179="","No",IF(AF179&lt;=AG179,"Yes","No")))</f>
        <v/>
      </c>
      <c r="AI179" s="25" t="str">
        <f aca="false">IF(G179="","",IF(L179="","N/A - Not Detected",IF(AND(X179="",Y179="",Z179=""),"No Containment Action",IF(Z179="",IF(Y179&lt;&gt;"","C2 Persisted","Host Isolation Gap"),IF(AF179&lt;=AG179,"Contained - Within SLA","Contained - SLA Breach")))))</f>
        <v/>
      </c>
      <c r="AJ179" s="25" t="str">
        <f aca="false">IF(G179="","",IF(Z179&lt;&gt;"",1,0))</f>
        <v/>
      </c>
      <c r="AK179" s="34"/>
      <c r="AL179" s="34"/>
      <c r="AM179" s="35"/>
      <c r="AN179" s="34"/>
      <c r="AO179" s="34"/>
      <c r="AP179" s="35"/>
      <c r="AQ179" s="34"/>
      <c r="AR179" s="34"/>
      <c r="AS179" s="34"/>
      <c r="AT179" s="35"/>
      <c r="AU179" s="35"/>
    </row>
    <row r="180" customFormat="false" ht="15" hidden="false" customHeight="false" outlineLevel="0" collapsed="false">
      <c r="A180" s="24"/>
      <c r="B180" s="24"/>
      <c r="C180" s="24"/>
      <c r="D180" s="24"/>
      <c r="E180" s="24"/>
      <c r="F180" s="24"/>
      <c r="G180" s="24"/>
      <c r="H180" s="24"/>
      <c r="I180" s="32"/>
      <c r="J180" s="32"/>
      <c r="K180" s="32"/>
      <c r="L180" s="32"/>
      <c r="M180" s="24"/>
      <c r="N180" s="24"/>
      <c r="O180" s="24"/>
      <c r="P180" s="33" t="str">
        <f aca="false">IF(AND(G180&lt;&gt;"",I180&lt;&gt;"",J180&lt;&gt;""),(J180-I180)*1440,"")</f>
        <v/>
      </c>
      <c r="Q180" s="33" t="str">
        <f aca="false">IF(AND(G180&lt;&gt;"",J180&lt;&gt;"",K180&lt;&gt;""),(K180-J180)*1440,"")</f>
        <v/>
      </c>
      <c r="R180" s="33" t="str">
        <f aca="false">IF(AND(G180&lt;&gt;"",K180&lt;&gt;"",L180&lt;&gt;""),(L180-K180)*1440,"")</f>
        <v/>
      </c>
      <c r="S180" s="33" t="str">
        <f aca="false">IF(AND(G180&lt;&gt;"",I180&lt;&gt;"",L180&lt;&gt;""),(L180-I180)*1440,"")</f>
        <v/>
      </c>
      <c r="T180" s="33" t="str">
        <f aca="false">IF(G180="","",IFERROR(INDEX(Settings!$B$5:$B$8,MATCH(G180,Settings!$A$5:$A$8,0)),""))</f>
        <v/>
      </c>
      <c r="U180" s="25" t="str">
        <f aca="false">IF(G180="","",IF(S180="","No",IF(S180&lt;=T180,"Yes","No")))</f>
        <v/>
      </c>
      <c r="V180" s="25" t="str">
        <f aca="false">IF(G180="","",IF(AND(J180="",K180="",L180=""),"Telemetry Blind Spot",IF(AND(K180="",L180=""),"Missed Alert",IF(L180="","Triage Delay",IF(S180&lt;=T180,"Detected - Within SLA",IF(AND(R180&lt;&gt;"",R180&gt;IFERROR(INDEX(Settings!$C$5:$C$8,MATCH(G180,Settings!$A$5:$A$8,0)),1E+099)),"Triage Delay","Detected - SLA Breach"))))))</f>
        <v/>
      </c>
      <c r="W180" s="25" t="str">
        <f aca="false">IF(G180="","",IF(L180&lt;&gt;"",1,0))</f>
        <v/>
      </c>
      <c r="X180" s="32"/>
      <c r="Y180" s="32"/>
      <c r="Z180" s="32"/>
      <c r="AA180" s="24"/>
      <c r="AB180" s="24"/>
      <c r="AC180" s="33" t="str">
        <f aca="false">IF(AND(G180&lt;&gt;"",L180&lt;&gt;"",X180&lt;&gt;""),(X180-L180)*1440,"")</f>
        <v/>
      </c>
      <c r="AD180" s="33" t="str">
        <f aca="false">IF(AND(G180&lt;&gt;"",X180&lt;&gt;"",Y180&lt;&gt;""),(Y180-X180)*1440,"")</f>
        <v/>
      </c>
      <c r="AE180" s="33" t="str">
        <f aca="false">IF(AND(G180&lt;&gt;"",Y180&lt;&gt;"",Z180&lt;&gt;""),(Z180-Y180)*1440,"")</f>
        <v/>
      </c>
      <c r="AF180" s="33" t="str">
        <f aca="false">IF(AND(G180&lt;&gt;"",L180&lt;&gt;"",Z180&lt;&gt;""),(Z180-L180)*1440,"")</f>
        <v/>
      </c>
      <c r="AG180" s="33" t="str">
        <f aca="false">IF(G180="","",IFERROR(INDEX(Settings!$D$5:$D$8,MATCH(G180,Settings!$A$5:$A$8,0)),""))</f>
        <v/>
      </c>
      <c r="AH180" s="25" t="str">
        <f aca="false">IF(G180="","",IF(AF180="","No",IF(AF180&lt;=AG180,"Yes","No")))</f>
        <v/>
      </c>
      <c r="AI180" s="25" t="str">
        <f aca="false">IF(G180="","",IF(L180="","N/A - Not Detected",IF(AND(X180="",Y180="",Z180=""),"No Containment Action",IF(Z180="",IF(Y180&lt;&gt;"","C2 Persisted","Host Isolation Gap"),IF(AF180&lt;=AG180,"Contained - Within SLA","Contained - SLA Breach")))))</f>
        <v/>
      </c>
      <c r="AJ180" s="25" t="str">
        <f aca="false">IF(G180="","",IF(Z180&lt;&gt;"",1,0))</f>
        <v/>
      </c>
      <c r="AK180" s="34"/>
      <c r="AL180" s="34"/>
      <c r="AM180" s="35"/>
      <c r="AN180" s="34"/>
      <c r="AO180" s="34"/>
      <c r="AP180" s="35"/>
      <c r="AQ180" s="34"/>
      <c r="AR180" s="34"/>
      <c r="AS180" s="34"/>
      <c r="AT180" s="35"/>
      <c r="AU180" s="35"/>
    </row>
    <row r="181" customFormat="false" ht="15" hidden="false" customHeight="false" outlineLevel="0" collapsed="false">
      <c r="A181" s="24"/>
      <c r="B181" s="24"/>
      <c r="C181" s="24"/>
      <c r="D181" s="24"/>
      <c r="E181" s="24"/>
      <c r="F181" s="24"/>
      <c r="G181" s="24"/>
      <c r="H181" s="24"/>
      <c r="I181" s="32"/>
      <c r="J181" s="32"/>
      <c r="K181" s="32"/>
      <c r="L181" s="32"/>
      <c r="M181" s="24"/>
      <c r="N181" s="24"/>
      <c r="O181" s="24"/>
      <c r="P181" s="33" t="str">
        <f aca="false">IF(AND(G181&lt;&gt;"",I181&lt;&gt;"",J181&lt;&gt;""),(J181-I181)*1440,"")</f>
        <v/>
      </c>
      <c r="Q181" s="33" t="str">
        <f aca="false">IF(AND(G181&lt;&gt;"",J181&lt;&gt;"",K181&lt;&gt;""),(K181-J181)*1440,"")</f>
        <v/>
      </c>
      <c r="R181" s="33" t="str">
        <f aca="false">IF(AND(G181&lt;&gt;"",K181&lt;&gt;"",L181&lt;&gt;""),(L181-K181)*1440,"")</f>
        <v/>
      </c>
      <c r="S181" s="33" t="str">
        <f aca="false">IF(AND(G181&lt;&gt;"",I181&lt;&gt;"",L181&lt;&gt;""),(L181-I181)*1440,"")</f>
        <v/>
      </c>
      <c r="T181" s="33" t="str">
        <f aca="false">IF(G181="","",IFERROR(INDEX(Settings!$B$5:$B$8,MATCH(G181,Settings!$A$5:$A$8,0)),""))</f>
        <v/>
      </c>
      <c r="U181" s="25" t="str">
        <f aca="false">IF(G181="","",IF(S181="","No",IF(S181&lt;=T181,"Yes","No")))</f>
        <v/>
      </c>
      <c r="V181" s="25" t="str">
        <f aca="false">IF(G181="","",IF(AND(J181="",K181="",L181=""),"Telemetry Blind Spot",IF(AND(K181="",L181=""),"Missed Alert",IF(L181="","Triage Delay",IF(S181&lt;=T181,"Detected - Within SLA",IF(AND(R181&lt;&gt;"",R181&gt;IFERROR(INDEX(Settings!$C$5:$C$8,MATCH(G181,Settings!$A$5:$A$8,0)),1E+099)),"Triage Delay","Detected - SLA Breach"))))))</f>
        <v/>
      </c>
      <c r="W181" s="25" t="str">
        <f aca="false">IF(G181="","",IF(L181&lt;&gt;"",1,0))</f>
        <v/>
      </c>
      <c r="X181" s="32"/>
      <c r="Y181" s="32"/>
      <c r="Z181" s="32"/>
      <c r="AA181" s="24"/>
      <c r="AB181" s="24"/>
      <c r="AC181" s="33" t="str">
        <f aca="false">IF(AND(G181&lt;&gt;"",L181&lt;&gt;"",X181&lt;&gt;""),(X181-L181)*1440,"")</f>
        <v/>
      </c>
      <c r="AD181" s="33" t="str">
        <f aca="false">IF(AND(G181&lt;&gt;"",X181&lt;&gt;"",Y181&lt;&gt;""),(Y181-X181)*1440,"")</f>
        <v/>
      </c>
      <c r="AE181" s="33" t="str">
        <f aca="false">IF(AND(G181&lt;&gt;"",Y181&lt;&gt;"",Z181&lt;&gt;""),(Z181-Y181)*1440,"")</f>
        <v/>
      </c>
      <c r="AF181" s="33" t="str">
        <f aca="false">IF(AND(G181&lt;&gt;"",L181&lt;&gt;"",Z181&lt;&gt;""),(Z181-L181)*1440,"")</f>
        <v/>
      </c>
      <c r="AG181" s="33" t="str">
        <f aca="false">IF(G181="","",IFERROR(INDEX(Settings!$D$5:$D$8,MATCH(G181,Settings!$A$5:$A$8,0)),""))</f>
        <v/>
      </c>
      <c r="AH181" s="25" t="str">
        <f aca="false">IF(G181="","",IF(AF181="","No",IF(AF181&lt;=AG181,"Yes","No")))</f>
        <v/>
      </c>
      <c r="AI181" s="25" t="str">
        <f aca="false">IF(G181="","",IF(L181="","N/A - Not Detected",IF(AND(X181="",Y181="",Z181=""),"No Containment Action",IF(Z181="",IF(Y181&lt;&gt;"","C2 Persisted","Host Isolation Gap"),IF(AF181&lt;=AG181,"Contained - Within SLA","Contained - SLA Breach")))))</f>
        <v/>
      </c>
      <c r="AJ181" s="25" t="str">
        <f aca="false">IF(G181="","",IF(Z181&lt;&gt;"",1,0))</f>
        <v/>
      </c>
      <c r="AK181" s="34"/>
      <c r="AL181" s="34"/>
      <c r="AM181" s="35"/>
      <c r="AN181" s="34"/>
      <c r="AO181" s="34"/>
      <c r="AP181" s="35"/>
      <c r="AQ181" s="34"/>
      <c r="AR181" s="34"/>
      <c r="AS181" s="34"/>
      <c r="AT181" s="35"/>
      <c r="AU181" s="35"/>
    </row>
    <row r="182" customFormat="false" ht="15" hidden="false" customHeight="false" outlineLevel="0" collapsed="false">
      <c r="A182" s="24"/>
      <c r="B182" s="24"/>
      <c r="C182" s="24"/>
      <c r="D182" s="24"/>
      <c r="E182" s="24"/>
      <c r="F182" s="24"/>
      <c r="G182" s="24"/>
      <c r="H182" s="24"/>
      <c r="I182" s="32"/>
      <c r="J182" s="32"/>
      <c r="K182" s="32"/>
      <c r="L182" s="32"/>
      <c r="M182" s="24"/>
      <c r="N182" s="24"/>
      <c r="O182" s="24"/>
      <c r="P182" s="33" t="str">
        <f aca="false">IF(AND(G182&lt;&gt;"",I182&lt;&gt;"",J182&lt;&gt;""),(J182-I182)*1440,"")</f>
        <v/>
      </c>
      <c r="Q182" s="33" t="str">
        <f aca="false">IF(AND(G182&lt;&gt;"",J182&lt;&gt;"",K182&lt;&gt;""),(K182-J182)*1440,"")</f>
        <v/>
      </c>
      <c r="R182" s="33" t="str">
        <f aca="false">IF(AND(G182&lt;&gt;"",K182&lt;&gt;"",L182&lt;&gt;""),(L182-K182)*1440,"")</f>
        <v/>
      </c>
      <c r="S182" s="33" t="str">
        <f aca="false">IF(AND(G182&lt;&gt;"",I182&lt;&gt;"",L182&lt;&gt;""),(L182-I182)*1440,"")</f>
        <v/>
      </c>
      <c r="T182" s="33" t="str">
        <f aca="false">IF(G182="","",IFERROR(INDEX(Settings!$B$5:$B$8,MATCH(G182,Settings!$A$5:$A$8,0)),""))</f>
        <v/>
      </c>
      <c r="U182" s="25" t="str">
        <f aca="false">IF(G182="","",IF(S182="","No",IF(S182&lt;=T182,"Yes","No")))</f>
        <v/>
      </c>
      <c r="V182" s="25" t="str">
        <f aca="false">IF(G182="","",IF(AND(J182="",K182="",L182=""),"Telemetry Blind Spot",IF(AND(K182="",L182=""),"Missed Alert",IF(L182="","Triage Delay",IF(S182&lt;=T182,"Detected - Within SLA",IF(AND(R182&lt;&gt;"",R182&gt;IFERROR(INDEX(Settings!$C$5:$C$8,MATCH(G182,Settings!$A$5:$A$8,0)),1E+099)),"Triage Delay","Detected - SLA Breach"))))))</f>
        <v/>
      </c>
      <c r="W182" s="25" t="str">
        <f aca="false">IF(G182="","",IF(L182&lt;&gt;"",1,0))</f>
        <v/>
      </c>
      <c r="X182" s="32"/>
      <c r="Y182" s="32"/>
      <c r="Z182" s="32"/>
      <c r="AA182" s="24"/>
      <c r="AB182" s="24"/>
      <c r="AC182" s="33" t="str">
        <f aca="false">IF(AND(G182&lt;&gt;"",L182&lt;&gt;"",X182&lt;&gt;""),(X182-L182)*1440,"")</f>
        <v/>
      </c>
      <c r="AD182" s="33" t="str">
        <f aca="false">IF(AND(G182&lt;&gt;"",X182&lt;&gt;"",Y182&lt;&gt;""),(Y182-X182)*1440,"")</f>
        <v/>
      </c>
      <c r="AE182" s="33" t="str">
        <f aca="false">IF(AND(G182&lt;&gt;"",Y182&lt;&gt;"",Z182&lt;&gt;""),(Z182-Y182)*1440,"")</f>
        <v/>
      </c>
      <c r="AF182" s="33" t="str">
        <f aca="false">IF(AND(G182&lt;&gt;"",L182&lt;&gt;"",Z182&lt;&gt;""),(Z182-L182)*1440,"")</f>
        <v/>
      </c>
      <c r="AG182" s="33" t="str">
        <f aca="false">IF(G182="","",IFERROR(INDEX(Settings!$D$5:$D$8,MATCH(G182,Settings!$A$5:$A$8,0)),""))</f>
        <v/>
      </c>
      <c r="AH182" s="25" t="str">
        <f aca="false">IF(G182="","",IF(AF182="","No",IF(AF182&lt;=AG182,"Yes","No")))</f>
        <v/>
      </c>
      <c r="AI182" s="25" t="str">
        <f aca="false">IF(G182="","",IF(L182="","N/A - Not Detected",IF(AND(X182="",Y182="",Z182=""),"No Containment Action",IF(Z182="",IF(Y182&lt;&gt;"","C2 Persisted","Host Isolation Gap"),IF(AF182&lt;=AG182,"Contained - Within SLA","Contained - SLA Breach")))))</f>
        <v/>
      </c>
      <c r="AJ182" s="25" t="str">
        <f aca="false">IF(G182="","",IF(Z182&lt;&gt;"",1,0))</f>
        <v/>
      </c>
      <c r="AK182" s="34"/>
      <c r="AL182" s="34"/>
      <c r="AM182" s="35"/>
      <c r="AN182" s="34"/>
      <c r="AO182" s="34"/>
      <c r="AP182" s="35"/>
      <c r="AQ182" s="34"/>
      <c r="AR182" s="34"/>
      <c r="AS182" s="34"/>
      <c r="AT182" s="35"/>
      <c r="AU182" s="35"/>
    </row>
    <row r="183" customFormat="false" ht="15" hidden="false" customHeight="false" outlineLevel="0" collapsed="false">
      <c r="A183" s="24"/>
      <c r="B183" s="24"/>
      <c r="C183" s="24"/>
      <c r="D183" s="24"/>
      <c r="E183" s="24"/>
      <c r="F183" s="24"/>
      <c r="G183" s="24"/>
      <c r="H183" s="24"/>
      <c r="I183" s="32"/>
      <c r="J183" s="32"/>
      <c r="K183" s="32"/>
      <c r="L183" s="32"/>
      <c r="M183" s="24"/>
      <c r="N183" s="24"/>
      <c r="O183" s="24"/>
      <c r="P183" s="33" t="str">
        <f aca="false">IF(AND(G183&lt;&gt;"",I183&lt;&gt;"",J183&lt;&gt;""),(J183-I183)*1440,"")</f>
        <v/>
      </c>
      <c r="Q183" s="33" t="str">
        <f aca="false">IF(AND(G183&lt;&gt;"",J183&lt;&gt;"",K183&lt;&gt;""),(K183-J183)*1440,"")</f>
        <v/>
      </c>
      <c r="R183" s="33" t="str">
        <f aca="false">IF(AND(G183&lt;&gt;"",K183&lt;&gt;"",L183&lt;&gt;""),(L183-K183)*1440,"")</f>
        <v/>
      </c>
      <c r="S183" s="33" t="str">
        <f aca="false">IF(AND(G183&lt;&gt;"",I183&lt;&gt;"",L183&lt;&gt;""),(L183-I183)*1440,"")</f>
        <v/>
      </c>
      <c r="T183" s="33" t="str">
        <f aca="false">IF(G183="","",IFERROR(INDEX(Settings!$B$5:$B$8,MATCH(G183,Settings!$A$5:$A$8,0)),""))</f>
        <v/>
      </c>
      <c r="U183" s="25" t="str">
        <f aca="false">IF(G183="","",IF(S183="","No",IF(S183&lt;=T183,"Yes","No")))</f>
        <v/>
      </c>
      <c r="V183" s="25" t="str">
        <f aca="false">IF(G183="","",IF(AND(J183="",K183="",L183=""),"Telemetry Blind Spot",IF(AND(K183="",L183=""),"Missed Alert",IF(L183="","Triage Delay",IF(S183&lt;=T183,"Detected - Within SLA",IF(AND(R183&lt;&gt;"",R183&gt;IFERROR(INDEX(Settings!$C$5:$C$8,MATCH(G183,Settings!$A$5:$A$8,0)),1E+099)),"Triage Delay","Detected - SLA Breach"))))))</f>
        <v/>
      </c>
      <c r="W183" s="25" t="str">
        <f aca="false">IF(G183="","",IF(L183&lt;&gt;"",1,0))</f>
        <v/>
      </c>
      <c r="X183" s="32"/>
      <c r="Y183" s="32"/>
      <c r="Z183" s="32"/>
      <c r="AA183" s="24"/>
      <c r="AB183" s="24"/>
      <c r="AC183" s="33" t="str">
        <f aca="false">IF(AND(G183&lt;&gt;"",L183&lt;&gt;"",X183&lt;&gt;""),(X183-L183)*1440,"")</f>
        <v/>
      </c>
      <c r="AD183" s="33" t="str">
        <f aca="false">IF(AND(G183&lt;&gt;"",X183&lt;&gt;"",Y183&lt;&gt;""),(Y183-X183)*1440,"")</f>
        <v/>
      </c>
      <c r="AE183" s="33" t="str">
        <f aca="false">IF(AND(G183&lt;&gt;"",Y183&lt;&gt;"",Z183&lt;&gt;""),(Z183-Y183)*1440,"")</f>
        <v/>
      </c>
      <c r="AF183" s="33" t="str">
        <f aca="false">IF(AND(G183&lt;&gt;"",L183&lt;&gt;"",Z183&lt;&gt;""),(Z183-L183)*1440,"")</f>
        <v/>
      </c>
      <c r="AG183" s="33" t="str">
        <f aca="false">IF(G183="","",IFERROR(INDEX(Settings!$D$5:$D$8,MATCH(G183,Settings!$A$5:$A$8,0)),""))</f>
        <v/>
      </c>
      <c r="AH183" s="25" t="str">
        <f aca="false">IF(G183="","",IF(AF183="","No",IF(AF183&lt;=AG183,"Yes","No")))</f>
        <v/>
      </c>
      <c r="AI183" s="25" t="str">
        <f aca="false">IF(G183="","",IF(L183="","N/A - Not Detected",IF(AND(X183="",Y183="",Z183=""),"No Containment Action",IF(Z183="",IF(Y183&lt;&gt;"","C2 Persisted","Host Isolation Gap"),IF(AF183&lt;=AG183,"Contained - Within SLA","Contained - SLA Breach")))))</f>
        <v/>
      </c>
      <c r="AJ183" s="25" t="str">
        <f aca="false">IF(G183="","",IF(Z183&lt;&gt;"",1,0))</f>
        <v/>
      </c>
      <c r="AK183" s="34"/>
      <c r="AL183" s="34"/>
      <c r="AM183" s="35"/>
      <c r="AN183" s="34"/>
      <c r="AO183" s="34"/>
      <c r="AP183" s="35"/>
      <c r="AQ183" s="34"/>
      <c r="AR183" s="34"/>
      <c r="AS183" s="34"/>
      <c r="AT183" s="35"/>
      <c r="AU183" s="35"/>
    </row>
    <row r="184" customFormat="false" ht="15" hidden="false" customHeight="false" outlineLevel="0" collapsed="false">
      <c r="A184" s="24"/>
      <c r="B184" s="24"/>
      <c r="C184" s="24"/>
      <c r="D184" s="24"/>
      <c r="E184" s="24"/>
      <c r="F184" s="24"/>
      <c r="G184" s="24"/>
      <c r="H184" s="24"/>
      <c r="I184" s="32"/>
      <c r="J184" s="32"/>
      <c r="K184" s="32"/>
      <c r="L184" s="32"/>
      <c r="M184" s="24"/>
      <c r="N184" s="24"/>
      <c r="O184" s="24"/>
      <c r="P184" s="33" t="str">
        <f aca="false">IF(AND(G184&lt;&gt;"",I184&lt;&gt;"",J184&lt;&gt;""),(J184-I184)*1440,"")</f>
        <v/>
      </c>
      <c r="Q184" s="33" t="str">
        <f aca="false">IF(AND(G184&lt;&gt;"",J184&lt;&gt;"",K184&lt;&gt;""),(K184-J184)*1440,"")</f>
        <v/>
      </c>
      <c r="R184" s="33" t="str">
        <f aca="false">IF(AND(G184&lt;&gt;"",K184&lt;&gt;"",L184&lt;&gt;""),(L184-K184)*1440,"")</f>
        <v/>
      </c>
      <c r="S184" s="33" t="str">
        <f aca="false">IF(AND(G184&lt;&gt;"",I184&lt;&gt;"",L184&lt;&gt;""),(L184-I184)*1440,"")</f>
        <v/>
      </c>
      <c r="T184" s="33" t="str">
        <f aca="false">IF(G184="","",IFERROR(INDEX(Settings!$B$5:$B$8,MATCH(G184,Settings!$A$5:$A$8,0)),""))</f>
        <v/>
      </c>
      <c r="U184" s="25" t="str">
        <f aca="false">IF(G184="","",IF(S184="","No",IF(S184&lt;=T184,"Yes","No")))</f>
        <v/>
      </c>
      <c r="V184" s="25" t="str">
        <f aca="false">IF(G184="","",IF(AND(J184="",K184="",L184=""),"Telemetry Blind Spot",IF(AND(K184="",L184=""),"Missed Alert",IF(L184="","Triage Delay",IF(S184&lt;=T184,"Detected - Within SLA",IF(AND(R184&lt;&gt;"",R184&gt;IFERROR(INDEX(Settings!$C$5:$C$8,MATCH(G184,Settings!$A$5:$A$8,0)),1E+099)),"Triage Delay","Detected - SLA Breach"))))))</f>
        <v/>
      </c>
      <c r="W184" s="25" t="str">
        <f aca="false">IF(G184="","",IF(L184&lt;&gt;"",1,0))</f>
        <v/>
      </c>
      <c r="X184" s="32"/>
      <c r="Y184" s="32"/>
      <c r="Z184" s="32"/>
      <c r="AA184" s="24"/>
      <c r="AB184" s="24"/>
      <c r="AC184" s="33" t="str">
        <f aca="false">IF(AND(G184&lt;&gt;"",L184&lt;&gt;"",X184&lt;&gt;""),(X184-L184)*1440,"")</f>
        <v/>
      </c>
      <c r="AD184" s="33" t="str">
        <f aca="false">IF(AND(G184&lt;&gt;"",X184&lt;&gt;"",Y184&lt;&gt;""),(Y184-X184)*1440,"")</f>
        <v/>
      </c>
      <c r="AE184" s="33" t="str">
        <f aca="false">IF(AND(G184&lt;&gt;"",Y184&lt;&gt;"",Z184&lt;&gt;""),(Z184-Y184)*1440,"")</f>
        <v/>
      </c>
      <c r="AF184" s="33" t="str">
        <f aca="false">IF(AND(G184&lt;&gt;"",L184&lt;&gt;"",Z184&lt;&gt;""),(Z184-L184)*1440,"")</f>
        <v/>
      </c>
      <c r="AG184" s="33" t="str">
        <f aca="false">IF(G184="","",IFERROR(INDEX(Settings!$D$5:$D$8,MATCH(G184,Settings!$A$5:$A$8,0)),""))</f>
        <v/>
      </c>
      <c r="AH184" s="25" t="str">
        <f aca="false">IF(G184="","",IF(AF184="","No",IF(AF184&lt;=AG184,"Yes","No")))</f>
        <v/>
      </c>
      <c r="AI184" s="25" t="str">
        <f aca="false">IF(G184="","",IF(L184="","N/A - Not Detected",IF(AND(X184="",Y184="",Z184=""),"No Containment Action",IF(Z184="",IF(Y184&lt;&gt;"","C2 Persisted","Host Isolation Gap"),IF(AF184&lt;=AG184,"Contained - Within SLA","Contained - SLA Breach")))))</f>
        <v/>
      </c>
      <c r="AJ184" s="25" t="str">
        <f aca="false">IF(G184="","",IF(Z184&lt;&gt;"",1,0))</f>
        <v/>
      </c>
      <c r="AK184" s="34"/>
      <c r="AL184" s="34"/>
      <c r="AM184" s="35"/>
      <c r="AN184" s="34"/>
      <c r="AO184" s="34"/>
      <c r="AP184" s="35"/>
      <c r="AQ184" s="34"/>
      <c r="AR184" s="34"/>
      <c r="AS184" s="34"/>
      <c r="AT184" s="35"/>
      <c r="AU184" s="35"/>
    </row>
    <row r="185" customFormat="false" ht="15" hidden="false" customHeight="false" outlineLevel="0" collapsed="false">
      <c r="A185" s="24"/>
      <c r="B185" s="24"/>
      <c r="C185" s="24"/>
      <c r="D185" s="24"/>
      <c r="E185" s="24"/>
      <c r="F185" s="24"/>
      <c r="G185" s="24"/>
      <c r="H185" s="24"/>
      <c r="I185" s="32"/>
      <c r="J185" s="32"/>
      <c r="K185" s="32"/>
      <c r="L185" s="32"/>
      <c r="M185" s="24"/>
      <c r="N185" s="24"/>
      <c r="O185" s="24"/>
      <c r="P185" s="33" t="str">
        <f aca="false">IF(AND(G185&lt;&gt;"",I185&lt;&gt;"",J185&lt;&gt;""),(J185-I185)*1440,"")</f>
        <v/>
      </c>
      <c r="Q185" s="33" t="str">
        <f aca="false">IF(AND(G185&lt;&gt;"",J185&lt;&gt;"",K185&lt;&gt;""),(K185-J185)*1440,"")</f>
        <v/>
      </c>
      <c r="R185" s="33" t="str">
        <f aca="false">IF(AND(G185&lt;&gt;"",K185&lt;&gt;"",L185&lt;&gt;""),(L185-K185)*1440,"")</f>
        <v/>
      </c>
      <c r="S185" s="33" t="str">
        <f aca="false">IF(AND(G185&lt;&gt;"",I185&lt;&gt;"",L185&lt;&gt;""),(L185-I185)*1440,"")</f>
        <v/>
      </c>
      <c r="T185" s="33" t="str">
        <f aca="false">IF(G185="","",IFERROR(INDEX(Settings!$B$5:$B$8,MATCH(G185,Settings!$A$5:$A$8,0)),""))</f>
        <v/>
      </c>
      <c r="U185" s="25" t="str">
        <f aca="false">IF(G185="","",IF(S185="","No",IF(S185&lt;=T185,"Yes","No")))</f>
        <v/>
      </c>
      <c r="V185" s="25" t="str">
        <f aca="false">IF(G185="","",IF(AND(J185="",K185="",L185=""),"Telemetry Blind Spot",IF(AND(K185="",L185=""),"Missed Alert",IF(L185="","Triage Delay",IF(S185&lt;=T185,"Detected - Within SLA",IF(AND(R185&lt;&gt;"",R185&gt;IFERROR(INDEX(Settings!$C$5:$C$8,MATCH(G185,Settings!$A$5:$A$8,0)),1E+099)),"Triage Delay","Detected - SLA Breach"))))))</f>
        <v/>
      </c>
      <c r="W185" s="25" t="str">
        <f aca="false">IF(G185="","",IF(L185&lt;&gt;"",1,0))</f>
        <v/>
      </c>
      <c r="X185" s="32"/>
      <c r="Y185" s="32"/>
      <c r="Z185" s="32"/>
      <c r="AA185" s="24"/>
      <c r="AB185" s="24"/>
      <c r="AC185" s="33" t="str">
        <f aca="false">IF(AND(G185&lt;&gt;"",L185&lt;&gt;"",X185&lt;&gt;""),(X185-L185)*1440,"")</f>
        <v/>
      </c>
      <c r="AD185" s="33" t="str">
        <f aca="false">IF(AND(G185&lt;&gt;"",X185&lt;&gt;"",Y185&lt;&gt;""),(Y185-X185)*1440,"")</f>
        <v/>
      </c>
      <c r="AE185" s="33" t="str">
        <f aca="false">IF(AND(G185&lt;&gt;"",Y185&lt;&gt;"",Z185&lt;&gt;""),(Z185-Y185)*1440,"")</f>
        <v/>
      </c>
      <c r="AF185" s="33" t="str">
        <f aca="false">IF(AND(G185&lt;&gt;"",L185&lt;&gt;"",Z185&lt;&gt;""),(Z185-L185)*1440,"")</f>
        <v/>
      </c>
      <c r="AG185" s="33" t="str">
        <f aca="false">IF(G185="","",IFERROR(INDEX(Settings!$D$5:$D$8,MATCH(G185,Settings!$A$5:$A$8,0)),""))</f>
        <v/>
      </c>
      <c r="AH185" s="25" t="str">
        <f aca="false">IF(G185="","",IF(AF185="","No",IF(AF185&lt;=AG185,"Yes","No")))</f>
        <v/>
      </c>
      <c r="AI185" s="25" t="str">
        <f aca="false">IF(G185="","",IF(L185="","N/A - Not Detected",IF(AND(X185="",Y185="",Z185=""),"No Containment Action",IF(Z185="",IF(Y185&lt;&gt;"","C2 Persisted","Host Isolation Gap"),IF(AF185&lt;=AG185,"Contained - Within SLA","Contained - SLA Breach")))))</f>
        <v/>
      </c>
      <c r="AJ185" s="25" t="str">
        <f aca="false">IF(G185="","",IF(Z185&lt;&gt;"",1,0))</f>
        <v/>
      </c>
      <c r="AK185" s="34"/>
      <c r="AL185" s="34"/>
      <c r="AM185" s="35"/>
      <c r="AN185" s="34"/>
      <c r="AO185" s="34"/>
      <c r="AP185" s="35"/>
      <c r="AQ185" s="34"/>
      <c r="AR185" s="34"/>
      <c r="AS185" s="34"/>
      <c r="AT185" s="35"/>
      <c r="AU185" s="35"/>
    </row>
    <row r="186" customFormat="false" ht="15" hidden="false" customHeight="false" outlineLevel="0" collapsed="false">
      <c r="A186" s="24"/>
      <c r="B186" s="24"/>
      <c r="C186" s="24"/>
      <c r="D186" s="24"/>
      <c r="E186" s="24"/>
      <c r="F186" s="24"/>
      <c r="G186" s="24"/>
      <c r="H186" s="24"/>
      <c r="I186" s="32"/>
      <c r="J186" s="32"/>
      <c r="K186" s="32"/>
      <c r="L186" s="32"/>
      <c r="M186" s="24"/>
      <c r="N186" s="24"/>
      <c r="O186" s="24"/>
      <c r="P186" s="33" t="str">
        <f aca="false">IF(AND(G186&lt;&gt;"",I186&lt;&gt;"",J186&lt;&gt;""),(J186-I186)*1440,"")</f>
        <v/>
      </c>
      <c r="Q186" s="33" t="str">
        <f aca="false">IF(AND(G186&lt;&gt;"",J186&lt;&gt;"",K186&lt;&gt;""),(K186-J186)*1440,"")</f>
        <v/>
      </c>
      <c r="R186" s="33" t="str">
        <f aca="false">IF(AND(G186&lt;&gt;"",K186&lt;&gt;"",L186&lt;&gt;""),(L186-K186)*1440,"")</f>
        <v/>
      </c>
      <c r="S186" s="33" t="str">
        <f aca="false">IF(AND(G186&lt;&gt;"",I186&lt;&gt;"",L186&lt;&gt;""),(L186-I186)*1440,"")</f>
        <v/>
      </c>
      <c r="T186" s="33" t="str">
        <f aca="false">IF(G186="","",IFERROR(INDEX(Settings!$B$5:$B$8,MATCH(G186,Settings!$A$5:$A$8,0)),""))</f>
        <v/>
      </c>
      <c r="U186" s="25" t="str">
        <f aca="false">IF(G186="","",IF(S186="","No",IF(S186&lt;=T186,"Yes","No")))</f>
        <v/>
      </c>
      <c r="V186" s="25" t="str">
        <f aca="false">IF(G186="","",IF(AND(J186="",K186="",L186=""),"Telemetry Blind Spot",IF(AND(K186="",L186=""),"Missed Alert",IF(L186="","Triage Delay",IF(S186&lt;=T186,"Detected - Within SLA",IF(AND(R186&lt;&gt;"",R186&gt;IFERROR(INDEX(Settings!$C$5:$C$8,MATCH(G186,Settings!$A$5:$A$8,0)),1E+099)),"Triage Delay","Detected - SLA Breach"))))))</f>
        <v/>
      </c>
      <c r="W186" s="25" t="str">
        <f aca="false">IF(G186="","",IF(L186&lt;&gt;"",1,0))</f>
        <v/>
      </c>
      <c r="X186" s="32"/>
      <c r="Y186" s="32"/>
      <c r="Z186" s="32"/>
      <c r="AA186" s="24"/>
      <c r="AB186" s="24"/>
      <c r="AC186" s="33" t="str">
        <f aca="false">IF(AND(G186&lt;&gt;"",L186&lt;&gt;"",X186&lt;&gt;""),(X186-L186)*1440,"")</f>
        <v/>
      </c>
      <c r="AD186" s="33" t="str">
        <f aca="false">IF(AND(G186&lt;&gt;"",X186&lt;&gt;"",Y186&lt;&gt;""),(Y186-X186)*1440,"")</f>
        <v/>
      </c>
      <c r="AE186" s="33" t="str">
        <f aca="false">IF(AND(G186&lt;&gt;"",Y186&lt;&gt;"",Z186&lt;&gt;""),(Z186-Y186)*1440,"")</f>
        <v/>
      </c>
      <c r="AF186" s="33" t="str">
        <f aca="false">IF(AND(G186&lt;&gt;"",L186&lt;&gt;"",Z186&lt;&gt;""),(Z186-L186)*1440,"")</f>
        <v/>
      </c>
      <c r="AG186" s="33" t="str">
        <f aca="false">IF(G186="","",IFERROR(INDEX(Settings!$D$5:$D$8,MATCH(G186,Settings!$A$5:$A$8,0)),""))</f>
        <v/>
      </c>
      <c r="AH186" s="25" t="str">
        <f aca="false">IF(G186="","",IF(AF186="","No",IF(AF186&lt;=AG186,"Yes","No")))</f>
        <v/>
      </c>
      <c r="AI186" s="25" t="str">
        <f aca="false">IF(G186="","",IF(L186="","N/A - Not Detected",IF(AND(X186="",Y186="",Z186=""),"No Containment Action",IF(Z186="",IF(Y186&lt;&gt;"","C2 Persisted","Host Isolation Gap"),IF(AF186&lt;=AG186,"Contained - Within SLA","Contained - SLA Breach")))))</f>
        <v/>
      </c>
      <c r="AJ186" s="25" t="str">
        <f aca="false">IF(G186="","",IF(Z186&lt;&gt;"",1,0))</f>
        <v/>
      </c>
      <c r="AK186" s="34"/>
      <c r="AL186" s="34"/>
      <c r="AM186" s="35"/>
      <c r="AN186" s="34"/>
      <c r="AO186" s="34"/>
      <c r="AP186" s="35"/>
      <c r="AQ186" s="34"/>
      <c r="AR186" s="34"/>
      <c r="AS186" s="34"/>
      <c r="AT186" s="35"/>
      <c r="AU186" s="35"/>
    </row>
    <row r="187" customFormat="false" ht="15" hidden="false" customHeight="false" outlineLevel="0" collapsed="false">
      <c r="A187" s="24"/>
      <c r="B187" s="24"/>
      <c r="C187" s="24"/>
      <c r="D187" s="24"/>
      <c r="E187" s="24"/>
      <c r="F187" s="24"/>
      <c r="G187" s="24"/>
      <c r="H187" s="24"/>
      <c r="I187" s="32"/>
      <c r="J187" s="32"/>
      <c r="K187" s="32"/>
      <c r="L187" s="32"/>
      <c r="M187" s="24"/>
      <c r="N187" s="24"/>
      <c r="O187" s="24"/>
      <c r="P187" s="33" t="str">
        <f aca="false">IF(AND(G187&lt;&gt;"",I187&lt;&gt;"",J187&lt;&gt;""),(J187-I187)*1440,"")</f>
        <v/>
      </c>
      <c r="Q187" s="33" t="str">
        <f aca="false">IF(AND(G187&lt;&gt;"",J187&lt;&gt;"",K187&lt;&gt;""),(K187-J187)*1440,"")</f>
        <v/>
      </c>
      <c r="R187" s="33" t="str">
        <f aca="false">IF(AND(G187&lt;&gt;"",K187&lt;&gt;"",L187&lt;&gt;""),(L187-K187)*1440,"")</f>
        <v/>
      </c>
      <c r="S187" s="33" t="str">
        <f aca="false">IF(AND(G187&lt;&gt;"",I187&lt;&gt;"",L187&lt;&gt;""),(L187-I187)*1440,"")</f>
        <v/>
      </c>
      <c r="T187" s="33" t="str">
        <f aca="false">IF(G187="","",IFERROR(INDEX(Settings!$B$5:$B$8,MATCH(G187,Settings!$A$5:$A$8,0)),""))</f>
        <v/>
      </c>
      <c r="U187" s="25" t="str">
        <f aca="false">IF(G187="","",IF(S187="","No",IF(S187&lt;=T187,"Yes","No")))</f>
        <v/>
      </c>
      <c r="V187" s="25" t="str">
        <f aca="false">IF(G187="","",IF(AND(J187="",K187="",L187=""),"Telemetry Blind Spot",IF(AND(K187="",L187=""),"Missed Alert",IF(L187="","Triage Delay",IF(S187&lt;=T187,"Detected - Within SLA",IF(AND(R187&lt;&gt;"",R187&gt;IFERROR(INDEX(Settings!$C$5:$C$8,MATCH(G187,Settings!$A$5:$A$8,0)),1E+099)),"Triage Delay","Detected - SLA Breach"))))))</f>
        <v/>
      </c>
      <c r="W187" s="25" t="str">
        <f aca="false">IF(G187="","",IF(L187&lt;&gt;"",1,0))</f>
        <v/>
      </c>
      <c r="X187" s="32"/>
      <c r="Y187" s="32"/>
      <c r="Z187" s="32"/>
      <c r="AA187" s="24"/>
      <c r="AB187" s="24"/>
      <c r="AC187" s="33" t="str">
        <f aca="false">IF(AND(G187&lt;&gt;"",L187&lt;&gt;"",X187&lt;&gt;""),(X187-L187)*1440,"")</f>
        <v/>
      </c>
      <c r="AD187" s="33" t="str">
        <f aca="false">IF(AND(G187&lt;&gt;"",X187&lt;&gt;"",Y187&lt;&gt;""),(Y187-X187)*1440,"")</f>
        <v/>
      </c>
      <c r="AE187" s="33" t="str">
        <f aca="false">IF(AND(G187&lt;&gt;"",Y187&lt;&gt;"",Z187&lt;&gt;""),(Z187-Y187)*1440,"")</f>
        <v/>
      </c>
      <c r="AF187" s="33" t="str">
        <f aca="false">IF(AND(G187&lt;&gt;"",L187&lt;&gt;"",Z187&lt;&gt;""),(Z187-L187)*1440,"")</f>
        <v/>
      </c>
      <c r="AG187" s="33" t="str">
        <f aca="false">IF(G187="","",IFERROR(INDEX(Settings!$D$5:$D$8,MATCH(G187,Settings!$A$5:$A$8,0)),""))</f>
        <v/>
      </c>
      <c r="AH187" s="25" t="str">
        <f aca="false">IF(G187="","",IF(AF187="","No",IF(AF187&lt;=AG187,"Yes","No")))</f>
        <v/>
      </c>
      <c r="AI187" s="25" t="str">
        <f aca="false">IF(G187="","",IF(L187="","N/A - Not Detected",IF(AND(X187="",Y187="",Z187=""),"No Containment Action",IF(Z187="",IF(Y187&lt;&gt;"","C2 Persisted","Host Isolation Gap"),IF(AF187&lt;=AG187,"Contained - Within SLA","Contained - SLA Breach")))))</f>
        <v/>
      </c>
      <c r="AJ187" s="25" t="str">
        <f aca="false">IF(G187="","",IF(Z187&lt;&gt;"",1,0))</f>
        <v/>
      </c>
      <c r="AK187" s="34"/>
      <c r="AL187" s="34"/>
      <c r="AM187" s="35"/>
      <c r="AN187" s="34"/>
      <c r="AO187" s="34"/>
      <c r="AP187" s="35"/>
      <c r="AQ187" s="34"/>
      <c r="AR187" s="34"/>
      <c r="AS187" s="34"/>
      <c r="AT187" s="35"/>
      <c r="AU187" s="35"/>
    </row>
    <row r="188" customFormat="false" ht="15" hidden="false" customHeight="false" outlineLevel="0" collapsed="false">
      <c r="A188" s="24"/>
      <c r="B188" s="24"/>
      <c r="C188" s="24"/>
      <c r="D188" s="24"/>
      <c r="E188" s="24"/>
      <c r="F188" s="24"/>
      <c r="G188" s="24"/>
      <c r="H188" s="24"/>
      <c r="I188" s="32"/>
      <c r="J188" s="32"/>
      <c r="K188" s="32"/>
      <c r="L188" s="32"/>
      <c r="M188" s="24"/>
      <c r="N188" s="24"/>
      <c r="O188" s="24"/>
      <c r="P188" s="33" t="str">
        <f aca="false">IF(AND(G188&lt;&gt;"",I188&lt;&gt;"",J188&lt;&gt;""),(J188-I188)*1440,"")</f>
        <v/>
      </c>
      <c r="Q188" s="33" t="str">
        <f aca="false">IF(AND(G188&lt;&gt;"",J188&lt;&gt;"",K188&lt;&gt;""),(K188-J188)*1440,"")</f>
        <v/>
      </c>
      <c r="R188" s="33" t="str">
        <f aca="false">IF(AND(G188&lt;&gt;"",K188&lt;&gt;"",L188&lt;&gt;""),(L188-K188)*1440,"")</f>
        <v/>
      </c>
      <c r="S188" s="33" t="str">
        <f aca="false">IF(AND(G188&lt;&gt;"",I188&lt;&gt;"",L188&lt;&gt;""),(L188-I188)*1440,"")</f>
        <v/>
      </c>
      <c r="T188" s="33" t="str">
        <f aca="false">IF(G188="","",IFERROR(INDEX(Settings!$B$5:$B$8,MATCH(G188,Settings!$A$5:$A$8,0)),""))</f>
        <v/>
      </c>
      <c r="U188" s="25" t="str">
        <f aca="false">IF(G188="","",IF(S188="","No",IF(S188&lt;=T188,"Yes","No")))</f>
        <v/>
      </c>
      <c r="V188" s="25" t="str">
        <f aca="false">IF(G188="","",IF(AND(J188="",K188="",L188=""),"Telemetry Blind Spot",IF(AND(K188="",L188=""),"Missed Alert",IF(L188="","Triage Delay",IF(S188&lt;=T188,"Detected - Within SLA",IF(AND(R188&lt;&gt;"",R188&gt;IFERROR(INDEX(Settings!$C$5:$C$8,MATCH(G188,Settings!$A$5:$A$8,0)),1E+099)),"Triage Delay","Detected - SLA Breach"))))))</f>
        <v/>
      </c>
      <c r="W188" s="25" t="str">
        <f aca="false">IF(G188="","",IF(L188&lt;&gt;"",1,0))</f>
        <v/>
      </c>
      <c r="X188" s="32"/>
      <c r="Y188" s="32"/>
      <c r="Z188" s="32"/>
      <c r="AA188" s="24"/>
      <c r="AB188" s="24"/>
      <c r="AC188" s="33" t="str">
        <f aca="false">IF(AND(G188&lt;&gt;"",L188&lt;&gt;"",X188&lt;&gt;""),(X188-L188)*1440,"")</f>
        <v/>
      </c>
      <c r="AD188" s="33" t="str">
        <f aca="false">IF(AND(G188&lt;&gt;"",X188&lt;&gt;"",Y188&lt;&gt;""),(Y188-X188)*1440,"")</f>
        <v/>
      </c>
      <c r="AE188" s="33" t="str">
        <f aca="false">IF(AND(G188&lt;&gt;"",Y188&lt;&gt;"",Z188&lt;&gt;""),(Z188-Y188)*1440,"")</f>
        <v/>
      </c>
      <c r="AF188" s="33" t="str">
        <f aca="false">IF(AND(G188&lt;&gt;"",L188&lt;&gt;"",Z188&lt;&gt;""),(Z188-L188)*1440,"")</f>
        <v/>
      </c>
      <c r="AG188" s="33" t="str">
        <f aca="false">IF(G188="","",IFERROR(INDEX(Settings!$D$5:$D$8,MATCH(G188,Settings!$A$5:$A$8,0)),""))</f>
        <v/>
      </c>
      <c r="AH188" s="25" t="str">
        <f aca="false">IF(G188="","",IF(AF188="","No",IF(AF188&lt;=AG188,"Yes","No")))</f>
        <v/>
      </c>
      <c r="AI188" s="25" t="str">
        <f aca="false">IF(G188="","",IF(L188="","N/A - Not Detected",IF(AND(X188="",Y188="",Z188=""),"No Containment Action",IF(Z188="",IF(Y188&lt;&gt;"","C2 Persisted","Host Isolation Gap"),IF(AF188&lt;=AG188,"Contained - Within SLA","Contained - SLA Breach")))))</f>
        <v/>
      </c>
      <c r="AJ188" s="25" t="str">
        <f aca="false">IF(G188="","",IF(Z188&lt;&gt;"",1,0))</f>
        <v/>
      </c>
      <c r="AK188" s="34"/>
      <c r="AL188" s="34"/>
      <c r="AM188" s="35"/>
      <c r="AN188" s="34"/>
      <c r="AO188" s="34"/>
      <c r="AP188" s="35"/>
      <c r="AQ188" s="34"/>
      <c r="AR188" s="34"/>
      <c r="AS188" s="34"/>
      <c r="AT188" s="35"/>
      <c r="AU188" s="35"/>
    </row>
    <row r="189" customFormat="false" ht="15" hidden="false" customHeight="false" outlineLevel="0" collapsed="false">
      <c r="A189" s="24"/>
      <c r="B189" s="24"/>
      <c r="C189" s="24"/>
      <c r="D189" s="24"/>
      <c r="E189" s="24"/>
      <c r="F189" s="24"/>
      <c r="G189" s="24"/>
      <c r="H189" s="24"/>
      <c r="I189" s="32"/>
      <c r="J189" s="32"/>
      <c r="K189" s="32"/>
      <c r="L189" s="32"/>
      <c r="M189" s="24"/>
      <c r="N189" s="24"/>
      <c r="O189" s="24"/>
      <c r="P189" s="33" t="str">
        <f aca="false">IF(AND(G189&lt;&gt;"",I189&lt;&gt;"",J189&lt;&gt;""),(J189-I189)*1440,"")</f>
        <v/>
      </c>
      <c r="Q189" s="33" t="str">
        <f aca="false">IF(AND(G189&lt;&gt;"",J189&lt;&gt;"",K189&lt;&gt;""),(K189-J189)*1440,"")</f>
        <v/>
      </c>
      <c r="R189" s="33" t="str">
        <f aca="false">IF(AND(G189&lt;&gt;"",K189&lt;&gt;"",L189&lt;&gt;""),(L189-K189)*1440,"")</f>
        <v/>
      </c>
      <c r="S189" s="33" t="str">
        <f aca="false">IF(AND(G189&lt;&gt;"",I189&lt;&gt;"",L189&lt;&gt;""),(L189-I189)*1440,"")</f>
        <v/>
      </c>
      <c r="T189" s="33" t="str">
        <f aca="false">IF(G189="","",IFERROR(INDEX(Settings!$B$5:$B$8,MATCH(G189,Settings!$A$5:$A$8,0)),""))</f>
        <v/>
      </c>
      <c r="U189" s="25" t="str">
        <f aca="false">IF(G189="","",IF(S189="","No",IF(S189&lt;=T189,"Yes","No")))</f>
        <v/>
      </c>
      <c r="V189" s="25" t="str">
        <f aca="false">IF(G189="","",IF(AND(J189="",K189="",L189=""),"Telemetry Blind Spot",IF(AND(K189="",L189=""),"Missed Alert",IF(L189="","Triage Delay",IF(S189&lt;=T189,"Detected - Within SLA",IF(AND(R189&lt;&gt;"",R189&gt;IFERROR(INDEX(Settings!$C$5:$C$8,MATCH(G189,Settings!$A$5:$A$8,0)),1E+099)),"Triage Delay","Detected - SLA Breach"))))))</f>
        <v/>
      </c>
      <c r="W189" s="25" t="str">
        <f aca="false">IF(G189="","",IF(L189&lt;&gt;"",1,0))</f>
        <v/>
      </c>
      <c r="X189" s="32"/>
      <c r="Y189" s="32"/>
      <c r="Z189" s="32"/>
      <c r="AA189" s="24"/>
      <c r="AB189" s="24"/>
      <c r="AC189" s="33" t="str">
        <f aca="false">IF(AND(G189&lt;&gt;"",L189&lt;&gt;"",X189&lt;&gt;""),(X189-L189)*1440,"")</f>
        <v/>
      </c>
      <c r="AD189" s="33" t="str">
        <f aca="false">IF(AND(G189&lt;&gt;"",X189&lt;&gt;"",Y189&lt;&gt;""),(Y189-X189)*1440,"")</f>
        <v/>
      </c>
      <c r="AE189" s="33" t="str">
        <f aca="false">IF(AND(G189&lt;&gt;"",Y189&lt;&gt;"",Z189&lt;&gt;""),(Z189-Y189)*1440,"")</f>
        <v/>
      </c>
      <c r="AF189" s="33" t="str">
        <f aca="false">IF(AND(G189&lt;&gt;"",L189&lt;&gt;"",Z189&lt;&gt;""),(Z189-L189)*1440,"")</f>
        <v/>
      </c>
      <c r="AG189" s="33" t="str">
        <f aca="false">IF(G189="","",IFERROR(INDEX(Settings!$D$5:$D$8,MATCH(G189,Settings!$A$5:$A$8,0)),""))</f>
        <v/>
      </c>
      <c r="AH189" s="25" t="str">
        <f aca="false">IF(G189="","",IF(AF189="","No",IF(AF189&lt;=AG189,"Yes","No")))</f>
        <v/>
      </c>
      <c r="AI189" s="25" t="str">
        <f aca="false">IF(G189="","",IF(L189="","N/A - Not Detected",IF(AND(X189="",Y189="",Z189=""),"No Containment Action",IF(Z189="",IF(Y189&lt;&gt;"","C2 Persisted","Host Isolation Gap"),IF(AF189&lt;=AG189,"Contained - Within SLA","Contained - SLA Breach")))))</f>
        <v/>
      </c>
      <c r="AJ189" s="25" t="str">
        <f aca="false">IF(G189="","",IF(Z189&lt;&gt;"",1,0))</f>
        <v/>
      </c>
      <c r="AK189" s="34"/>
      <c r="AL189" s="34"/>
      <c r="AM189" s="35"/>
      <c r="AN189" s="34"/>
      <c r="AO189" s="34"/>
      <c r="AP189" s="35"/>
      <c r="AQ189" s="34"/>
      <c r="AR189" s="34"/>
      <c r="AS189" s="34"/>
      <c r="AT189" s="35"/>
      <c r="AU189" s="35"/>
    </row>
    <row r="190" customFormat="false" ht="15" hidden="false" customHeight="false" outlineLevel="0" collapsed="false">
      <c r="A190" s="24"/>
      <c r="B190" s="24"/>
      <c r="C190" s="24"/>
      <c r="D190" s="24"/>
      <c r="E190" s="24"/>
      <c r="F190" s="24"/>
      <c r="G190" s="24"/>
      <c r="H190" s="24"/>
      <c r="I190" s="32"/>
      <c r="J190" s="32"/>
      <c r="K190" s="32"/>
      <c r="L190" s="32"/>
      <c r="M190" s="24"/>
      <c r="N190" s="24"/>
      <c r="O190" s="24"/>
      <c r="P190" s="33" t="str">
        <f aca="false">IF(AND(G190&lt;&gt;"",I190&lt;&gt;"",J190&lt;&gt;""),(J190-I190)*1440,"")</f>
        <v/>
      </c>
      <c r="Q190" s="33" t="str">
        <f aca="false">IF(AND(G190&lt;&gt;"",J190&lt;&gt;"",K190&lt;&gt;""),(K190-J190)*1440,"")</f>
        <v/>
      </c>
      <c r="R190" s="33" t="str">
        <f aca="false">IF(AND(G190&lt;&gt;"",K190&lt;&gt;"",L190&lt;&gt;""),(L190-K190)*1440,"")</f>
        <v/>
      </c>
      <c r="S190" s="33" t="str">
        <f aca="false">IF(AND(G190&lt;&gt;"",I190&lt;&gt;"",L190&lt;&gt;""),(L190-I190)*1440,"")</f>
        <v/>
      </c>
      <c r="T190" s="33" t="str">
        <f aca="false">IF(G190="","",IFERROR(INDEX(Settings!$B$5:$B$8,MATCH(G190,Settings!$A$5:$A$8,0)),""))</f>
        <v/>
      </c>
      <c r="U190" s="25" t="str">
        <f aca="false">IF(G190="","",IF(S190="","No",IF(S190&lt;=T190,"Yes","No")))</f>
        <v/>
      </c>
      <c r="V190" s="25" t="str">
        <f aca="false">IF(G190="","",IF(AND(J190="",K190="",L190=""),"Telemetry Blind Spot",IF(AND(K190="",L190=""),"Missed Alert",IF(L190="","Triage Delay",IF(S190&lt;=T190,"Detected - Within SLA",IF(AND(R190&lt;&gt;"",R190&gt;IFERROR(INDEX(Settings!$C$5:$C$8,MATCH(G190,Settings!$A$5:$A$8,0)),1E+099)),"Triage Delay","Detected - SLA Breach"))))))</f>
        <v/>
      </c>
      <c r="W190" s="25" t="str">
        <f aca="false">IF(G190="","",IF(L190&lt;&gt;"",1,0))</f>
        <v/>
      </c>
      <c r="X190" s="32"/>
      <c r="Y190" s="32"/>
      <c r="Z190" s="32"/>
      <c r="AA190" s="24"/>
      <c r="AB190" s="24"/>
      <c r="AC190" s="33" t="str">
        <f aca="false">IF(AND(G190&lt;&gt;"",L190&lt;&gt;"",X190&lt;&gt;""),(X190-L190)*1440,"")</f>
        <v/>
      </c>
      <c r="AD190" s="33" t="str">
        <f aca="false">IF(AND(G190&lt;&gt;"",X190&lt;&gt;"",Y190&lt;&gt;""),(Y190-X190)*1440,"")</f>
        <v/>
      </c>
      <c r="AE190" s="33" t="str">
        <f aca="false">IF(AND(G190&lt;&gt;"",Y190&lt;&gt;"",Z190&lt;&gt;""),(Z190-Y190)*1440,"")</f>
        <v/>
      </c>
      <c r="AF190" s="33" t="str">
        <f aca="false">IF(AND(G190&lt;&gt;"",L190&lt;&gt;"",Z190&lt;&gt;""),(Z190-L190)*1440,"")</f>
        <v/>
      </c>
      <c r="AG190" s="33" t="str">
        <f aca="false">IF(G190="","",IFERROR(INDEX(Settings!$D$5:$D$8,MATCH(G190,Settings!$A$5:$A$8,0)),""))</f>
        <v/>
      </c>
      <c r="AH190" s="25" t="str">
        <f aca="false">IF(G190="","",IF(AF190="","No",IF(AF190&lt;=AG190,"Yes","No")))</f>
        <v/>
      </c>
      <c r="AI190" s="25" t="str">
        <f aca="false">IF(G190="","",IF(L190="","N/A - Not Detected",IF(AND(X190="",Y190="",Z190=""),"No Containment Action",IF(Z190="",IF(Y190&lt;&gt;"","C2 Persisted","Host Isolation Gap"),IF(AF190&lt;=AG190,"Contained - Within SLA","Contained - SLA Breach")))))</f>
        <v/>
      </c>
      <c r="AJ190" s="25" t="str">
        <f aca="false">IF(G190="","",IF(Z190&lt;&gt;"",1,0))</f>
        <v/>
      </c>
      <c r="AK190" s="34"/>
      <c r="AL190" s="34"/>
      <c r="AM190" s="35"/>
      <c r="AN190" s="34"/>
      <c r="AO190" s="34"/>
      <c r="AP190" s="35"/>
      <c r="AQ190" s="34"/>
      <c r="AR190" s="34"/>
      <c r="AS190" s="34"/>
      <c r="AT190" s="35"/>
      <c r="AU190" s="35"/>
    </row>
    <row r="191" customFormat="false" ht="15" hidden="false" customHeight="false" outlineLevel="0" collapsed="false">
      <c r="A191" s="24"/>
      <c r="B191" s="24"/>
      <c r="C191" s="24"/>
      <c r="D191" s="24"/>
      <c r="E191" s="24"/>
      <c r="F191" s="24"/>
      <c r="G191" s="24"/>
      <c r="H191" s="24"/>
      <c r="I191" s="32"/>
      <c r="J191" s="32"/>
      <c r="K191" s="32"/>
      <c r="L191" s="32"/>
      <c r="M191" s="24"/>
      <c r="N191" s="24"/>
      <c r="O191" s="24"/>
      <c r="P191" s="33" t="str">
        <f aca="false">IF(AND(G191&lt;&gt;"",I191&lt;&gt;"",J191&lt;&gt;""),(J191-I191)*1440,"")</f>
        <v/>
      </c>
      <c r="Q191" s="33" t="str">
        <f aca="false">IF(AND(G191&lt;&gt;"",J191&lt;&gt;"",K191&lt;&gt;""),(K191-J191)*1440,"")</f>
        <v/>
      </c>
      <c r="R191" s="33" t="str">
        <f aca="false">IF(AND(G191&lt;&gt;"",K191&lt;&gt;"",L191&lt;&gt;""),(L191-K191)*1440,"")</f>
        <v/>
      </c>
      <c r="S191" s="33" t="str">
        <f aca="false">IF(AND(G191&lt;&gt;"",I191&lt;&gt;"",L191&lt;&gt;""),(L191-I191)*1440,"")</f>
        <v/>
      </c>
      <c r="T191" s="33" t="str">
        <f aca="false">IF(G191="","",IFERROR(INDEX(Settings!$B$5:$B$8,MATCH(G191,Settings!$A$5:$A$8,0)),""))</f>
        <v/>
      </c>
      <c r="U191" s="25" t="str">
        <f aca="false">IF(G191="","",IF(S191="","No",IF(S191&lt;=T191,"Yes","No")))</f>
        <v/>
      </c>
      <c r="V191" s="25" t="str">
        <f aca="false">IF(G191="","",IF(AND(J191="",K191="",L191=""),"Telemetry Blind Spot",IF(AND(K191="",L191=""),"Missed Alert",IF(L191="","Triage Delay",IF(S191&lt;=T191,"Detected - Within SLA",IF(AND(R191&lt;&gt;"",R191&gt;IFERROR(INDEX(Settings!$C$5:$C$8,MATCH(G191,Settings!$A$5:$A$8,0)),1E+099)),"Triage Delay","Detected - SLA Breach"))))))</f>
        <v/>
      </c>
      <c r="W191" s="25" t="str">
        <f aca="false">IF(G191="","",IF(L191&lt;&gt;"",1,0))</f>
        <v/>
      </c>
      <c r="X191" s="32"/>
      <c r="Y191" s="32"/>
      <c r="Z191" s="32"/>
      <c r="AA191" s="24"/>
      <c r="AB191" s="24"/>
      <c r="AC191" s="33" t="str">
        <f aca="false">IF(AND(G191&lt;&gt;"",L191&lt;&gt;"",X191&lt;&gt;""),(X191-L191)*1440,"")</f>
        <v/>
      </c>
      <c r="AD191" s="33" t="str">
        <f aca="false">IF(AND(G191&lt;&gt;"",X191&lt;&gt;"",Y191&lt;&gt;""),(Y191-X191)*1440,"")</f>
        <v/>
      </c>
      <c r="AE191" s="33" t="str">
        <f aca="false">IF(AND(G191&lt;&gt;"",Y191&lt;&gt;"",Z191&lt;&gt;""),(Z191-Y191)*1440,"")</f>
        <v/>
      </c>
      <c r="AF191" s="33" t="str">
        <f aca="false">IF(AND(G191&lt;&gt;"",L191&lt;&gt;"",Z191&lt;&gt;""),(Z191-L191)*1440,"")</f>
        <v/>
      </c>
      <c r="AG191" s="33" t="str">
        <f aca="false">IF(G191="","",IFERROR(INDEX(Settings!$D$5:$D$8,MATCH(G191,Settings!$A$5:$A$8,0)),""))</f>
        <v/>
      </c>
      <c r="AH191" s="25" t="str">
        <f aca="false">IF(G191="","",IF(AF191="","No",IF(AF191&lt;=AG191,"Yes","No")))</f>
        <v/>
      </c>
      <c r="AI191" s="25" t="str">
        <f aca="false">IF(G191="","",IF(L191="","N/A - Not Detected",IF(AND(X191="",Y191="",Z191=""),"No Containment Action",IF(Z191="",IF(Y191&lt;&gt;"","C2 Persisted","Host Isolation Gap"),IF(AF191&lt;=AG191,"Contained - Within SLA","Contained - SLA Breach")))))</f>
        <v/>
      </c>
      <c r="AJ191" s="25" t="str">
        <f aca="false">IF(G191="","",IF(Z191&lt;&gt;"",1,0))</f>
        <v/>
      </c>
      <c r="AK191" s="34"/>
      <c r="AL191" s="34"/>
      <c r="AM191" s="35"/>
      <c r="AN191" s="34"/>
      <c r="AO191" s="34"/>
      <c r="AP191" s="35"/>
      <c r="AQ191" s="34"/>
      <c r="AR191" s="34"/>
      <c r="AS191" s="34"/>
      <c r="AT191" s="35"/>
      <c r="AU191" s="35"/>
    </row>
    <row r="192" customFormat="false" ht="15" hidden="false" customHeight="false" outlineLevel="0" collapsed="false">
      <c r="A192" s="24"/>
      <c r="B192" s="24"/>
      <c r="C192" s="24"/>
      <c r="D192" s="24"/>
      <c r="E192" s="24"/>
      <c r="F192" s="24"/>
      <c r="G192" s="24"/>
      <c r="H192" s="24"/>
      <c r="I192" s="32"/>
      <c r="J192" s="32"/>
      <c r="K192" s="32"/>
      <c r="L192" s="32"/>
      <c r="M192" s="24"/>
      <c r="N192" s="24"/>
      <c r="O192" s="24"/>
      <c r="P192" s="33" t="str">
        <f aca="false">IF(AND(G192&lt;&gt;"",I192&lt;&gt;"",J192&lt;&gt;""),(J192-I192)*1440,"")</f>
        <v/>
      </c>
      <c r="Q192" s="33" t="str">
        <f aca="false">IF(AND(G192&lt;&gt;"",J192&lt;&gt;"",K192&lt;&gt;""),(K192-J192)*1440,"")</f>
        <v/>
      </c>
      <c r="R192" s="33" t="str">
        <f aca="false">IF(AND(G192&lt;&gt;"",K192&lt;&gt;"",L192&lt;&gt;""),(L192-K192)*1440,"")</f>
        <v/>
      </c>
      <c r="S192" s="33" t="str">
        <f aca="false">IF(AND(G192&lt;&gt;"",I192&lt;&gt;"",L192&lt;&gt;""),(L192-I192)*1440,"")</f>
        <v/>
      </c>
      <c r="T192" s="33" t="str">
        <f aca="false">IF(G192="","",IFERROR(INDEX(Settings!$B$5:$B$8,MATCH(G192,Settings!$A$5:$A$8,0)),""))</f>
        <v/>
      </c>
      <c r="U192" s="25" t="str">
        <f aca="false">IF(G192="","",IF(S192="","No",IF(S192&lt;=T192,"Yes","No")))</f>
        <v/>
      </c>
      <c r="V192" s="25" t="str">
        <f aca="false">IF(G192="","",IF(AND(J192="",K192="",L192=""),"Telemetry Blind Spot",IF(AND(K192="",L192=""),"Missed Alert",IF(L192="","Triage Delay",IF(S192&lt;=T192,"Detected - Within SLA",IF(AND(R192&lt;&gt;"",R192&gt;IFERROR(INDEX(Settings!$C$5:$C$8,MATCH(G192,Settings!$A$5:$A$8,0)),1E+099)),"Triage Delay","Detected - SLA Breach"))))))</f>
        <v/>
      </c>
      <c r="W192" s="25" t="str">
        <f aca="false">IF(G192="","",IF(L192&lt;&gt;"",1,0))</f>
        <v/>
      </c>
      <c r="X192" s="32"/>
      <c r="Y192" s="32"/>
      <c r="Z192" s="32"/>
      <c r="AA192" s="24"/>
      <c r="AB192" s="24"/>
      <c r="AC192" s="33" t="str">
        <f aca="false">IF(AND(G192&lt;&gt;"",L192&lt;&gt;"",X192&lt;&gt;""),(X192-L192)*1440,"")</f>
        <v/>
      </c>
      <c r="AD192" s="33" t="str">
        <f aca="false">IF(AND(G192&lt;&gt;"",X192&lt;&gt;"",Y192&lt;&gt;""),(Y192-X192)*1440,"")</f>
        <v/>
      </c>
      <c r="AE192" s="33" t="str">
        <f aca="false">IF(AND(G192&lt;&gt;"",Y192&lt;&gt;"",Z192&lt;&gt;""),(Z192-Y192)*1440,"")</f>
        <v/>
      </c>
      <c r="AF192" s="33" t="str">
        <f aca="false">IF(AND(G192&lt;&gt;"",L192&lt;&gt;"",Z192&lt;&gt;""),(Z192-L192)*1440,"")</f>
        <v/>
      </c>
      <c r="AG192" s="33" t="str">
        <f aca="false">IF(G192="","",IFERROR(INDEX(Settings!$D$5:$D$8,MATCH(G192,Settings!$A$5:$A$8,0)),""))</f>
        <v/>
      </c>
      <c r="AH192" s="25" t="str">
        <f aca="false">IF(G192="","",IF(AF192="","No",IF(AF192&lt;=AG192,"Yes","No")))</f>
        <v/>
      </c>
      <c r="AI192" s="25" t="str">
        <f aca="false">IF(G192="","",IF(L192="","N/A - Not Detected",IF(AND(X192="",Y192="",Z192=""),"No Containment Action",IF(Z192="",IF(Y192&lt;&gt;"","C2 Persisted","Host Isolation Gap"),IF(AF192&lt;=AG192,"Contained - Within SLA","Contained - SLA Breach")))))</f>
        <v/>
      </c>
      <c r="AJ192" s="25" t="str">
        <f aca="false">IF(G192="","",IF(Z192&lt;&gt;"",1,0))</f>
        <v/>
      </c>
      <c r="AK192" s="34"/>
      <c r="AL192" s="34"/>
      <c r="AM192" s="35"/>
      <c r="AN192" s="34"/>
      <c r="AO192" s="34"/>
      <c r="AP192" s="35"/>
      <c r="AQ192" s="34"/>
      <c r="AR192" s="34"/>
      <c r="AS192" s="34"/>
      <c r="AT192" s="35"/>
      <c r="AU192" s="35"/>
    </row>
    <row r="193" customFormat="false" ht="15" hidden="false" customHeight="false" outlineLevel="0" collapsed="false">
      <c r="A193" s="24"/>
      <c r="B193" s="24"/>
      <c r="C193" s="24"/>
      <c r="D193" s="24"/>
      <c r="E193" s="24"/>
      <c r="F193" s="24"/>
      <c r="G193" s="24"/>
      <c r="H193" s="24"/>
      <c r="I193" s="32"/>
      <c r="J193" s="32"/>
      <c r="K193" s="32"/>
      <c r="L193" s="32"/>
      <c r="M193" s="24"/>
      <c r="N193" s="24"/>
      <c r="O193" s="24"/>
      <c r="P193" s="33" t="str">
        <f aca="false">IF(AND(G193&lt;&gt;"",I193&lt;&gt;"",J193&lt;&gt;""),(J193-I193)*1440,"")</f>
        <v/>
      </c>
      <c r="Q193" s="33" t="str">
        <f aca="false">IF(AND(G193&lt;&gt;"",J193&lt;&gt;"",K193&lt;&gt;""),(K193-J193)*1440,"")</f>
        <v/>
      </c>
      <c r="R193" s="33" t="str">
        <f aca="false">IF(AND(G193&lt;&gt;"",K193&lt;&gt;"",L193&lt;&gt;""),(L193-K193)*1440,"")</f>
        <v/>
      </c>
      <c r="S193" s="33" t="str">
        <f aca="false">IF(AND(G193&lt;&gt;"",I193&lt;&gt;"",L193&lt;&gt;""),(L193-I193)*1440,"")</f>
        <v/>
      </c>
      <c r="T193" s="33" t="str">
        <f aca="false">IF(G193="","",IFERROR(INDEX(Settings!$B$5:$B$8,MATCH(G193,Settings!$A$5:$A$8,0)),""))</f>
        <v/>
      </c>
      <c r="U193" s="25" t="str">
        <f aca="false">IF(G193="","",IF(S193="","No",IF(S193&lt;=T193,"Yes","No")))</f>
        <v/>
      </c>
      <c r="V193" s="25" t="str">
        <f aca="false">IF(G193="","",IF(AND(J193="",K193="",L193=""),"Telemetry Blind Spot",IF(AND(K193="",L193=""),"Missed Alert",IF(L193="","Triage Delay",IF(S193&lt;=T193,"Detected - Within SLA",IF(AND(R193&lt;&gt;"",R193&gt;IFERROR(INDEX(Settings!$C$5:$C$8,MATCH(G193,Settings!$A$5:$A$8,0)),1E+099)),"Triage Delay","Detected - SLA Breach"))))))</f>
        <v/>
      </c>
      <c r="W193" s="25" t="str">
        <f aca="false">IF(G193="","",IF(L193&lt;&gt;"",1,0))</f>
        <v/>
      </c>
      <c r="X193" s="32"/>
      <c r="Y193" s="32"/>
      <c r="Z193" s="32"/>
      <c r="AA193" s="24"/>
      <c r="AB193" s="24"/>
      <c r="AC193" s="33" t="str">
        <f aca="false">IF(AND(G193&lt;&gt;"",L193&lt;&gt;"",X193&lt;&gt;""),(X193-L193)*1440,"")</f>
        <v/>
      </c>
      <c r="AD193" s="33" t="str">
        <f aca="false">IF(AND(G193&lt;&gt;"",X193&lt;&gt;"",Y193&lt;&gt;""),(Y193-X193)*1440,"")</f>
        <v/>
      </c>
      <c r="AE193" s="33" t="str">
        <f aca="false">IF(AND(G193&lt;&gt;"",Y193&lt;&gt;"",Z193&lt;&gt;""),(Z193-Y193)*1440,"")</f>
        <v/>
      </c>
      <c r="AF193" s="33" t="str">
        <f aca="false">IF(AND(G193&lt;&gt;"",L193&lt;&gt;"",Z193&lt;&gt;""),(Z193-L193)*1440,"")</f>
        <v/>
      </c>
      <c r="AG193" s="33" t="str">
        <f aca="false">IF(G193="","",IFERROR(INDEX(Settings!$D$5:$D$8,MATCH(G193,Settings!$A$5:$A$8,0)),""))</f>
        <v/>
      </c>
      <c r="AH193" s="25" t="str">
        <f aca="false">IF(G193="","",IF(AF193="","No",IF(AF193&lt;=AG193,"Yes","No")))</f>
        <v/>
      </c>
      <c r="AI193" s="25" t="str">
        <f aca="false">IF(G193="","",IF(L193="","N/A - Not Detected",IF(AND(X193="",Y193="",Z193=""),"No Containment Action",IF(Z193="",IF(Y193&lt;&gt;"","C2 Persisted","Host Isolation Gap"),IF(AF193&lt;=AG193,"Contained - Within SLA","Contained - SLA Breach")))))</f>
        <v/>
      </c>
      <c r="AJ193" s="25" t="str">
        <f aca="false">IF(G193="","",IF(Z193&lt;&gt;"",1,0))</f>
        <v/>
      </c>
      <c r="AK193" s="34"/>
      <c r="AL193" s="34"/>
      <c r="AM193" s="35"/>
      <c r="AN193" s="34"/>
      <c r="AO193" s="34"/>
      <c r="AP193" s="35"/>
      <c r="AQ193" s="34"/>
      <c r="AR193" s="34"/>
      <c r="AS193" s="34"/>
      <c r="AT193" s="35"/>
      <c r="AU193" s="35"/>
    </row>
    <row r="194" customFormat="false" ht="15" hidden="false" customHeight="false" outlineLevel="0" collapsed="false">
      <c r="A194" s="24"/>
      <c r="B194" s="24"/>
      <c r="C194" s="24"/>
      <c r="D194" s="24"/>
      <c r="E194" s="24"/>
      <c r="F194" s="24"/>
      <c r="G194" s="24"/>
      <c r="H194" s="24"/>
      <c r="I194" s="32"/>
      <c r="J194" s="32"/>
      <c r="K194" s="32"/>
      <c r="L194" s="32"/>
      <c r="M194" s="24"/>
      <c r="N194" s="24"/>
      <c r="O194" s="24"/>
      <c r="P194" s="33" t="str">
        <f aca="false">IF(AND(G194&lt;&gt;"",I194&lt;&gt;"",J194&lt;&gt;""),(J194-I194)*1440,"")</f>
        <v/>
      </c>
      <c r="Q194" s="33" t="str">
        <f aca="false">IF(AND(G194&lt;&gt;"",J194&lt;&gt;"",K194&lt;&gt;""),(K194-J194)*1440,"")</f>
        <v/>
      </c>
      <c r="R194" s="33" t="str">
        <f aca="false">IF(AND(G194&lt;&gt;"",K194&lt;&gt;"",L194&lt;&gt;""),(L194-K194)*1440,"")</f>
        <v/>
      </c>
      <c r="S194" s="33" t="str">
        <f aca="false">IF(AND(G194&lt;&gt;"",I194&lt;&gt;"",L194&lt;&gt;""),(L194-I194)*1440,"")</f>
        <v/>
      </c>
      <c r="T194" s="33" t="str">
        <f aca="false">IF(G194="","",IFERROR(INDEX(Settings!$B$5:$B$8,MATCH(G194,Settings!$A$5:$A$8,0)),""))</f>
        <v/>
      </c>
      <c r="U194" s="25" t="str">
        <f aca="false">IF(G194="","",IF(S194="","No",IF(S194&lt;=T194,"Yes","No")))</f>
        <v/>
      </c>
      <c r="V194" s="25" t="str">
        <f aca="false">IF(G194="","",IF(AND(J194="",K194="",L194=""),"Telemetry Blind Spot",IF(AND(K194="",L194=""),"Missed Alert",IF(L194="","Triage Delay",IF(S194&lt;=T194,"Detected - Within SLA",IF(AND(R194&lt;&gt;"",R194&gt;IFERROR(INDEX(Settings!$C$5:$C$8,MATCH(G194,Settings!$A$5:$A$8,0)),1E+099)),"Triage Delay","Detected - SLA Breach"))))))</f>
        <v/>
      </c>
      <c r="W194" s="25" t="str">
        <f aca="false">IF(G194="","",IF(L194&lt;&gt;"",1,0))</f>
        <v/>
      </c>
      <c r="X194" s="32"/>
      <c r="Y194" s="32"/>
      <c r="Z194" s="32"/>
      <c r="AA194" s="24"/>
      <c r="AB194" s="24"/>
      <c r="AC194" s="33" t="str">
        <f aca="false">IF(AND(G194&lt;&gt;"",L194&lt;&gt;"",X194&lt;&gt;""),(X194-L194)*1440,"")</f>
        <v/>
      </c>
      <c r="AD194" s="33" t="str">
        <f aca="false">IF(AND(G194&lt;&gt;"",X194&lt;&gt;"",Y194&lt;&gt;""),(Y194-X194)*1440,"")</f>
        <v/>
      </c>
      <c r="AE194" s="33" t="str">
        <f aca="false">IF(AND(G194&lt;&gt;"",Y194&lt;&gt;"",Z194&lt;&gt;""),(Z194-Y194)*1440,"")</f>
        <v/>
      </c>
      <c r="AF194" s="33" t="str">
        <f aca="false">IF(AND(G194&lt;&gt;"",L194&lt;&gt;"",Z194&lt;&gt;""),(Z194-L194)*1440,"")</f>
        <v/>
      </c>
      <c r="AG194" s="33" t="str">
        <f aca="false">IF(G194="","",IFERROR(INDEX(Settings!$D$5:$D$8,MATCH(G194,Settings!$A$5:$A$8,0)),""))</f>
        <v/>
      </c>
      <c r="AH194" s="25" t="str">
        <f aca="false">IF(G194="","",IF(AF194="","No",IF(AF194&lt;=AG194,"Yes","No")))</f>
        <v/>
      </c>
      <c r="AI194" s="25" t="str">
        <f aca="false">IF(G194="","",IF(L194="","N/A - Not Detected",IF(AND(X194="",Y194="",Z194=""),"No Containment Action",IF(Z194="",IF(Y194&lt;&gt;"","C2 Persisted","Host Isolation Gap"),IF(AF194&lt;=AG194,"Contained - Within SLA","Contained - SLA Breach")))))</f>
        <v/>
      </c>
      <c r="AJ194" s="25" t="str">
        <f aca="false">IF(G194="","",IF(Z194&lt;&gt;"",1,0))</f>
        <v/>
      </c>
      <c r="AK194" s="34"/>
      <c r="AL194" s="34"/>
      <c r="AM194" s="35"/>
      <c r="AN194" s="34"/>
      <c r="AO194" s="34"/>
      <c r="AP194" s="35"/>
      <c r="AQ194" s="34"/>
      <c r="AR194" s="34"/>
      <c r="AS194" s="34"/>
      <c r="AT194" s="35"/>
      <c r="AU194" s="35"/>
    </row>
    <row r="195" customFormat="false" ht="15" hidden="false" customHeight="false" outlineLevel="0" collapsed="false">
      <c r="A195" s="24"/>
      <c r="B195" s="24"/>
      <c r="C195" s="24"/>
      <c r="D195" s="24"/>
      <c r="E195" s="24"/>
      <c r="F195" s="24"/>
      <c r="G195" s="24"/>
      <c r="H195" s="24"/>
      <c r="I195" s="32"/>
      <c r="J195" s="32"/>
      <c r="K195" s="32"/>
      <c r="L195" s="32"/>
      <c r="M195" s="24"/>
      <c r="N195" s="24"/>
      <c r="O195" s="24"/>
      <c r="P195" s="33" t="str">
        <f aca="false">IF(AND(G195&lt;&gt;"",I195&lt;&gt;"",J195&lt;&gt;""),(J195-I195)*1440,"")</f>
        <v/>
      </c>
      <c r="Q195" s="33" t="str">
        <f aca="false">IF(AND(G195&lt;&gt;"",J195&lt;&gt;"",K195&lt;&gt;""),(K195-J195)*1440,"")</f>
        <v/>
      </c>
      <c r="R195" s="33" t="str">
        <f aca="false">IF(AND(G195&lt;&gt;"",K195&lt;&gt;"",L195&lt;&gt;""),(L195-K195)*1440,"")</f>
        <v/>
      </c>
      <c r="S195" s="33" t="str">
        <f aca="false">IF(AND(G195&lt;&gt;"",I195&lt;&gt;"",L195&lt;&gt;""),(L195-I195)*1440,"")</f>
        <v/>
      </c>
      <c r="T195" s="33" t="str">
        <f aca="false">IF(G195="","",IFERROR(INDEX(Settings!$B$5:$B$8,MATCH(G195,Settings!$A$5:$A$8,0)),""))</f>
        <v/>
      </c>
      <c r="U195" s="25" t="str">
        <f aca="false">IF(G195="","",IF(S195="","No",IF(S195&lt;=T195,"Yes","No")))</f>
        <v/>
      </c>
      <c r="V195" s="25" t="str">
        <f aca="false">IF(G195="","",IF(AND(J195="",K195="",L195=""),"Telemetry Blind Spot",IF(AND(K195="",L195=""),"Missed Alert",IF(L195="","Triage Delay",IF(S195&lt;=T195,"Detected - Within SLA",IF(AND(R195&lt;&gt;"",R195&gt;IFERROR(INDEX(Settings!$C$5:$C$8,MATCH(G195,Settings!$A$5:$A$8,0)),1E+099)),"Triage Delay","Detected - SLA Breach"))))))</f>
        <v/>
      </c>
      <c r="W195" s="25" t="str">
        <f aca="false">IF(G195="","",IF(L195&lt;&gt;"",1,0))</f>
        <v/>
      </c>
      <c r="X195" s="32"/>
      <c r="Y195" s="32"/>
      <c r="Z195" s="32"/>
      <c r="AA195" s="24"/>
      <c r="AB195" s="24"/>
      <c r="AC195" s="33" t="str">
        <f aca="false">IF(AND(G195&lt;&gt;"",L195&lt;&gt;"",X195&lt;&gt;""),(X195-L195)*1440,"")</f>
        <v/>
      </c>
      <c r="AD195" s="33" t="str">
        <f aca="false">IF(AND(G195&lt;&gt;"",X195&lt;&gt;"",Y195&lt;&gt;""),(Y195-X195)*1440,"")</f>
        <v/>
      </c>
      <c r="AE195" s="33" t="str">
        <f aca="false">IF(AND(G195&lt;&gt;"",Y195&lt;&gt;"",Z195&lt;&gt;""),(Z195-Y195)*1440,"")</f>
        <v/>
      </c>
      <c r="AF195" s="33" t="str">
        <f aca="false">IF(AND(G195&lt;&gt;"",L195&lt;&gt;"",Z195&lt;&gt;""),(Z195-L195)*1440,"")</f>
        <v/>
      </c>
      <c r="AG195" s="33" t="str">
        <f aca="false">IF(G195="","",IFERROR(INDEX(Settings!$D$5:$D$8,MATCH(G195,Settings!$A$5:$A$8,0)),""))</f>
        <v/>
      </c>
      <c r="AH195" s="25" t="str">
        <f aca="false">IF(G195="","",IF(AF195="","No",IF(AF195&lt;=AG195,"Yes","No")))</f>
        <v/>
      </c>
      <c r="AI195" s="25" t="str">
        <f aca="false">IF(G195="","",IF(L195="","N/A - Not Detected",IF(AND(X195="",Y195="",Z195=""),"No Containment Action",IF(Z195="",IF(Y195&lt;&gt;"","C2 Persisted","Host Isolation Gap"),IF(AF195&lt;=AG195,"Contained - Within SLA","Contained - SLA Breach")))))</f>
        <v/>
      </c>
      <c r="AJ195" s="25" t="str">
        <f aca="false">IF(G195="","",IF(Z195&lt;&gt;"",1,0))</f>
        <v/>
      </c>
      <c r="AK195" s="34"/>
      <c r="AL195" s="34"/>
      <c r="AM195" s="35"/>
      <c r="AN195" s="34"/>
      <c r="AO195" s="34"/>
      <c r="AP195" s="35"/>
      <c r="AQ195" s="34"/>
      <c r="AR195" s="34"/>
      <c r="AS195" s="34"/>
      <c r="AT195" s="35"/>
      <c r="AU195" s="35"/>
    </row>
    <row r="196" customFormat="false" ht="15" hidden="false" customHeight="false" outlineLevel="0" collapsed="false">
      <c r="A196" s="24"/>
      <c r="B196" s="24"/>
      <c r="C196" s="24"/>
      <c r="D196" s="24"/>
      <c r="E196" s="24"/>
      <c r="F196" s="24"/>
      <c r="G196" s="24"/>
      <c r="H196" s="24"/>
      <c r="I196" s="32"/>
      <c r="J196" s="32"/>
      <c r="K196" s="32"/>
      <c r="L196" s="32"/>
      <c r="M196" s="24"/>
      <c r="N196" s="24"/>
      <c r="O196" s="24"/>
      <c r="P196" s="33" t="str">
        <f aca="false">IF(AND(G196&lt;&gt;"",I196&lt;&gt;"",J196&lt;&gt;""),(J196-I196)*1440,"")</f>
        <v/>
      </c>
      <c r="Q196" s="33" t="str">
        <f aca="false">IF(AND(G196&lt;&gt;"",J196&lt;&gt;"",K196&lt;&gt;""),(K196-J196)*1440,"")</f>
        <v/>
      </c>
      <c r="R196" s="33" t="str">
        <f aca="false">IF(AND(G196&lt;&gt;"",K196&lt;&gt;"",L196&lt;&gt;""),(L196-K196)*1440,"")</f>
        <v/>
      </c>
      <c r="S196" s="33" t="str">
        <f aca="false">IF(AND(G196&lt;&gt;"",I196&lt;&gt;"",L196&lt;&gt;""),(L196-I196)*1440,"")</f>
        <v/>
      </c>
      <c r="T196" s="33" t="str">
        <f aca="false">IF(G196="","",IFERROR(INDEX(Settings!$B$5:$B$8,MATCH(G196,Settings!$A$5:$A$8,0)),""))</f>
        <v/>
      </c>
      <c r="U196" s="25" t="str">
        <f aca="false">IF(G196="","",IF(S196="","No",IF(S196&lt;=T196,"Yes","No")))</f>
        <v/>
      </c>
      <c r="V196" s="25" t="str">
        <f aca="false">IF(G196="","",IF(AND(J196="",K196="",L196=""),"Telemetry Blind Spot",IF(AND(K196="",L196=""),"Missed Alert",IF(L196="","Triage Delay",IF(S196&lt;=T196,"Detected - Within SLA",IF(AND(R196&lt;&gt;"",R196&gt;IFERROR(INDEX(Settings!$C$5:$C$8,MATCH(G196,Settings!$A$5:$A$8,0)),1E+099)),"Triage Delay","Detected - SLA Breach"))))))</f>
        <v/>
      </c>
      <c r="W196" s="25" t="str">
        <f aca="false">IF(G196="","",IF(L196&lt;&gt;"",1,0))</f>
        <v/>
      </c>
      <c r="X196" s="32"/>
      <c r="Y196" s="32"/>
      <c r="Z196" s="32"/>
      <c r="AA196" s="24"/>
      <c r="AB196" s="24"/>
      <c r="AC196" s="33" t="str">
        <f aca="false">IF(AND(G196&lt;&gt;"",L196&lt;&gt;"",X196&lt;&gt;""),(X196-L196)*1440,"")</f>
        <v/>
      </c>
      <c r="AD196" s="33" t="str">
        <f aca="false">IF(AND(G196&lt;&gt;"",X196&lt;&gt;"",Y196&lt;&gt;""),(Y196-X196)*1440,"")</f>
        <v/>
      </c>
      <c r="AE196" s="33" t="str">
        <f aca="false">IF(AND(G196&lt;&gt;"",Y196&lt;&gt;"",Z196&lt;&gt;""),(Z196-Y196)*1440,"")</f>
        <v/>
      </c>
      <c r="AF196" s="33" t="str">
        <f aca="false">IF(AND(G196&lt;&gt;"",L196&lt;&gt;"",Z196&lt;&gt;""),(Z196-L196)*1440,"")</f>
        <v/>
      </c>
      <c r="AG196" s="33" t="str">
        <f aca="false">IF(G196="","",IFERROR(INDEX(Settings!$D$5:$D$8,MATCH(G196,Settings!$A$5:$A$8,0)),""))</f>
        <v/>
      </c>
      <c r="AH196" s="25" t="str">
        <f aca="false">IF(G196="","",IF(AF196="","No",IF(AF196&lt;=AG196,"Yes","No")))</f>
        <v/>
      </c>
      <c r="AI196" s="25" t="str">
        <f aca="false">IF(G196="","",IF(L196="","N/A - Not Detected",IF(AND(X196="",Y196="",Z196=""),"No Containment Action",IF(Z196="",IF(Y196&lt;&gt;"","C2 Persisted","Host Isolation Gap"),IF(AF196&lt;=AG196,"Contained - Within SLA","Contained - SLA Breach")))))</f>
        <v/>
      </c>
      <c r="AJ196" s="25" t="str">
        <f aca="false">IF(G196="","",IF(Z196&lt;&gt;"",1,0))</f>
        <v/>
      </c>
      <c r="AK196" s="34"/>
      <c r="AL196" s="34"/>
      <c r="AM196" s="35"/>
      <c r="AN196" s="34"/>
      <c r="AO196" s="34"/>
      <c r="AP196" s="35"/>
      <c r="AQ196" s="34"/>
      <c r="AR196" s="34"/>
      <c r="AS196" s="34"/>
      <c r="AT196" s="35"/>
      <c r="AU196" s="35"/>
    </row>
    <row r="197" customFormat="false" ht="15" hidden="false" customHeight="false" outlineLevel="0" collapsed="false">
      <c r="A197" s="24"/>
      <c r="B197" s="24"/>
      <c r="C197" s="24"/>
      <c r="D197" s="24"/>
      <c r="E197" s="24"/>
      <c r="F197" s="24"/>
      <c r="G197" s="24"/>
      <c r="H197" s="24"/>
      <c r="I197" s="32"/>
      <c r="J197" s="32"/>
      <c r="K197" s="32"/>
      <c r="L197" s="32"/>
      <c r="M197" s="24"/>
      <c r="N197" s="24"/>
      <c r="O197" s="24"/>
      <c r="P197" s="33" t="str">
        <f aca="false">IF(AND(G197&lt;&gt;"",I197&lt;&gt;"",J197&lt;&gt;""),(J197-I197)*1440,"")</f>
        <v/>
      </c>
      <c r="Q197" s="33" t="str">
        <f aca="false">IF(AND(G197&lt;&gt;"",J197&lt;&gt;"",K197&lt;&gt;""),(K197-J197)*1440,"")</f>
        <v/>
      </c>
      <c r="R197" s="33" t="str">
        <f aca="false">IF(AND(G197&lt;&gt;"",K197&lt;&gt;"",L197&lt;&gt;""),(L197-K197)*1440,"")</f>
        <v/>
      </c>
      <c r="S197" s="33" t="str">
        <f aca="false">IF(AND(G197&lt;&gt;"",I197&lt;&gt;"",L197&lt;&gt;""),(L197-I197)*1440,"")</f>
        <v/>
      </c>
      <c r="T197" s="33" t="str">
        <f aca="false">IF(G197="","",IFERROR(INDEX(Settings!$B$5:$B$8,MATCH(G197,Settings!$A$5:$A$8,0)),""))</f>
        <v/>
      </c>
      <c r="U197" s="25" t="str">
        <f aca="false">IF(G197="","",IF(S197="","No",IF(S197&lt;=T197,"Yes","No")))</f>
        <v/>
      </c>
      <c r="V197" s="25" t="str">
        <f aca="false">IF(G197="","",IF(AND(J197="",K197="",L197=""),"Telemetry Blind Spot",IF(AND(K197="",L197=""),"Missed Alert",IF(L197="","Triage Delay",IF(S197&lt;=T197,"Detected - Within SLA",IF(AND(R197&lt;&gt;"",R197&gt;IFERROR(INDEX(Settings!$C$5:$C$8,MATCH(G197,Settings!$A$5:$A$8,0)),1E+099)),"Triage Delay","Detected - SLA Breach"))))))</f>
        <v/>
      </c>
      <c r="W197" s="25" t="str">
        <f aca="false">IF(G197="","",IF(L197&lt;&gt;"",1,0))</f>
        <v/>
      </c>
      <c r="X197" s="32"/>
      <c r="Y197" s="32"/>
      <c r="Z197" s="32"/>
      <c r="AA197" s="24"/>
      <c r="AB197" s="24"/>
      <c r="AC197" s="33" t="str">
        <f aca="false">IF(AND(G197&lt;&gt;"",L197&lt;&gt;"",X197&lt;&gt;""),(X197-L197)*1440,"")</f>
        <v/>
      </c>
      <c r="AD197" s="33" t="str">
        <f aca="false">IF(AND(G197&lt;&gt;"",X197&lt;&gt;"",Y197&lt;&gt;""),(Y197-X197)*1440,"")</f>
        <v/>
      </c>
      <c r="AE197" s="33" t="str">
        <f aca="false">IF(AND(G197&lt;&gt;"",Y197&lt;&gt;"",Z197&lt;&gt;""),(Z197-Y197)*1440,"")</f>
        <v/>
      </c>
      <c r="AF197" s="33" t="str">
        <f aca="false">IF(AND(G197&lt;&gt;"",L197&lt;&gt;"",Z197&lt;&gt;""),(Z197-L197)*1440,"")</f>
        <v/>
      </c>
      <c r="AG197" s="33" t="str">
        <f aca="false">IF(G197="","",IFERROR(INDEX(Settings!$D$5:$D$8,MATCH(G197,Settings!$A$5:$A$8,0)),""))</f>
        <v/>
      </c>
      <c r="AH197" s="25" t="str">
        <f aca="false">IF(G197="","",IF(AF197="","No",IF(AF197&lt;=AG197,"Yes","No")))</f>
        <v/>
      </c>
      <c r="AI197" s="25" t="str">
        <f aca="false">IF(G197="","",IF(L197="","N/A - Not Detected",IF(AND(X197="",Y197="",Z197=""),"No Containment Action",IF(Z197="",IF(Y197&lt;&gt;"","C2 Persisted","Host Isolation Gap"),IF(AF197&lt;=AG197,"Contained - Within SLA","Contained - SLA Breach")))))</f>
        <v/>
      </c>
      <c r="AJ197" s="25" t="str">
        <f aca="false">IF(G197="","",IF(Z197&lt;&gt;"",1,0))</f>
        <v/>
      </c>
      <c r="AK197" s="34"/>
      <c r="AL197" s="34"/>
      <c r="AM197" s="35"/>
      <c r="AN197" s="34"/>
      <c r="AO197" s="34"/>
      <c r="AP197" s="35"/>
      <c r="AQ197" s="34"/>
      <c r="AR197" s="34"/>
      <c r="AS197" s="34"/>
      <c r="AT197" s="35"/>
      <c r="AU197" s="35"/>
    </row>
    <row r="198" customFormat="false" ht="15" hidden="false" customHeight="false" outlineLevel="0" collapsed="false">
      <c r="A198" s="24"/>
      <c r="B198" s="24"/>
      <c r="C198" s="24"/>
      <c r="D198" s="24"/>
      <c r="E198" s="24"/>
      <c r="F198" s="24"/>
      <c r="G198" s="24"/>
      <c r="H198" s="24"/>
      <c r="I198" s="32"/>
      <c r="J198" s="32"/>
      <c r="K198" s="32"/>
      <c r="L198" s="32"/>
      <c r="M198" s="24"/>
      <c r="N198" s="24"/>
      <c r="O198" s="24"/>
      <c r="P198" s="33" t="str">
        <f aca="false">IF(AND(G198&lt;&gt;"",I198&lt;&gt;"",J198&lt;&gt;""),(J198-I198)*1440,"")</f>
        <v/>
      </c>
      <c r="Q198" s="33" t="str">
        <f aca="false">IF(AND(G198&lt;&gt;"",J198&lt;&gt;"",K198&lt;&gt;""),(K198-J198)*1440,"")</f>
        <v/>
      </c>
      <c r="R198" s="33" t="str">
        <f aca="false">IF(AND(G198&lt;&gt;"",K198&lt;&gt;"",L198&lt;&gt;""),(L198-K198)*1440,"")</f>
        <v/>
      </c>
      <c r="S198" s="33" t="str">
        <f aca="false">IF(AND(G198&lt;&gt;"",I198&lt;&gt;"",L198&lt;&gt;""),(L198-I198)*1440,"")</f>
        <v/>
      </c>
      <c r="T198" s="33" t="str">
        <f aca="false">IF(G198="","",IFERROR(INDEX(Settings!$B$5:$B$8,MATCH(G198,Settings!$A$5:$A$8,0)),""))</f>
        <v/>
      </c>
      <c r="U198" s="25" t="str">
        <f aca="false">IF(G198="","",IF(S198="","No",IF(S198&lt;=T198,"Yes","No")))</f>
        <v/>
      </c>
      <c r="V198" s="25" t="str">
        <f aca="false">IF(G198="","",IF(AND(J198="",K198="",L198=""),"Telemetry Blind Spot",IF(AND(K198="",L198=""),"Missed Alert",IF(L198="","Triage Delay",IF(S198&lt;=T198,"Detected - Within SLA",IF(AND(R198&lt;&gt;"",R198&gt;IFERROR(INDEX(Settings!$C$5:$C$8,MATCH(G198,Settings!$A$5:$A$8,0)),1E+099)),"Triage Delay","Detected - SLA Breach"))))))</f>
        <v/>
      </c>
      <c r="W198" s="25" t="str">
        <f aca="false">IF(G198="","",IF(L198&lt;&gt;"",1,0))</f>
        <v/>
      </c>
      <c r="X198" s="32"/>
      <c r="Y198" s="32"/>
      <c r="Z198" s="32"/>
      <c r="AA198" s="24"/>
      <c r="AB198" s="24"/>
      <c r="AC198" s="33" t="str">
        <f aca="false">IF(AND(G198&lt;&gt;"",L198&lt;&gt;"",X198&lt;&gt;""),(X198-L198)*1440,"")</f>
        <v/>
      </c>
      <c r="AD198" s="33" t="str">
        <f aca="false">IF(AND(G198&lt;&gt;"",X198&lt;&gt;"",Y198&lt;&gt;""),(Y198-X198)*1440,"")</f>
        <v/>
      </c>
      <c r="AE198" s="33" t="str">
        <f aca="false">IF(AND(G198&lt;&gt;"",Y198&lt;&gt;"",Z198&lt;&gt;""),(Z198-Y198)*1440,"")</f>
        <v/>
      </c>
      <c r="AF198" s="33" t="str">
        <f aca="false">IF(AND(G198&lt;&gt;"",L198&lt;&gt;"",Z198&lt;&gt;""),(Z198-L198)*1440,"")</f>
        <v/>
      </c>
      <c r="AG198" s="33" t="str">
        <f aca="false">IF(G198="","",IFERROR(INDEX(Settings!$D$5:$D$8,MATCH(G198,Settings!$A$5:$A$8,0)),""))</f>
        <v/>
      </c>
      <c r="AH198" s="25" t="str">
        <f aca="false">IF(G198="","",IF(AF198="","No",IF(AF198&lt;=AG198,"Yes","No")))</f>
        <v/>
      </c>
      <c r="AI198" s="25" t="str">
        <f aca="false">IF(G198="","",IF(L198="","N/A - Not Detected",IF(AND(X198="",Y198="",Z198=""),"No Containment Action",IF(Z198="",IF(Y198&lt;&gt;"","C2 Persisted","Host Isolation Gap"),IF(AF198&lt;=AG198,"Contained - Within SLA","Contained - SLA Breach")))))</f>
        <v/>
      </c>
      <c r="AJ198" s="25" t="str">
        <f aca="false">IF(G198="","",IF(Z198&lt;&gt;"",1,0))</f>
        <v/>
      </c>
      <c r="AK198" s="34"/>
      <c r="AL198" s="34"/>
      <c r="AM198" s="35"/>
      <c r="AN198" s="34"/>
      <c r="AO198" s="34"/>
      <c r="AP198" s="35"/>
      <c r="AQ198" s="34"/>
      <c r="AR198" s="34"/>
      <c r="AS198" s="34"/>
      <c r="AT198" s="35"/>
      <c r="AU198" s="35"/>
    </row>
    <row r="199" customFormat="false" ht="15" hidden="false" customHeight="false" outlineLevel="0" collapsed="false">
      <c r="A199" s="24"/>
      <c r="B199" s="24"/>
      <c r="C199" s="24"/>
      <c r="D199" s="24"/>
      <c r="E199" s="24"/>
      <c r="F199" s="24"/>
      <c r="G199" s="24"/>
      <c r="H199" s="24"/>
      <c r="I199" s="32"/>
      <c r="J199" s="32"/>
      <c r="K199" s="32"/>
      <c r="L199" s="32"/>
      <c r="M199" s="24"/>
      <c r="N199" s="24"/>
      <c r="O199" s="24"/>
      <c r="P199" s="33" t="str">
        <f aca="false">IF(AND(G199&lt;&gt;"",I199&lt;&gt;"",J199&lt;&gt;""),(J199-I199)*1440,"")</f>
        <v/>
      </c>
      <c r="Q199" s="33" t="str">
        <f aca="false">IF(AND(G199&lt;&gt;"",J199&lt;&gt;"",K199&lt;&gt;""),(K199-J199)*1440,"")</f>
        <v/>
      </c>
      <c r="R199" s="33" t="str">
        <f aca="false">IF(AND(G199&lt;&gt;"",K199&lt;&gt;"",L199&lt;&gt;""),(L199-K199)*1440,"")</f>
        <v/>
      </c>
      <c r="S199" s="33" t="str">
        <f aca="false">IF(AND(G199&lt;&gt;"",I199&lt;&gt;"",L199&lt;&gt;""),(L199-I199)*1440,"")</f>
        <v/>
      </c>
      <c r="T199" s="33" t="str">
        <f aca="false">IF(G199="","",IFERROR(INDEX(Settings!$B$5:$B$8,MATCH(G199,Settings!$A$5:$A$8,0)),""))</f>
        <v/>
      </c>
      <c r="U199" s="25" t="str">
        <f aca="false">IF(G199="","",IF(S199="","No",IF(S199&lt;=T199,"Yes","No")))</f>
        <v/>
      </c>
      <c r="V199" s="25" t="str">
        <f aca="false">IF(G199="","",IF(AND(J199="",K199="",L199=""),"Telemetry Blind Spot",IF(AND(K199="",L199=""),"Missed Alert",IF(L199="","Triage Delay",IF(S199&lt;=T199,"Detected - Within SLA",IF(AND(R199&lt;&gt;"",R199&gt;IFERROR(INDEX(Settings!$C$5:$C$8,MATCH(G199,Settings!$A$5:$A$8,0)),1E+099)),"Triage Delay","Detected - SLA Breach"))))))</f>
        <v/>
      </c>
      <c r="W199" s="25" t="str">
        <f aca="false">IF(G199="","",IF(L199&lt;&gt;"",1,0))</f>
        <v/>
      </c>
      <c r="X199" s="32"/>
      <c r="Y199" s="32"/>
      <c r="Z199" s="32"/>
      <c r="AA199" s="24"/>
      <c r="AB199" s="24"/>
      <c r="AC199" s="33" t="str">
        <f aca="false">IF(AND(G199&lt;&gt;"",L199&lt;&gt;"",X199&lt;&gt;""),(X199-L199)*1440,"")</f>
        <v/>
      </c>
      <c r="AD199" s="33" t="str">
        <f aca="false">IF(AND(G199&lt;&gt;"",X199&lt;&gt;"",Y199&lt;&gt;""),(Y199-X199)*1440,"")</f>
        <v/>
      </c>
      <c r="AE199" s="33" t="str">
        <f aca="false">IF(AND(G199&lt;&gt;"",Y199&lt;&gt;"",Z199&lt;&gt;""),(Z199-Y199)*1440,"")</f>
        <v/>
      </c>
      <c r="AF199" s="33" t="str">
        <f aca="false">IF(AND(G199&lt;&gt;"",L199&lt;&gt;"",Z199&lt;&gt;""),(Z199-L199)*1440,"")</f>
        <v/>
      </c>
      <c r="AG199" s="33" t="str">
        <f aca="false">IF(G199="","",IFERROR(INDEX(Settings!$D$5:$D$8,MATCH(G199,Settings!$A$5:$A$8,0)),""))</f>
        <v/>
      </c>
      <c r="AH199" s="25" t="str">
        <f aca="false">IF(G199="","",IF(AF199="","No",IF(AF199&lt;=AG199,"Yes","No")))</f>
        <v/>
      </c>
      <c r="AI199" s="25" t="str">
        <f aca="false">IF(G199="","",IF(L199="","N/A - Not Detected",IF(AND(X199="",Y199="",Z199=""),"No Containment Action",IF(Z199="",IF(Y199&lt;&gt;"","C2 Persisted","Host Isolation Gap"),IF(AF199&lt;=AG199,"Contained - Within SLA","Contained - SLA Breach")))))</f>
        <v/>
      </c>
      <c r="AJ199" s="25" t="str">
        <f aca="false">IF(G199="","",IF(Z199&lt;&gt;"",1,0))</f>
        <v/>
      </c>
      <c r="AK199" s="34"/>
      <c r="AL199" s="34"/>
      <c r="AM199" s="35"/>
      <c r="AN199" s="34"/>
      <c r="AO199" s="34"/>
      <c r="AP199" s="35"/>
      <c r="AQ199" s="34"/>
      <c r="AR199" s="34"/>
      <c r="AS199" s="34"/>
      <c r="AT199" s="35"/>
      <c r="AU199" s="35"/>
    </row>
    <row r="200" customFormat="false" ht="15" hidden="false" customHeight="false" outlineLevel="0" collapsed="false">
      <c r="A200" s="24"/>
      <c r="B200" s="24"/>
      <c r="C200" s="24"/>
      <c r="D200" s="24"/>
      <c r="E200" s="24"/>
      <c r="F200" s="24"/>
      <c r="G200" s="24"/>
      <c r="H200" s="24"/>
      <c r="I200" s="32"/>
      <c r="J200" s="32"/>
      <c r="K200" s="32"/>
      <c r="L200" s="32"/>
      <c r="M200" s="24"/>
      <c r="N200" s="24"/>
      <c r="O200" s="24"/>
      <c r="P200" s="33" t="str">
        <f aca="false">IF(AND(G200&lt;&gt;"",I200&lt;&gt;"",J200&lt;&gt;""),(J200-I200)*1440,"")</f>
        <v/>
      </c>
      <c r="Q200" s="33" t="str">
        <f aca="false">IF(AND(G200&lt;&gt;"",J200&lt;&gt;"",K200&lt;&gt;""),(K200-J200)*1440,"")</f>
        <v/>
      </c>
      <c r="R200" s="33" t="str">
        <f aca="false">IF(AND(G200&lt;&gt;"",K200&lt;&gt;"",L200&lt;&gt;""),(L200-K200)*1440,"")</f>
        <v/>
      </c>
      <c r="S200" s="33" t="str">
        <f aca="false">IF(AND(G200&lt;&gt;"",I200&lt;&gt;"",L200&lt;&gt;""),(L200-I200)*1440,"")</f>
        <v/>
      </c>
      <c r="T200" s="33" t="str">
        <f aca="false">IF(G200="","",IFERROR(INDEX(Settings!$B$5:$B$8,MATCH(G200,Settings!$A$5:$A$8,0)),""))</f>
        <v/>
      </c>
      <c r="U200" s="25" t="str">
        <f aca="false">IF(G200="","",IF(S200="","No",IF(S200&lt;=T200,"Yes","No")))</f>
        <v/>
      </c>
      <c r="V200" s="25" t="str">
        <f aca="false">IF(G200="","",IF(AND(J200="",K200="",L200=""),"Telemetry Blind Spot",IF(AND(K200="",L200=""),"Missed Alert",IF(L200="","Triage Delay",IF(S200&lt;=T200,"Detected - Within SLA",IF(AND(R200&lt;&gt;"",R200&gt;IFERROR(INDEX(Settings!$C$5:$C$8,MATCH(G200,Settings!$A$5:$A$8,0)),1E+099)),"Triage Delay","Detected - SLA Breach"))))))</f>
        <v/>
      </c>
      <c r="W200" s="25" t="str">
        <f aca="false">IF(G200="","",IF(L200&lt;&gt;"",1,0))</f>
        <v/>
      </c>
      <c r="X200" s="32"/>
      <c r="Y200" s="32"/>
      <c r="Z200" s="32"/>
      <c r="AA200" s="24"/>
      <c r="AB200" s="24"/>
      <c r="AC200" s="33" t="str">
        <f aca="false">IF(AND(G200&lt;&gt;"",L200&lt;&gt;"",X200&lt;&gt;""),(X200-L200)*1440,"")</f>
        <v/>
      </c>
      <c r="AD200" s="33" t="str">
        <f aca="false">IF(AND(G200&lt;&gt;"",X200&lt;&gt;"",Y200&lt;&gt;""),(Y200-X200)*1440,"")</f>
        <v/>
      </c>
      <c r="AE200" s="33" t="str">
        <f aca="false">IF(AND(G200&lt;&gt;"",Y200&lt;&gt;"",Z200&lt;&gt;""),(Z200-Y200)*1440,"")</f>
        <v/>
      </c>
      <c r="AF200" s="33" t="str">
        <f aca="false">IF(AND(G200&lt;&gt;"",L200&lt;&gt;"",Z200&lt;&gt;""),(Z200-L200)*1440,"")</f>
        <v/>
      </c>
      <c r="AG200" s="33" t="str">
        <f aca="false">IF(G200="","",IFERROR(INDEX(Settings!$D$5:$D$8,MATCH(G200,Settings!$A$5:$A$8,0)),""))</f>
        <v/>
      </c>
      <c r="AH200" s="25" t="str">
        <f aca="false">IF(G200="","",IF(AF200="","No",IF(AF200&lt;=AG200,"Yes","No")))</f>
        <v/>
      </c>
      <c r="AI200" s="25" t="str">
        <f aca="false">IF(G200="","",IF(L200="","N/A - Not Detected",IF(AND(X200="",Y200="",Z200=""),"No Containment Action",IF(Z200="",IF(Y200&lt;&gt;"","C2 Persisted","Host Isolation Gap"),IF(AF200&lt;=AG200,"Contained - Within SLA","Contained - SLA Breach")))))</f>
        <v/>
      </c>
      <c r="AJ200" s="25" t="str">
        <f aca="false">IF(G200="","",IF(Z200&lt;&gt;"",1,0))</f>
        <v/>
      </c>
      <c r="AK200" s="34"/>
      <c r="AL200" s="34"/>
      <c r="AM200" s="35"/>
      <c r="AN200" s="34"/>
      <c r="AO200" s="34"/>
      <c r="AP200" s="35"/>
      <c r="AQ200" s="34"/>
      <c r="AR200" s="34"/>
      <c r="AS200" s="34"/>
      <c r="AT200" s="35"/>
      <c r="AU200" s="35"/>
    </row>
    <row r="201" customFormat="false" ht="15" hidden="false" customHeight="false" outlineLevel="0" collapsed="false">
      <c r="A201" s="24"/>
      <c r="B201" s="24"/>
      <c r="C201" s="24"/>
      <c r="D201" s="24"/>
      <c r="E201" s="24"/>
      <c r="F201" s="24"/>
      <c r="G201" s="24"/>
      <c r="H201" s="24"/>
      <c r="I201" s="32"/>
      <c r="J201" s="32"/>
      <c r="K201" s="32"/>
      <c r="L201" s="32"/>
      <c r="M201" s="24"/>
      <c r="N201" s="24"/>
      <c r="O201" s="24"/>
      <c r="P201" s="33" t="str">
        <f aca="false">IF(AND(G201&lt;&gt;"",I201&lt;&gt;"",J201&lt;&gt;""),(J201-I201)*1440,"")</f>
        <v/>
      </c>
      <c r="Q201" s="33" t="str">
        <f aca="false">IF(AND(G201&lt;&gt;"",J201&lt;&gt;"",K201&lt;&gt;""),(K201-J201)*1440,"")</f>
        <v/>
      </c>
      <c r="R201" s="33" t="str">
        <f aca="false">IF(AND(G201&lt;&gt;"",K201&lt;&gt;"",L201&lt;&gt;""),(L201-K201)*1440,"")</f>
        <v/>
      </c>
      <c r="S201" s="33" t="str">
        <f aca="false">IF(AND(G201&lt;&gt;"",I201&lt;&gt;"",L201&lt;&gt;""),(L201-I201)*1440,"")</f>
        <v/>
      </c>
      <c r="T201" s="33" t="str">
        <f aca="false">IF(G201="","",IFERROR(INDEX(Settings!$B$5:$B$8,MATCH(G201,Settings!$A$5:$A$8,0)),""))</f>
        <v/>
      </c>
      <c r="U201" s="25" t="str">
        <f aca="false">IF(G201="","",IF(S201="","No",IF(S201&lt;=T201,"Yes","No")))</f>
        <v/>
      </c>
      <c r="V201" s="25" t="str">
        <f aca="false">IF(G201="","",IF(AND(J201="",K201="",L201=""),"Telemetry Blind Spot",IF(AND(K201="",L201=""),"Missed Alert",IF(L201="","Triage Delay",IF(S201&lt;=T201,"Detected - Within SLA",IF(AND(R201&lt;&gt;"",R201&gt;IFERROR(INDEX(Settings!$C$5:$C$8,MATCH(G201,Settings!$A$5:$A$8,0)),1E+099)),"Triage Delay","Detected - SLA Breach"))))))</f>
        <v/>
      </c>
      <c r="W201" s="25" t="str">
        <f aca="false">IF(G201="","",IF(L201&lt;&gt;"",1,0))</f>
        <v/>
      </c>
      <c r="X201" s="32"/>
      <c r="Y201" s="32"/>
      <c r="Z201" s="32"/>
      <c r="AA201" s="24"/>
      <c r="AB201" s="24"/>
      <c r="AC201" s="33" t="str">
        <f aca="false">IF(AND(G201&lt;&gt;"",L201&lt;&gt;"",X201&lt;&gt;""),(X201-L201)*1440,"")</f>
        <v/>
      </c>
      <c r="AD201" s="33" t="str">
        <f aca="false">IF(AND(G201&lt;&gt;"",X201&lt;&gt;"",Y201&lt;&gt;""),(Y201-X201)*1440,"")</f>
        <v/>
      </c>
      <c r="AE201" s="33" t="str">
        <f aca="false">IF(AND(G201&lt;&gt;"",Y201&lt;&gt;"",Z201&lt;&gt;""),(Z201-Y201)*1440,"")</f>
        <v/>
      </c>
      <c r="AF201" s="33" t="str">
        <f aca="false">IF(AND(G201&lt;&gt;"",L201&lt;&gt;"",Z201&lt;&gt;""),(Z201-L201)*1440,"")</f>
        <v/>
      </c>
      <c r="AG201" s="33" t="str">
        <f aca="false">IF(G201="","",IFERROR(INDEX(Settings!$D$5:$D$8,MATCH(G201,Settings!$A$5:$A$8,0)),""))</f>
        <v/>
      </c>
      <c r="AH201" s="25" t="str">
        <f aca="false">IF(G201="","",IF(AF201="","No",IF(AF201&lt;=AG201,"Yes","No")))</f>
        <v/>
      </c>
      <c r="AI201" s="25" t="str">
        <f aca="false">IF(G201="","",IF(L201="","N/A - Not Detected",IF(AND(X201="",Y201="",Z201=""),"No Containment Action",IF(Z201="",IF(Y201&lt;&gt;"","C2 Persisted","Host Isolation Gap"),IF(AF201&lt;=AG201,"Contained - Within SLA","Contained - SLA Breach")))))</f>
        <v/>
      </c>
      <c r="AJ201" s="25" t="str">
        <f aca="false">IF(G201="","",IF(Z201&lt;&gt;"",1,0))</f>
        <v/>
      </c>
      <c r="AK201" s="34"/>
      <c r="AL201" s="34"/>
      <c r="AM201" s="35"/>
      <c r="AN201" s="34"/>
      <c r="AO201" s="34"/>
      <c r="AP201" s="35"/>
      <c r="AQ201" s="34"/>
      <c r="AR201" s="34"/>
      <c r="AS201" s="34"/>
      <c r="AT201" s="35"/>
      <c r="AU201" s="35"/>
    </row>
    <row r="202" customFormat="false" ht="15" hidden="false" customHeight="false" outlineLevel="0" collapsed="false">
      <c r="A202" s="24"/>
      <c r="B202" s="24"/>
      <c r="C202" s="24"/>
      <c r="D202" s="24"/>
      <c r="E202" s="24"/>
      <c r="F202" s="24"/>
      <c r="G202" s="24"/>
      <c r="H202" s="24"/>
      <c r="I202" s="32"/>
      <c r="J202" s="32"/>
      <c r="K202" s="32"/>
      <c r="L202" s="32"/>
      <c r="M202" s="24"/>
      <c r="N202" s="24"/>
      <c r="O202" s="24"/>
      <c r="P202" s="33" t="str">
        <f aca="false">IF(AND(G202&lt;&gt;"",I202&lt;&gt;"",J202&lt;&gt;""),(J202-I202)*1440,"")</f>
        <v/>
      </c>
      <c r="Q202" s="33" t="str">
        <f aca="false">IF(AND(G202&lt;&gt;"",J202&lt;&gt;"",K202&lt;&gt;""),(K202-J202)*1440,"")</f>
        <v/>
      </c>
      <c r="R202" s="33" t="str">
        <f aca="false">IF(AND(G202&lt;&gt;"",K202&lt;&gt;"",L202&lt;&gt;""),(L202-K202)*1440,"")</f>
        <v/>
      </c>
      <c r="S202" s="33" t="str">
        <f aca="false">IF(AND(G202&lt;&gt;"",I202&lt;&gt;"",L202&lt;&gt;""),(L202-I202)*1440,"")</f>
        <v/>
      </c>
      <c r="T202" s="33" t="str">
        <f aca="false">IF(G202="","",IFERROR(INDEX(Settings!$B$5:$B$8,MATCH(G202,Settings!$A$5:$A$8,0)),""))</f>
        <v/>
      </c>
      <c r="U202" s="25" t="str">
        <f aca="false">IF(G202="","",IF(S202="","No",IF(S202&lt;=T202,"Yes","No")))</f>
        <v/>
      </c>
      <c r="V202" s="25" t="str">
        <f aca="false">IF(G202="","",IF(AND(J202="",K202="",L202=""),"Telemetry Blind Spot",IF(AND(K202="",L202=""),"Missed Alert",IF(L202="","Triage Delay",IF(S202&lt;=T202,"Detected - Within SLA",IF(AND(R202&lt;&gt;"",R202&gt;IFERROR(INDEX(Settings!$C$5:$C$8,MATCH(G202,Settings!$A$5:$A$8,0)),1E+099)),"Triage Delay","Detected - SLA Breach"))))))</f>
        <v/>
      </c>
      <c r="W202" s="25" t="str">
        <f aca="false">IF(G202="","",IF(L202&lt;&gt;"",1,0))</f>
        <v/>
      </c>
      <c r="X202" s="32"/>
      <c r="Y202" s="32"/>
      <c r="Z202" s="32"/>
      <c r="AA202" s="24"/>
      <c r="AB202" s="24"/>
      <c r="AC202" s="33" t="str">
        <f aca="false">IF(AND(G202&lt;&gt;"",L202&lt;&gt;"",X202&lt;&gt;""),(X202-L202)*1440,"")</f>
        <v/>
      </c>
      <c r="AD202" s="33" t="str">
        <f aca="false">IF(AND(G202&lt;&gt;"",X202&lt;&gt;"",Y202&lt;&gt;""),(Y202-X202)*1440,"")</f>
        <v/>
      </c>
      <c r="AE202" s="33" t="str">
        <f aca="false">IF(AND(G202&lt;&gt;"",Y202&lt;&gt;"",Z202&lt;&gt;""),(Z202-Y202)*1440,"")</f>
        <v/>
      </c>
      <c r="AF202" s="33" t="str">
        <f aca="false">IF(AND(G202&lt;&gt;"",L202&lt;&gt;"",Z202&lt;&gt;""),(Z202-L202)*1440,"")</f>
        <v/>
      </c>
      <c r="AG202" s="33" t="str">
        <f aca="false">IF(G202="","",IFERROR(INDEX(Settings!$D$5:$D$8,MATCH(G202,Settings!$A$5:$A$8,0)),""))</f>
        <v/>
      </c>
      <c r="AH202" s="25" t="str">
        <f aca="false">IF(G202="","",IF(AF202="","No",IF(AF202&lt;=AG202,"Yes","No")))</f>
        <v/>
      </c>
      <c r="AI202" s="25" t="str">
        <f aca="false">IF(G202="","",IF(L202="","N/A - Not Detected",IF(AND(X202="",Y202="",Z202=""),"No Containment Action",IF(Z202="",IF(Y202&lt;&gt;"","C2 Persisted","Host Isolation Gap"),IF(AF202&lt;=AG202,"Contained - Within SLA","Contained - SLA Breach")))))</f>
        <v/>
      </c>
      <c r="AJ202" s="25" t="str">
        <f aca="false">IF(G202="","",IF(Z202&lt;&gt;"",1,0))</f>
        <v/>
      </c>
      <c r="AK202" s="34"/>
      <c r="AL202" s="34"/>
      <c r="AM202" s="35"/>
      <c r="AN202" s="34"/>
      <c r="AO202" s="34"/>
      <c r="AP202" s="35"/>
      <c r="AQ202" s="34"/>
      <c r="AR202" s="34"/>
      <c r="AS202" s="34"/>
      <c r="AT202" s="35"/>
      <c r="AU202" s="35"/>
    </row>
    <row r="203" customFormat="false" ht="15" hidden="false" customHeight="false" outlineLevel="0" collapsed="false">
      <c r="A203" s="24"/>
      <c r="B203" s="24"/>
      <c r="C203" s="24"/>
      <c r="D203" s="24"/>
      <c r="E203" s="24"/>
      <c r="F203" s="24"/>
      <c r="G203" s="24"/>
      <c r="H203" s="24"/>
      <c r="I203" s="32"/>
      <c r="J203" s="32"/>
      <c r="K203" s="32"/>
      <c r="L203" s="32"/>
      <c r="M203" s="24"/>
      <c r="N203" s="24"/>
      <c r="O203" s="24"/>
      <c r="P203" s="33" t="str">
        <f aca="false">IF(AND(G203&lt;&gt;"",I203&lt;&gt;"",J203&lt;&gt;""),(J203-I203)*1440,"")</f>
        <v/>
      </c>
      <c r="Q203" s="33" t="str">
        <f aca="false">IF(AND(G203&lt;&gt;"",J203&lt;&gt;"",K203&lt;&gt;""),(K203-J203)*1440,"")</f>
        <v/>
      </c>
      <c r="R203" s="33" t="str">
        <f aca="false">IF(AND(G203&lt;&gt;"",K203&lt;&gt;"",L203&lt;&gt;""),(L203-K203)*1440,"")</f>
        <v/>
      </c>
      <c r="S203" s="33" t="str">
        <f aca="false">IF(AND(G203&lt;&gt;"",I203&lt;&gt;"",L203&lt;&gt;""),(L203-I203)*1440,"")</f>
        <v/>
      </c>
      <c r="T203" s="33" t="str">
        <f aca="false">IF(G203="","",IFERROR(INDEX(Settings!$B$5:$B$8,MATCH(G203,Settings!$A$5:$A$8,0)),""))</f>
        <v/>
      </c>
      <c r="U203" s="25" t="str">
        <f aca="false">IF(G203="","",IF(S203="","No",IF(S203&lt;=T203,"Yes","No")))</f>
        <v/>
      </c>
      <c r="V203" s="25" t="str">
        <f aca="false">IF(G203="","",IF(AND(J203="",K203="",L203=""),"Telemetry Blind Spot",IF(AND(K203="",L203=""),"Missed Alert",IF(L203="","Triage Delay",IF(S203&lt;=T203,"Detected - Within SLA",IF(AND(R203&lt;&gt;"",R203&gt;IFERROR(INDEX(Settings!$C$5:$C$8,MATCH(G203,Settings!$A$5:$A$8,0)),1E+099)),"Triage Delay","Detected - SLA Breach"))))))</f>
        <v/>
      </c>
      <c r="W203" s="25" t="str">
        <f aca="false">IF(G203="","",IF(L203&lt;&gt;"",1,0))</f>
        <v/>
      </c>
      <c r="X203" s="32"/>
      <c r="Y203" s="32"/>
      <c r="Z203" s="32"/>
      <c r="AA203" s="24"/>
      <c r="AB203" s="24"/>
      <c r="AC203" s="33" t="str">
        <f aca="false">IF(AND(G203&lt;&gt;"",L203&lt;&gt;"",X203&lt;&gt;""),(X203-L203)*1440,"")</f>
        <v/>
      </c>
      <c r="AD203" s="33" t="str">
        <f aca="false">IF(AND(G203&lt;&gt;"",X203&lt;&gt;"",Y203&lt;&gt;""),(Y203-X203)*1440,"")</f>
        <v/>
      </c>
      <c r="AE203" s="33" t="str">
        <f aca="false">IF(AND(G203&lt;&gt;"",Y203&lt;&gt;"",Z203&lt;&gt;""),(Z203-Y203)*1440,"")</f>
        <v/>
      </c>
      <c r="AF203" s="33" t="str">
        <f aca="false">IF(AND(G203&lt;&gt;"",L203&lt;&gt;"",Z203&lt;&gt;""),(Z203-L203)*1440,"")</f>
        <v/>
      </c>
      <c r="AG203" s="33" t="str">
        <f aca="false">IF(G203="","",IFERROR(INDEX(Settings!$D$5:$D$8,MATCH(G203,Settings!$A$5:$A$8,0)),""))</f>
        <v/>
      </c>
      <c r="AH203" s="25" t="str">
        <f aca="false">IF(G203="","",IF(AF203="","No",IF(AF203&lt;=AG203,"Yes","No")))</f>
        <v/>
      </c>
      <c r="AI203" s="25" t="str">
        <f aca="false">IF(G203="","",IF(L203="","N/A - Not Detected",IF(AND(X203="",Y203="",Z203=""),"No Containment Action",IF(Z203="",IF(Y203&lt;&gt;"","C2 Persisted","Host Isolation Gap"),IF(AF203&lt;=AG203,"Contained - Within SLA","Contained - SLA Breach")))))</f>
        <v/>
      </c>
      <c r="AJ203" s="25" t="str">
        <f aca="false">IF(G203="","",IF(Z203&lt;&gt;"",1,0))</f>
        <v/>
      </c>
      <c r="AK203" s="34"/>
      <c r="AL203" s="34"/>
      <c r="AM203" s="35"/>
      <c r="AN203" s="34"/>
      <c r="AO203" s="34"/>
      <c r="AP203" s="35"/>
      <c r="AQ203" s="34"/>
      <c r="AR203" s="34"/>
      <c r="AS203" s="34"/>
      <c r="AT203" s="35"/>
      <c r="AU203" s="35"/>
    </row>
    <row r="204" customFormat="false" ht="15" hidden="false" customHeight="false" outlineLevel="0" collapsed="false">
      <c r="A204" s="24"/>
      <c r="B204" s="24"/>
      <c r="C204" s="24"/>
      <c r="D204" s="24"/>
      <c r="E204" s="24"/>
      <c r="F204" s="24"/>
      <c r="G204" s="24"/>
      <c r="H204" s="24"/>
      <c r="I204" s="32"/>
      <c r="J204" s="32"/>
      <c r="K204" s="32"/>
      <c r="L204" s="32"/>
      <c r="M204" s="24"/>
      <c r="N204" s="24"/>
      <c r="O204" s="24"/>
      <c r="P204" s="33" t="str">
        <f aca="false">IF(AND(G204&lt;&gt;"",I204&lt;&gt;"",J204&lt;&gt;""),(J204-I204)*1440,"")</f>
        <v/>
      </c>
      <c r="Q204" s="33" t="str">
        <f aca="false">IF(AND(G204&lt;&gt;"",J204&lt;&gt;"",K204&lt;&gt;""),(K204-J204)*1440,"")</f>
        <v/>
      </c>
      <c r="R204" s="33" t="str">
        <f aca="false">IF(AND(G204&lt;&gt;"",K204&lt;&gt;"",L204&lt;&gt;""),(L204-K204)*1440,"")</f>
        <v/>
      </c>
      <c r="S204" s="33" t="str">
        <f aca="false">IF(AND(G204&lt;&gt;"",I204&lt;&gt;"",L204&lt;&gt;""),(L204-I204)*1440,"")</f>
        <v/>
      </c>
      <c r="T204" s="33" t="str">
        <f aca="false">IF(G204="","",IFERROR(INDEX(Settings!$B$5:$B$8,MATCH(G204,Settings!$A$5:$A$8,0)),""))</f>
        <v/>
      </c>
      <c r="U204" s="25" t="str">
        <f aca="false">IF(G204="","",IF(S204="","No",IF(S204&lt;=T204,"Yes","No")))</f>
        <v/>
      </c>
      <c r="V204" s="25" t="str">
        <f aca="false">IF(G204="","",IF(AND(J204="",K204="",L204=""),"Telemetry Blind Spot",IF(AND(K204="",L204=""),"Missed Alert",IF(L204="","Triage Delay",IF(S204&lt;=T204,"Detected - Within SLA",IF(AND(R204&lt;&gt;"",R204&gt;IFERROR(INDEX(Settings!$C$5:$C$8,MATCH(G204,Settings!$A$5:$A$8,0)),1E+099)),"Triage Delay","Detected - SLA Breach"))))))</f>
        <v/>
      </c>
      <c r="W204" s="25" t="str">
        <f aca="false">IF(G204="","",IF(L204&lt;&gt;"",1,0))</f>
        <v/>
      </c>
      <c r="X204" s="32"/>
      <c r="Y204" s="32"/>
      <c r="Z204" s="32"/>
      <c r="AA204" s="24"/>
      <c r="AB204" s="24"/>
      <c r="AC204" s="33" t="str">
        <f aca="false">IF(AND(G204&lt;&gt;"",L204&lt;&gt;"",X204&lt;&gt;""),(X204-L204)*1440,"")</f>
        <v/>
      </c>
      <c r="AD204" s="33" t="str">
        <f aca="false">IF(AND(G204&lt;&gt;"",X204&lt;&gt;"",Y204&lt;&gt;""),(Y204-X204)*1440,"")</f>
        <v/>
      </c>
      <c r="AE204" s="33" t="str">
        <f aca="false">IF(AND(G204&lt;&gt;"",Y204&lt;&gt;"",Z204&lt;&gt;""),(Z204-Y204)*1440,"")</f>
        <v/>
      </c>
      <c r="AF204" s="33" t="str">
        <f aca="false">IF(AND(G204&lt;&gt;"",L204&lt;&gt;"",Z204&lt;&gt;""),(Z204-L204)*1440,"")</f>
        <v/>
      </c>
      <c r="AG204" s="33" t="str">
        <f aca="false">IF(G204="","",IFERROR(INDEX(Settings!$D$5:$D$8,MATCH(G204,Settings!$A$5:$A$8,0)),""))</f>
        <v/>
      </c>
      <c r="AH204" s="25" t="str">
        <f aca="false">IF(G204="","",IF(AF204="","No",IF(AF204&lt;=AG204,"Yes","No")))</f>
        <v/>
      </c>
      <c r="AI204" s="25" t="str">
        <f aca="false">IF(G204="","",IF(L204="","N/A - Not Detected",IF(AND(X204="",Y204="",Z204=""),"No Containment Action",IF(Z204="",IF(Y204&lt;&gt;"","C2 Persisted","Host Isolation Gap"),IF(AF204&lt;=AG204,"Contained - Within SLA","Contained - SLA Breach")))))</f>
        <v/>
      </c>
      <c r="AJ204" s="25" t="str">
        <f aca="false">IF(G204="","",IF(Z204&lt;&gt;"",1,0))</f>
        <v/>
      </c>
      <c r="AK204" s="34"/>
      <c r="AL204" s="34"/>
      <c r="AM204" s="35"/>
      <c r="AN204" s="34"/>
      <c r="AO204" s="34"/>
      <c r="AP204" s="35"/>
      <c r="AQ204" s="34"/>
      <c r="AR204" s="34"/>
      <c r="AS204" s="34"/>
      <c r="AT204" s="35"/>
      <c r="AU204" s="35"/>
    </row>
    <row r="205" customFormat="false" ht="15" hidden="false" customHeight="false" outlineLevel="0" collapsed="false">
      <c r="A205" s="24"/>
      <c r="B205" s="24"/>
      <c r="C205" s="24"/>
      <c r="D205" s="24"/>
      <c r="E205" s="24"/>
      <c r="F205" s="24"/>
      <c r="G205" s="24"/>
      <c r="H205" s="24"/>
      <c r="I205" s="32"/>
      <c r="J205" s="32"/>
      <c r="K205" s="32"/>
      <c r="L205" s="32"/>
      <c r="M205" s="24"/>
      <c r="N205" s="24"/>
      <c r="O205" s="24"/>
      <c r="P205" s="33" t="str">
        <f aca="false">IF(AND(G205&lt;&gt;"",I205&lt;&gt;"",J205&lt;&gt;""),(J205-I205)*1440,"")</f>
        <v/>
      </c>
      <c r="Q205" s="33" t="str">
        <f aca="false">IF(AND(G205&lt;&gt;"",J205&lt;&gt;"",K205&lt;&gt;""),(K205-J205)*1440,"")</f>
        <v/>
      </c>
      <c r="R205" s="33" t="str">
        <f aca="false">IF(AND(G205&lt;&gt;"",K205&lt;&gt;"",L205&lt;&gt;""),(L205-K205)*1440,"")</f>
        <v/>
      </c>
      <c r="S205" s="33" t="str">
        <f aca="false">IF(AND(G205&lt;&gt;"",I205&lt;&gt;"",L205&lt;&gt;""),(L205-I205)*1440,"")</f>
        <v/>
      </c>
      <c r="T205" s="33" t="str">
        <f aca="false">IF(G205="","",IFERROR(INDEX(Settings!$B$5:$B$8,MATCH(G205,Settings!$A$5:$A$8,0)),""))</f>
        <v/>
      </c>
      <c r="U205" s="25" t="str">
        <f aca="false">IF(G205="","",IF(S205="","No",IF(S205&lt;=T205,"Yes","No")))</f>
        <v/>
      </c>
      <c r="V205" s="25" t="str">
        <f aca="false">IF(G205="","",IF(AND(J205="",K205="",L205=""),"Telemetry Blind Spot",IF(AND(K205="",L205=""),"Missed Alert",IF(L205="","Triage Delay",IF(S205&lt;=T205,"Detected - Within SLA",IF(AND(R205&lt;&gt;"",R205&gt;IFERROR(INDEX(Settings!$C$5:$C$8,MATCH(G205,Settings!$A$5:$A$8,0)),1E+099)),"Triage Delay","Detected - SLA Breach"))))))</f>
        <v/>
      </c>
      <c r="W205" s="25" t="str">
        <f aca="false">IF(G205="","",IF(L205&lt;&gt;"",1,0))</f>
        <v/>
      </c>
      <c r="X205" s="32"/>
      <c r="Y205" s="32"/>
      <c r="Z205" s="32"/>
      <c r="AA205" s="24"/>
      <c r="AB205" s="24"/>
      <c r="AC205" s="33" t="str">
        <f aca="false">IF(AND(G205&lt;&gt;"",L205&lt;&gt;"",X205&lt;&gt;""),(X205-L205)*1440,"")</f>
        <v/>
      </c>
      <c r="AD205" s="33" t="str">
        <f aca="false">IF(AND(G205&lt;&gt;"",X205&lt;&gt;"",Y205&lt;&gt;""),(Y205-X205)*1440,"")</f>
        <v/>
      </c>
      <c r="AE205" s="33" t="str">
        <f aca="false">IF(AND(G205&lt;&gt;"",Y205&lt;&gt;"",Z205&lt;&gt;""),(Z205-Y205)*1440,"")</f>
        <v/>
      </c>
      <c r="AF205" s="33" t="str">
        <f aca="false">IF(AND(G205&lt;&gt;"",L205&lt;&gt;"",Z205&lt;&gt;""),(Z205-L205)*1440,"")</f>
        <v/>
      </c>
      <c r="AG205" s="33" t="str">
        <f aca="false">IF(G205="","",IFERROR(INDEX(Settings!$D$5:$D$8,MATCH(G205,Settings!$A$5:$A$8,0)),""))</f>
        <v/>
      </c>
      <c r="AH205" s="25" t="str">
        <f aca="false">IF(G205="","",IF(AF205="","No",IF(AF205&lt;=AG205,"Yes","No")))</f>
        <v/>
      </c>
      <c r="AI205" s="25" t="str">
        <f aca="false">IF(G205="","",IF(L205="","N/A - Not Detected",IF(AND(X205="",Y205="",Z205=""),"No Containment Action",IF(Z205="",IF(Y205&lt;&gt;"","C2 Persisted","Host Isolation Gap"),IF(AF205&lt;=AG205,"Contained - Within SLA","Contained - SLA Breach")))))</f>
        <v/>
      </c>
      <c r="AJ205" s="25" t="str">
        <f aca="false">IF(G205="","",IF(Z205&lt;&gt;"",1,0))</f>
        <v/>
      </c>
      <c r="AK205" s="34"/>
      <c r="AL205" s="34"/>
      <c r="AM205" s="35"/>
      <c r="AN205" s="34"/>
      <c r="AO205" s="34"/>
      <c r="AP205" s="35"/>
      <c r="AQ205" s="34"/>
      <c r="AR205" s="34"/>
      <c r="AS205" s="34"/>
      <c r="AT205" s="35"/>
      <c r="AU205" s="35"/>
    </row>
    <row r="206" customFormat="false" ht="15" hidden="false" customHeight="false" outlineLevel="0" collapsed="false">
      <c r="A206" s="24"/>
      <c r="B206" s="24"/>
      <c r="C206" s="24"/>
      <c r="D206" s="24"/>
      <c r="E206" s="24"/>
      <c r="F206" s="24"/>
      <c r="G206" s="24"/>
      <c r="H206" s="24"/>
      <c r="I206" s="32"/>
      <c r="J206" s="32"/>
      <c r="K206" s="32"/>
      <c r="L206" s="32"/>
      <c r="M206" s="24"/>
      <c r="N206" s="24"/>
      <c r="O206" s="24"/>
      <c r="P206" s="33" t="str">
        <f aca="false">IF(AND(G206&lt;&gt;"",I206&lt;&gt;"",J206&lt;&gt;""),(J206-I206)*1440,"")</f>
        <v/>
      </c>
      <c r="Q206" s="33" t="str">
        <f aca="false">IF(AND(G206&lt;&gt;"",J206&lt;&gt;"",K206&lt;&gt;""),(K206-J206)*1440,"")</f>
        <v/>
      </c>
      <c r="R206" s="33" t="str">
        <f aca="false">IF(AND(G206&lt;&gt;"",K206&lt;&gt;"",L206&lt;&gt;""),(L206-K206)*1440,"")</f>
        <v/>
      </c>
      <c r="S206" s="33" t="str">
        <f aca="false">IF(AND(G206&lt;&gt;"",I206&lt;&gt;"",L206&lt;&gt;""),(L206-I206)*1440,"")</f>
        <v/>
      </c>
      <c r="T206" s="33" t="str">
        <f aca="false">IF(G206="","",IFERROR(INDEX(Settings!$B$5:$B$8,MATCH(G206,Settings!$A$5:$A$8,0)),""))</f>
        <v/>
      </c>
      <c r="U206" s="25" t="str">
        <f aca="false">IF(G206="","",IF(S206="","No",IF(S206&lt;=T206,"Yes","No")))</f>
        <v/>
      </c>
      <c r="V206" s="25" t="str">
        <f aca="false">IF(G206="","",IF(AND(J206="",K206="",L206=""),"Telemetry Blind Spot",IF(AND(K206="",L206=""),"Missed Alert",IF(L206="","Triage Delay",IF(S206&lt;=T206,"Detected - Within SLA",IF(AND(R206&lt;&gt;"",R206&gt;IFERROR(INDEX(Settings!$C$5:$C$8,MATCH(G206,Settings!$A$5:$A$8,0)),1E+099)),"Triage Delay","Detected - SLA Breach"))))))</f>
        <v/>
      </c>
      <c r="W206" s="25" t="str">
        <f aca="false">IF(G206="","",IF(L206&lt;&gt;"",1,0))</f>
        <v/>
      </c>
      <c r="X206" s="32"/>
      <c r="Y206" s="32"/>
      <c r="Z206" s="32"/>
      <c r="AA206" s="24"/>
      <c r="AB206" s="24"/>
      <c r="AC206" s="33" t="str">
        <f aca="false">IF(AND(G206&lt;&gt;"",L206&lt;&gt;"",X206&lt;&gt;""),(X206-L206)*1440,"")</f>
        <v/>
      </c>
      <c r="AD206" s="33" t="str">
        <f aca="false">IF(AND(G206&lt;&gt;"",X206&lt;&gt;"",Y206&lt;&gt;""),(Y206-X206)*1440,"")</f>
        <v/>
      </c>
      <c r="AE206" s="33" t="str">
        <f aca="false">IF(AND(G206&lt;&gt;"",Y206&lt;&gt;"",Z206&lt;&gt;""),(Z206-Y206)*1440,"")</f>
        <v/>
      </c>
      <c r="AF206" s="33" t="str">
        <f aca="false">IF(AND(G206&lt;&gt;"",L206&lt;&gt;"",Z206&lt;&gt;""),(Z206-L206)*1440,"")</f>
        <v/>
      </c>
      <c r="AG206" s="33" t="str">
        <f aca="false">IF(G206="","",IFERROR(INDEX(Settings!$D$5:$D$8,MATCH(G206,Settings!$A$5:$A$8,0)),""))</f>
        <v/>
      </c>
      <c r="AH206" s="25" t="str">
        <f aca="false">IF(G206="","",IF(AF206="","No",IF(AF206&lt;=AG206,"Yes","No")))</f>
        <v/>
      </c>
      <c r="AI206" s="25" t="str">
        <f aca="false">IF(G206="","",IF(L206="","N/A - Not Detected",IF(AND(X206="",Y206="",Z206=""),"No Containment Action",IF(Z206="",IF(Y206&lt;&gt;"","C2 Persisted","Host Isolation Gap"),IF(AF206&lt;=AG206,"Contained - Within SLA","Contained - SLA Breach")))))</f>
        <v/>
      </c>
      <c r="AJ206" s="25" t="str">
        <f aca="false">IF(G206="","",IF(Z206&lt;&gt;"",1,0))</f>
        <v/>
      </c>
      <c r="AK206" s="34"/>
      <c r="AL206" s="34"/>
      <c r="AM206" s="35"/>
      <c r="AN206" s="34"/>
      <c r="AO206" s="34"/>
      <c r="AP206" s="35"/>
      <c r="AQ206" s="34"/>
      <c r="AR206" s="34"/>
      <c r="AS206" s="34"/>
      <c r="AT206" s="35"/>
      <c r="AU206" s="35"/>
    </row>
    <row r="207" customFormat="false" ht="15" hidden="false" customHeight="false" outlineLevel="0" collapsed="false">
      <c r="A207" s="24"/>
      <c r="B207" s="24"/>
      <c r="C207" s="24"/>
      <c r="D207" s="24"/>
      <c r="E207" s="24"/>
      <c r="F207" s="24"/>
      <c r="G207" s="24"/>
      <c r="H207" s="24"/>
      <c r="I207" s="32"/>
      <c r="J207" s="32"/>
      <c r="K207" s="32"/>
      <c r="L207" s="32"/>
      <c r="M207" s="24"/>
      <c r="N207" s="24"/>
      <c r="O207" s="24"/>
      <c r="P207" s="33" t="str">
        <f aca="false">IF(AND(G207&lt;&gt;"",I207&lt;&gt;"",J207&lt;&gt;""),(J207-I207)*1440,"")</f>
        <v/>
      </c>
      <c r="Q207" s="33" t="str">
        <f aca="false">IF(AND(G207&lt;&gt;"",J207&lt;&gt;"",K207&lt;&gt;""),(K207-J207)*1440,"")</f>
        <v/>
      </c>
      <c r="R207" s="33" t="str">
        <f aca="false">IF(AND(G207&lt;&gt;"",K207&lt;&gt;"",L207&lt;&gt;""),(L207-K207)*1440,"")</f>
        <v/>
      </c>
      <c r="S207" s="33" t="str">
        <f aca="false">IF(AND(G207&lt;&gt;"",I207&lt;&gt;"",L207&lt;&gt;""),(L207-I207)*1440,"")</f>
        <v/>
      </c>
      <c r="T207" s="33" t="str">
        <f aca="false">IF(G207="","",IFERROR(INDEX(Settings!$B$5:$B$8,MATCH(G207,Settings!$A$5:$A$8,0)),""))</f>
        <v/>
      </c>
      <c r="U207" s="25" t="str">
        <f aca="false">IF(G207="","",IF(S207="","No",IF(S207&lt;=T207,"Yes","No")))</f>
        <v/>
      </c>
      <c r="V207" s="25" t="str">
        <f aca="false">IF(G207="","",IF(AND(J207="",K207="",L207=""),"Telemetry Blind Spot",IF(AND(K207="",L207=""),"Missed Alert",IF(L207="","Triage Delay",IF(S207&lt;=T207,"Detected - Within SLA",IF(AND(R207&lt;&gt;"",R207&gt;IFERROR(INDEX(Settings!$C$5:$C$8,MATCH(G207,Settings!$A$5:$A$8,0)),1E+099)),"Triage Delay","Detected - SLA Breach"))))))</f>
        <v/>
      </c>
      <c r="W207" s="25" t="str">
        <f aca="false">IF(G207="","",IF(L207&lt;&gt;"",1,0))</f>
        <v/>
      </c>
      <c r="X207" s="32"/>
      <c r="Y207" s="32"/>
      <c r="Z207" s="32"/>
      <c r="AA207" s="24"/>
      <c r="AB207" s="24"/>
      <c r="AC207" s="33" t="str">
        <f aca="false">IF(AND(G207&lt;&gt;"",L207&lt;&gt;"",X207&lt;&gt;""),(X207-L207)*1440,"")</f>
        <v/>
      </c>
      <c r="AD207" s="33" t="str">
        <f aca="false">IF(AND(G207&lt;&gt;"",X207&lt;&gt;"",Y207&lt;&gt;""),(Y207-X207)*1440,"")</f>
        <v/>
      </c>
      <c r="AE207" s="33" t="str">
        <f aca="false">IF(AND(G207&lt;&gt;"",Y207&lt;&gt;"",Z207&lt;&gt;""),(Z207-Y207)*1440,"")</f>
        <v/>
      </c>
      <c r="AF207" s="33" t="str">
        <f aca="false">IF(AND(G207&lt;&gt;"",L207&lt;&gt;"",Z207&lt;&gt;""),(Z207-L207)*1440,"")</f>
        <v/>
      </c>
      <c r="AG207" s="33" t="str">
        <f aca="false">IF(G207="","",IFERROR(INDEX(Settings!$D$5:$D$8,MATCH(G207,Settings!$A$5:$A$8,0)),""))</f>
        <v/>
      </c>
      <c r="AH207" s="25" t="str">
        <f aca="false">IF(G207="","",IF(AF207="","No",IF(AF207&lt;=AG207,"Yes","No")))</f>
        <v/>
      </c>
      <c r="AI207" s="25" t="str">
        <f aca="false">IF(G207="","",IF(L207="","N/A - Not Detected",IF(AND(X207="",Y207="",Z207=""),"No Containment Action",IF(Z207="",IF(Y207&lt;&gt;"","C2 Persisted","Host Isolation Gap"),IF(AF207&lt;=AG207,"Contained - Within SLA","Contained - SLA Breach")))))</f>
        <v/>
      </c>
      <c r="AJ207" s="25" t="str">
        <f aca="false">IF(G207="","",IF(Z207&lt;&gt;"",1,0))</f>
        <v/>
      </c>
      <c r="AK207" s="34"/>
      <c r="AL207" s="34"/>
      <c r="AM207" s="35"/>
      <c r="AN207" s="34"/>
      <c r="AO207" s="34"/>
      <c r="AP207" s="35"/>
      <c r="AQ207" s="34"/>
      <c r="AR207" s="34"/>
      <c r="AS207" s="34"/>
      <c r="AT207" s="35"/>
      <c r="AU207" s="35"/>
    </row>
    <row r="208" customFormat="false" ht="15" hidden="false" customHeight="false" outlineLevel="0" collapsed="false">
      <c r="A208" s="24"/>
      <c r="B208" s="24"/>
      <c r="C208" s="24"/>
      <c r="D208" s="24"/>
      <c r="E208" s="24"/>
      <c r="F208" s="24"/>
      <c r="G208" s="24"/>
      <c r="H208" s="24"/>
      <c r="I208" s="32"/>
      <c r="J208" s="32"/>
      <c r="K208" s="32"/>
      <c r="L208" s="32"/>
      <c r="M208" s="24"/>
      <c r="N208" s="24"/>
      <c r="O208" s="24"/>
      <c r="P208" s="33" t="str">
        <f aca="false">IF(AND(G208&lt;&gt;"",I208&lt;&gt;"",J208&lt;&gt;""),(J208-I208)*1440,"")</f>
        <v/>
      </c>
      <c r="Q208" s="33" t="str">
        <f aca="false">IF(AND(G208&lt;&gt;"",J208&lt;&gt;"",K208&lt;&gt;""),(K208-J208)*1440,"")</f>
        <v/>
      </c>
      <c r="R208" s="33" t="str">
        <f aca="false">IF(AND(G208&lt;&gt;"",K208&lt;&gt;"",L208&lt;&gt;""),(L208-K208)*1440,"")</f>
        <v/>
      </c>
      <c r="S208" s="33" t="str">
        <f aca="false">IF(AND(G208&lt;&gt;"",I208&lt;&gt;"",L208&lt;&gt;""),(L208-I208)*1440,"")</f>
        <v/>
      </c>
      <c r="T208" s="33" t="str">
        <f aca="false">IF(G208="","",IFERROR(INDEX(Settings!$B$5:$B$8,MATCH(G208,Settings!$A$5:$A$8,0)),""))</f>
        <v/>
      </c>
      <c r="U208" s="25" t="str">
        <f aca="false">IF(G208="","",IF(S208="","No",IF(S208&lt;=T208,"Yes","No")))</f>
        <v/>
      </c>
      <c r="V208" s="25" t="str">
        <f aca="false">IF(G208="","",IF(AND(J208="",K208="",L208=""),"Telemetry Blind Spot",IF(AND(K208="",L208=""),"Missed Alert",IF(L208="","Triage Delay",IF(S208&lt;=T208,"Detected - Within SLA",IF(AND(R208&lt;&gt;"",R208&gt;IFERROR(INDEX(Settings!$C$5:$C$8,MATCH(G208,Settings!$A$5:$A$8,0)),1E+099)),"Triage Delay","Detected - SLA Breach"))))))</f>
        <v/>
      </c>
      <c r="W208" s="25" t="str">
        <f aca="false">IF(G208="","",IF(L208&lt;&gt;"",1,0))</f>
        <v/>
      </c>
      <c r="X208" s="32"/>
      <c r="Y208" s="32"/>
      <c r="Z208" s="32"/>
      <c r="AA208" s="24"/>
      <c r="AB208" s="24"/>
      <c r="AC208" s="33" t="str">
        <f aca="false">IF(AND(G208&lt;&gt;"",L208&lt;&gt;"",X208&lt;&gt;""),(X208-L208)*1440,"")</f>
        <v/>
      </c>
      <c r="AD208" s="33" t="str">
        <f aca="false">IF(AND(G208&lt;&gt;"",X208&lt;&gt;"",Y208&lt;&gt;""),(Y208-X208)*1440,"")</f>
        <v/>
      </c>
      <c r="AE208" s="33" t="str">
        <f aca="false">IF(AND(G208&lt;&gt;"",Y208&lt;&gt;"",Z208&lt;&gt;""),(Z208-Y208)*1440,"")</f>
        <v/>
      </c>
      <c r="AF208" s="33" t="str">
        <f aca="false">IF(AND(G208&lt;&gt;"",L208&lt;&gt;"",Z208&lt;&gt;""),(Z208-L208)*1440,"")</f>
        <v/>
      </c>
      <c r="AG208" s="33" t="str">
        <f aca="false">IF(G208="","",IFERROR(INDEX(Settings!$D$5:$D$8,MATCH(G208,Settings!$A$5:$A$8,0)),""))</f>
        <v/>
      </c>
      <c r="AH208" s="25" t="str">
        <f aca="false">IF(G208="","",IF(AF208="","No",IF(AF208&lt;=AG208,"Yes","No")))</f>
        <v/>
      </c>
      <c r="AI208" s="25" t="str">
        <f aca="false">IF(G208="","",IF(L208="","N/A - Not Detected",IF(AND(X208="",Y208="",Z208=""),"No Containment Action",IF(Z208="",IF(Y208&lt;&gt;"","C2 Persisted","Host Isolation Gap"),IF(AF208&lt;=AG208,"Contained - Within SLA","Contained - SLA Breach")))))</f>
        <v/>
      </c>
      <c r="AJ208" s="25" t="str">
        <f aca="false">IF(G208="","",IF(Z208&lt;&gt;"",1,0))</f>
        <v/>
      </c>
      <c r="AK208" s="34"/>
      <c r="AL208" s="34"/>
      <c r="AM208" s="35"/>
      <c r="AN208" s="34"/>
      <c r="AO208" s="34"/>
      <c r="AP208" s="35"/>
      <c r="AQ208" s="34"/>
      <c r="AR208" s="34"/>
      <c r="AS208" s="34"/>
      <c r="AT208" s="35"/>
      <c r="AU208" s="35"/>
    </row>
    <row r="209" customFormat="false" ht="15" hidden="false" customHeight="false" outlineLevel="0" collapsed="false">
      <c r="A209" s="24"/>
      <c r="B209" s="24"/>
      <c r="C209" s="24"/>
      <c r="D209" s="24"/>
      <c r="E209" s="24"/>
      <c r="F209" s="24"/>
      <c r="G209" s="24"/>
      <c r="H209" s="24"/>
      <c r="I209" s="32"/>
      <c r="J209" s="32"/>
      <c r="K209" s="32"/>
      <c r="L209" s="32"/>
      <c r="M209" s="24"/>
      <c r="N209" s="24"/>
      <c r="O209" s="24"/>
      <c r="P209" s="33" t="str">
        <f aca="false">IF(AND(G209&lt;&gt;"",I209&lt;&gt;"",J209&lt;&gt;""),(J209-I209)*1440,"")</f>
        <v/>
      </c>
      <c r="Q209" s="33" t="str">
        <f aca="false">IF(AND(G209&lt;&gt;"",J209&lt;&gt;"",K209&lt;&gt;""),(K209-J209)*1440,"")</f>
        <v/>
      </c>
      <c r="R209" s="33" t="str">
        <f aca="false">IF(AND(G209&lt;&gt;"",K209&lt;&gt;"",L209&lt;&gt;""),(L209-K209)*1440,"")</f>
        <v/>
      </c>
      <c r="S209" s="33" t="str">
        <f aca="false">IF(AND(G209&lt;&gt;"",I209&lt;&gt;"",L209&lt;&gt;""),(L209-I209)*1440,"")</f>
        <v/>
      </c>
      <c r="T209" s="33" t="str">
        <f aca="false">IF(G209="","",IFERROR(INDEX(Settings!$B$5:$B$8,MATCH(G209,Settings!$A$5:$A$8,0)),""))</f>
        <v/>
      </c>
      <c r="U209" s="25" t="str">
        <f aca="false">IF(G209="","",IF(S209="","No",IF(S209&lt;=T209,"Yes","No")))</f>
        <v/>
      </c>
      <c r="V209" s="25" t="str">
        <f aca="false">IF(G209="","",IF(AND(J209="",K209="",L209=""),"Telemetry Blind Spot",IF(AND(K209="",L209=""),"Missed Alert",IF(L209="","Triage Delay",IF(S209&lt;=T209,"Detected - Within SLA",IF(AND(R209&lt;&gt;"",R209&gt;IFERROR(INDEX(Settings!$C$5:$C$8,MATCH(G209,Settings!$A$5:$A$8,0)),1E+099)),"Triage Delay","Detected - SLA Breach"))))))</f>
        <v/>
      </c>
      <c r="W209" s="25" t="str">
        <f aca="false">IF(G209="","",IF(L209&lt;&gt;"",1,0))</f>
        <v/>
      </c>
      <c r="X209" s="32"/>
      <c r="Y209" s="32"/>
      <c r="Z209" s="32"/>
      <c r="AA209" s="24"/>
      <c r="AB209" s="24"/>
      <c r="AC209" s="33" t="str">
        <f aca="false">IF(AND(G209&lt;&gt;"",L209&lt;&gt;"",X209&lt;&gt;""),(X209-L209)*1440,"")</f>
        <v/>
      </c>
      <c r="AD209" s="33" t="str">
        <f aca="false">IF(AND(G209&lt;&gt;"",X209&lt;&gt;"",Y209&lt;&gt;""),(Y209-X209)*1440,"")</f>
        <v/>
      </c>
      <c r="AE209" s="33" t="str">
        <f aca="false">IF(AND(G209&lt;&gt;"",Y209&lt;&gt;"",Z209&lt;&gt;""),(Z209-Y209)*1440,"")</f>
        <v/>
      </c>
      <c r="AF209" s="33" t="str">
        <f aca="false">IF(AND(G209&lt;&gt;"",L209&lt;&gt;"",Z209&lt;&gt;""),(Z209-L209)*1440,"")</f>
        <v/>
      </c>
      <c r="AG209" s="33" t="str">
        <f aca="false">IF(G209="","",IFERROR(INDEX(Settings!$D$5:$D$8,MATCH(G209,Settings!$A$5:$A$8,0)),""))</f>
        <v/>
      </c>
      <c r="AH209" s="25" t="str">
        <f aca="false">IF(G209="","",IF(AF209="","No",IF(AF209&lt;=AG209,"Yes","No")))</f>
        <v/>
      </c>
      <c r="AI209" s="25" t="str">
        <f aca="false">IF(G209="","",IF(L209="","N/A - Not Detected",IF(AND(X209="",Y209="",Z209=""),"No Containment Action",IF(Z209="",IF(Y209&lt;&gt;"","C2 Persisted","Host Isolation Gap"),IF(AF209&lt;=AG209,"Contained - Within SLA","Contained - SLA Breach")))))</f>
        <v/>
      </c>
      <c r="AJ209" s="25" t="str">
        <f aca="false">IF(G209="","",IF(Z209&lt;&gt;"",1,0))</f>
        <v/>
      </c>
      <c r="AK209" s="34"/>
      <c r="AL209" s="34"/>
      <c r="AM209" s="35"/>
      <c r="AN209" s="34"/>
      <c r="AO209" s="34"/>
      <c r="AP209" s="35"/>
      <c r="AQ209" s="34"/>
      <c r="AR209" s="34"/>
      <c r="AS209" s="34"/>
      <c r="AT209" s="35"/>
      <c r="AU209" s="35"/>
    </row>
    <row r="210" customFormat="false" ht="15" hidden="false" customHeight="false" outlineLevel="0" collapsed="false">
      <c r="A210" s="24"/>
      <c r="B210" s="24"/>
      <c r="C210" s="24"/>
      <c r="D210" s="24"/>
      <c r="E210" s="24"/>
      <c r="F210" s="24"/>
      <c r="G210" s="24"/>
      <c r="H210" s="24"/>
      <c r="I210" s="32"/>
      <c r="J210" s="32"/>
      <c r="K210" s="32"/>
      <c r="L210" s="32"/>
      <c r="M210" s="24"/>
      <c r="N210" s="24"/>
      <c r="O210" s="24"/>
      <c r="P210" s="33" t="str">
        <f aca="false">IF(AND(G210&lt;&gt;"",I210&lt;&gt;"",J210&lt;&gt;""),(J210-I210)*1440,"")</f>
        <v/>
      </c>
      <c r="Q210" s="33" t="str">
        <f aca="false">IF(AND(G210&lt;&gt;"",J210&lt;&gt;"",K210&lt;&gt;""),(K210-J210)*1440,"")</f>
        <v/>
      </c>
      <c r="R210" s="33" t="str">
        <f aca="false">IF(AND(G210&lt;&gt;"",K210&lt;&gt;"",L210&lt;&gt;""),(L210-K210)*1440,"")</f>
        <v/>
      </c>
      <c r="S210" s="33" t="str">
        <f aca="false">IF(AND(G210&lt;&gt;"",I210&lt;&gt;"",L210&lt;&gt;""),(L210-I210)*1440,"")</f>
        <v/>
      </c>
      <c r="T210" s="33" t="str">
        <f aca="false">IF(G210="","",IFERROR(INDEX(Settings!$B$5:$B$8,MATCH(G210,Settings!$A$5:$A$8,0)),""))</f>
        <v/>
      </c>
      <c r="U210" s="25" t="str">
        <f aca="false">IF(G210="","",IF(S210="","No",IF(S210&lt;=T210,"Yes","No")))</f>
        <v/>
      </c>
      <c r="V210" s="25" t="str">
        <f aca="false">IF(G210="","",IF(AND(J210="",K210="",L210=""),"Telemetry Blind Spot",IF(AND(K210="",L210=""),"Missed Alert",IF(L210="","Triage Delay",IF(S210&lt;=T210,"Detected - Within SLA",IF(AND(R210&lt;&gt;"",R210&gt;IFERROR(INDEX(Settings!$C$5:$C$8,MATCH(G210,Settings!$A$5:$A$8,0)),1E+099)),"Triage Delay","Detected - SLA Breach"))))))</f>
        <v/>
      </c>
      <c r="W210" s="25" t="str">
        <f aca="false">IF(G210="","",IF(L210&lt;&gt;"",1,0))</f>
        <v/>
      </c>
      <c r="X210" s="32"/>
      <c r="Y210" s="32"/>
      <c r="Z210" s="32"/>
      <c r="AA210" s="24"/>
      <c r="AB210" s="24"/>
      <c r="AC210" s="33" t="str">
        <f aca="false">IF(AND(G210&lt;&gt;"",L210&lt;&gt;"",X210&lt;&gt;""),(X210-L210)*1440,"")</f>
        <v/>
      </c>
      <c r="AD210" s="33" t="str">
        <f aca="false">IF(AND(G210&lt;&gt;"",X210&lt;&gt;"",Y210&lt;&gt;""),(Y210-X210)*1440,"")</f>
        <v/>
      </c>
      <c r="AE210" s="33" t="str">
        <f aca="false">IF(AND(G210&lt;&gt;"",Y210&lt;&gt;"",Z210&lt;&gt;""),(Z210-Y210)*1440,"")</f>
        <v/>
      </c>
      <c r="AF210" s="33" t="str">
        <f aca="false">IF(AND(G210&lt;&gt;"",L210&lt;&gt;"",Z210&lt;&gt;""),(Z210-L210)*1440,"")</f>
        <v/>
      </c>
      <c r="AG210" s="33" t="str">
        <f aca="false">IF(G210="","",IFERROR(INDEX(Settings!$D$5:$D$8,MATCH(G210,Settings!$A$5:$A$8,0)),""))</f>
        <v/>
      </c>
      <c r="AH210" s="25" t="str">
        <f aca="false">IF(G210="","",IF(AF210="","No",IF(AF210&lt;=AG210,"Yes","No")))</f>
        <v/>
      </c>
      <c r="AI210" s="25" t="str">
        <f aca="false">IF(G210="","",IF(L210="","N/A - Not Detected",IF(AND(X210="",Y210="",Z210=""),"No Containment Action",IF(Z210="",IF(Y210&lt;&gt;"","C2 Persisted","Host Isolation Gap"),IF(AF210&lt;=AG210,"Contained - Within SLA","Contained - SLA Breach")))))</f>
        <v/>
      </c>
      <c r="AJ210" s="25" t="str">
        <f aca="false">IF(G210="","",IF(Z210&lt;&gt;"",1,0))</f>
        <v/>
      </c>
      <c r="AK210" s="34"/>
      <c r="AL210" s="34"/>
      <c r="AM210" s="35"/>
      <c r="AN210" s="34"/>
      <c r="AO210" s="34"/>
      <c r="AP210" s="35"/>
      <c r="AQ210" s="34"/>
      <c r="AR210" s="34"/>
      <c r="AS210" s="34"/>
      <c r="AT210" s="35"/>
      <c r="AU210" s="35"/>
    </row>
    <row r="211" customFormat="false" ht="15" hidden="false" customHeight="false" outlineLevel="0" collapsed="false">
      <c r="A211" s="24"/>
      <c r="B211" s="24"/>
      <c r="C211" s="24"/>
      <c r="D211" s="24"/>
      <c r="E211" s="24"/>
      <c r="F211" s="24"/>
      <c r="G211" s="24"/>
      <c r="H211" s="24"/>
      <c r="I211" s="32"/>
      <c r="J211" s="32"/>
      <c r="K211" s="32"/>
      <c r="L211" s="32"/>
      <c r="M211" s="24"/>
      <c r="N211" s="24"/>
      <c r="O211" s="24"/>
      <c r="P211" s="33" t="str">
        <f aca="false">IF(AND(G211&lt;&gt;"",I211&lt;&gt;"",J211&lt;&gt;""),(J211-I211)*1440,"")</f>
        <v/>
      </c>
      <c r="Q211" s="33" t="str">
        <f aca="false">IF(AND(G211&lt;&gt;"",J211&lt;&gt;"",K211&lt;&gt;""),(K211-J211)*1440,"")</f>
        <v/>
      </c>
      <c r="R211" s="33" t="str">
        <f aca="false">IF(AND(G211&lt;&gt;"",K211&lt;&gt;"",L211&lt;&gt;""),(L211-K211)*1440,"")</f>
        <v/>
      </c>
      <c r="S211" s="33" t="str">
        <f aca="false">IF(AND(G211&lt;&gt;"",I211&lt;&gt;"",L211&lt;&gt;""),(L211-I211)*1440,"")</f>
        <v/>
      </c>
      <c r="T211" s="33" t="str">
        <f aca="false">IF(G211="","",IFERROR(INDEX(Settings!$B$5:$B$8,MATCH(G211,Settings!$A$5:$A$8,0)),""))</f>
        <v/>
      </c>
      <c r="U211" s="25" t="str">
        <f aca="false">IF(G211="","",IF(S211="","No",IF(S211&lt;=T211,"Yes","No")))</f>
        <v/>
      </c>
      <c r="V211" s="25" t="str">
        <f aca="false">IF(G211="","",IF(AND(J211="",K211="",L211=""),"Telemetry Blind Spot",IF(AND(K211="",L211=""),"Missed Alert",IF(L211="","Triage Delay",IF(S211&lt;=T211,"Detected - Within SLA",IF(AND(R211&lt;&gt;"",R211&gt;IFERROR(INDEX(Settings!$C$5:$C$8,MATCH(G211,Settings!$A$5:$A$8,0)),1E+099)),"Triage Delay","Detected - SLA Breach"))))))</f>
        <v/>
      </c>
      <c r="W211" s="25" t="str">
        <f aca="false">IF(G211="","",IF(L211&lt;&gt;"",1,0))</f>
        <v/>
      </c>
      <c r="X211" s="32"/>
      <c r="Y211" s="32"/>
      <c r="Z211" s="32"/>
      <c r="AA211" s="24"/>
      <c r="AB211" s="24"/>
      <c r="AC211" s="33" t="str">
        <f aca="false">IF(AND(G211&lt;&gt;"",L211&lt;&gt;"",X211&lt;&gt;""),(X211-L211)*1440,"")</f>
        <v/>
      </c>
      <c r="AD211" s="33" t="str">
        <f aca="false">IF(AND(G211&lt;&gt;"",X211&lt;&gt;"",Y211&lt;&gt;""),(Y211-X211)*1440,"")</f>
        <v/>
      </c>
      <c r="AE211" s="33" t="str">
        <f aca="false">IF(AND(G211&lt;&gt;"",Y211&lt;&gt;"",Z211&lt;&gt;""),(Z211-Y211)*1440,"")</f>
        <v/>
      </c>
      <c r="AF211" s="33" t="str">
        <f aca="false">IF(AND(G211&lt;&gt;"",L211&lt;&gt;"",Z211&lt;&gt;""),(Z211-L211)*1440,"")</f>
        <v/>
      </c>
      <c r="AG211" s="33" t="str">
        <f aca="false">IF(G211="","",IFERROR(INDEX(Settings!$D$5:$D$8,MATCH(G211,Settings!$A$5:$A$8,0)),""))</f>
        <v/>
      </c>
      <c r="AH211" s="25" t="str">
        <f aca="false">IF(G211="","",IF(AF211="","No",IF(AF211&lt;=AG211,"Yes","No")))</f>
        <v/>
      </c>
      <c r="AI211" s="25" t="str">
        <f aca="false">IF(G211="","",IF(L211="","N/A - Not Detected",IF(AND(X211="",Y211="",Z211=""),"No Containment Action",IF(Z211="",IF(Y211&lt;&gt;"","C2 Persisted","Host Isolation Gap"),IF(AF211&lt;=AG211,"Contained - Within SLA","Contained - SLA Breach")))))</f>
        <v/>
      </c>
      <c r="AJ211" s="25" t="str">
        <f aca="false">IF(G211="","",IF(Z211&lt;&gt;"",1,0))</f>
        <v/>
      </c>
      <c r="AK211" s="34"/>
      <c r="AL211" s="34"/>
      <c r="AM211" s="35"/>
      <c r="AN211" s="34"/>
      <c r="AO211" s="34"/>
      <c r="AP211" s="35"/>
      <c r="AQ211" s="34"/>
      <c r="AR211" s="34"/>
      <c r="AS211" s="34"/>
      <c r="AT211" s="35"/>
      <c r="AU211" s="35"/>
    </row>
    <row r="212" customFormat="false" ht="15" hidden="false" customHeight="false" outlineLevel="0" collapsed="false">
      <c r="A212" s="24"/>
      <c r="B212" s="24"/>
      <c r="C212" s="24"/>
      <c r="D212" s="24"/>
      <c r="E212" s="24"/>
      <c r="F212" s="24"/>
      <c r="G212" s="24"/>
      <c r="H212" s="24"/>
      <c r="I212" s="32"/>
      <c r="J212" s="32"/>
      <c r="K212" s="32"/>
      <c r="L212" s="32"/>
      <c r="M212" s="24"/>
      <c r="N212" s="24"/>
      <c r="O212" s="24"/>
      <c r="P212" s="33" t="str">
        <f aca="false">IF(AND(G212&lt;&gt;"",I212&lt;&gt;"",J212&lt;&gt;""),(J212-I212)*1440,"")</f>
        <v/>
      </c>
      <c r="Q212" s="33" t="str">
        <f aca="false">IF(AND(G212&lt;&gt;"",J212&lt;&gt;"",K212&lt;&gt;""),(K212-J212)*1440,"")</f>
        <v/>
      </c>
      <c r="R212" s="33" t="str">
        <f aca="false">IF(AND(G212&lt;&gt;"",K212&lt;&gt;"",L212&lt;&gt;""),(L212-K212)*1440,"")</f>
        <v/>
      </c>
      <c r="S212" s="33" t="str">
        <f aca="false">IF(AND(G212&lt;&gt;"",I212&lt;&gt;"",L212&lt;&gt;""),(L212-I212)*1440,"")</f>
        <v/>
      </c>
      <c r="T212" s="33" t="str">
        <f aca="false">IF(G212="","",IFERROR(INDEX(Settings!$B$5:$B$8,MATCH(G212,Settings!$A$5:$A$8,0)),""))</f>
        <v/>
      </c>
      <c r="U212" s="25" t="str">
        <f aca="false">IF(G212="","",IF(S212="","No",IF(S212&lt;=T212,"Yes","No")))</f>
        <v/>
      </c>
      <c r="V212" s="25" t="str">
        <f aca="false">IF(G212="","",IF(AND(J212="",K212="",L212=""),"Telemetry Blind Spot",IF(AND(K212="",L212=""),"Missed Alert",IF(L212="","Triage Delay",IF(S212&lt;=T212,"Detected - Within SLA",IF(AND(R212&lt;&gt;"",R212&gt;IFERROR(INDEX(Settings!$C$5:$C$8,MATCH(G212,Settings!$A$5:$A$8,0)),1E+099)),"Triage Delay","Detected - SLA Breach"))))))</f>
        <v/>
      </c>
      <c r="W212" s="25" t="str">
        <f aca="false">IF(G212="","",IF(L212&lt;&gt;"",1,0))</f>
        <v/>
      </c>
      <c r="X212" s="32"/>
      <c r="Y212" s="32"/>
      <c r="Z212" s="32"/>
      <c r="AA212" s="24"/>
      <c r="AB212" s="24"/>
      <c r="AC212" s="33" t="str">
        <f aca="false">IF(AND(G212&lt;&gt;"",L212&lt;&gt;"",X212&lt;&gt;""),(X212-L212)*1440,"")</f>
        <v/>
      </c>
      <c r="AD212" s="33" t="str">
        <f aca="false">IF(AND(G212&lt;&gt;"",X212&lt;&gt;"",Y212&lt;&gt;""),(Y212-X212)*1440,"")</f>
        <v/>
      </c>
      <c r="AE212" s="33" t="str">
        <f aca="false">IF(AND(G212&lt;&gt;"",Y212&lt;&gt;"",Z212&lt;&gt;""),(Z212-Y212)*1440,"")</f>
        <v/>
      </c>
      <c r="AF212" s="33" t="str">
        <f aca="false">IF(AND(G212&lt;&gt;"",L212&lt;&gt;"",Z212&lt;&gt;""),(Z212-L212)*1440,"")</f>
        <v/>
      </c>
      <c r="AG212" s="33" t="str">
        <f aca="false">IF(G212="","",IFERROR(INDEX(Settings!$D$5:$D$8,MATCH(G212,Settings!$A$5:$A$8,0)),""))</f>
        <v/>
      </c>
      <c r="AH212" s="25" t="str">
        <f aca="false">IF(G212="","",IF(AF212="","No",IF(AF212&lt;=AG212,"Yes","No")))</f>
        <v/>
      </c>
      <c r="AI212" s="25" t="str">
        <f aca="false">IF(G212="","",IF(L212="","N/A - Not Detected",IF(AND(X212="",Y212="",Z212=""),"No Containment Action",IF(Z212="",IF(Y212&lt;&gt;"","C2 Persisted","Host Isolation Gap"),IF(AF212&lt;=AG212,"Contained - Within SLA","Contained - SLA Breach")))))</f>
        <v/>
      </c>
      <c r="AJ212" s="25" t="str">
        <f aca="false">IF(G212="","",IF(Z212&lt;&gt;"",1,0))</f>
        <v/>
      </c>
      <c r="AK212" s="34"/>
      <c r="AL212" s="34"/>
      <c r="AM212" s="35"/>
      <c r="AN212" s="34"/>
      <c r="AO212" s="34"/>
      <c r="AP212" s="35"/>
      <c r="AQ212" s="34"/>
      <c r="AR212" s="34"/>
      <c r="AS212" s="34"/>
      <c r="AT212" s="35"/>
      <c r="AU212" s="35"/>
    </row>
    <row r="213" customFormat="false" ht="15" hidden="false" customHeight="false" outlineLevel="0" collapsed="false">
      <c r="A213" s="24"/>
      <c r="B213" s="24"/>
      <c r="C213" s="24"/>
      <c r="D213" s="24"/>
      <c r="E213" s="24"/>
      <c r="F213" s="24"/>
      <c r="G213" s="24"/>
      <c r="H213" s="24"/>
      <c r="I213" s="32"/>
      <c r="J213" s="32"/>
      <c r="K213" s="32"/>
      <c r="L213" s="32"/>
      <c r="M213" s="24"/>
      <c r="N213" s="24"/>
      <c r="O213" s="24"/>
      <c r="P213" s="33" t="str">
        <f aca="false">IF(AND(G213&lt;&gt;"",I213&lt;&gt;"",J213&lt;&gt;""),(J213-I213)*1440,"")</f>
        <v/>
      </c>
      <c r="Q213" s="33" t="str">
        <f aca="false">IF(AND(G213&lt;&gt;"",J213&lt;&gt;"",K213&lt;&gt;""),(K213-J213)*1440,"")</f>
        <v/>
      </c>
      <c r="R213" s="33" t="str">
        <f aca="false">IF(AND(G213&lt;&gt;"",K213&lt;&gt;"",L213&lt;&gt;""),(L213-K213)*1440,"")</f>
        <v/>
      </c>
      <c r="S213" s="33" t="str">
        <f aca="false">IF(AND(G213&lt;&gt;"",I213&lt;&gt;"",L213&lt;&gt;""),(L213-I213)*1440,"")</f>
        <v/>
      </c>
      <c r="T213" s="33" t="str">
        <f aca="false">IF(G213="","",IFERROR(INDEX(Settings!$B$5:$B$8,MATCH(G213,Settings!$A$5:$A$8,0)),""))</f>
        <v/>
      </c>
      <c r="U213" s="25" t="str">
        <f aca="false">IF(G213="","",IF(S213="","No",IF(S213&lt;=T213,"Yes","No")))</f>
        <v/>
      </c>
      <c r="V213" s="25" t="str">
        <f aca="false">IF(G213="","",IF(AND(J213="",K213="",L213=""),"Telemetry Blind Spot",IF(AND(K213="",L213=""),"Missed Alert",IF(L213="","Triage Delay",IF(S213&lt;=T213,"Detected - Within SLA",IF(AND(R213&lt;&gt;"",R213&gt;IFERROR(INDEX(Settings!$C$5:$C$8,MATCH(G213,Settings!$A$5:$A$8,0)),1E+099)),"Triage Delay","Detected - SLA Breach"))))))</f>
        <v/>
      </c>
      <c r="W213" s="25" t="str">
        <f aca="false">IF(G213="","",IF(L213&lt;&gt;"",1,0))</f>
        <v/>
      </c>
      <c r="X213" s="32"/>
      <c r="Y213" s="32"/>
      <c r="Z213" s="32"/>
      <c r="AA213" s="24"/>
      <c r="AB213" s="24"/>
      <c r="AC213" s="33" t="str">
        <f aca="false">IF(AND(G213&lt;&gt;"",L213&lt;&gt;"",X213&lt;&gt;""),(X213-L213)*1440,"")</f>
        <v/>
      </c>
      <c r="AD213" s="33" t="str">
        <f aca="false">IF(AND(G213&lt;&gt;"",X213&lt;&gt;"",Y213&lt;&gt;""),(Y213-X213)*1440,"")</f>
        <v/>
      </c>
      <c r="AE213" s="33" t="str">
        <f aca="false">IF(AND(G213&lt;&gt;"",Y213&lt;&gt;"",Z213&lt;&gt;""),(Z213-Y213)*1440,"")</f>
        <v/>
      </c>
      <c r="AF213" s="33" t="str">
        <f aca="false">IF(AND(G213&lt;&gt;"",L213&lt;&gt;"",Z213&lt;&gt;""),(Z213-L213)*1440,"")</f>
        <v/>
      </c>
      <c r="AG213" s="33" t="str">
        <f aca="false">IF(G213="","",IFERROR(INDEX(Settings!$D$5:$D$8,MATCH(G213,Settings!$A$5:$A$8,0)),""))</f>
        <v/>
      </c>
      <c r="AH213" s="25" t="str">
        <f aca="false">IF(G213="","",IF(AF213="","No",IF(AF213&lt;=AG213,"Yes","No")))</f>
        <v/>
      </c>
      <c r="AI213" s="25" t="str">
        <f aca="false">IF(G213="","",IF(L213="","N/A - Not Detected",IF(AND(X213="",Y213="",Z213=""),"No Containment Action",IF(Z213="",IF(Y213&lt;&gt;"","C2 Persisted","Host Isolation Gap"),IF(AF213&lt;=AG213,"Contained - Within SLA","Contained - SLA Breach")))))</f>
        <v/>
      </c>
      <c r="AJ213" s="25" t="str">
        <f aca="false">IF(G213="","",IF(Z213&lt;&gt;"",1,0))</f>
        <v/>
      </c>
      <c r="AK213" s="34"/>
      <c r="AL213" s="34"/>
      <c r="AM213" s="35"/>
      <c r="AN213" s="34"/>
      <c r="AO213" s="34"/>
      <c r="AP213" s="35"/>
      <c r="AQ213" s="34"/>
      <c r="AR213" s="34"/>
      <c r="AS213" s="34"/>
      <c r="AT213" s="35"/>
      <c r="AU213" s="35"/>
    </row>
    <row r="214" customFormat="false" ht="15" hidden="false" customHeight="false" outlineLevel="0" collapsed="false">
      <c r="A214" s="24"/>
      <c r="B214" s="24"/>
      <c r="C214" s="24"/>
      <c r="D214" s="24"/>
      <c r="E214" s="24"/>
      <c r="F214" s="24"/>
      <c r="G214" s="24"/>
      <c r="H214" s="24"/>
      <c r="I214" s="32"/>
      <c r="J214" s="32"/>
      <c r="K214" s="32"/>
      <c r="L214" s="32"/>
      <c r="M214" s="24"/>
      <c r="N214" s="24"/>
      <c r="O214" s="24"/>
      <c r="P214" s="33" t="str">
        <f aca="false">IF(AND(G214&lt;&gt;"",I214&lt;&gt;"",J214&lt;&gt;""),(J214-I214)*1440,"")</f>
        <v/>
      </c>
      <c r="Q214" s="33" t="str">
        <f aca="false">IF(AND(G214&lt;&gt;"",J214&lt;&gt;"",K214&lt;&gt;""),(K214-J214)*1440,"")</f>
        <v/>
      </c>
      <c r="R214" s="33" t="str">
        <f aca="false">IF(AND(G214&lt;&gt;"",K214&lt;&gt;"",L214&lt;&gt;""),(L214-K214)*1440,"")</f>
        <v/>
      </c>
      <c r="S214" s="33" t="str">
        <f aca="false">IF(AND(G214&lt;&gt;"",I214&lt;&gt;"",L214&lt;&gt;""),(L214-I214)*1440,"")</f>
        <v/>
      </c>
      <c r="T214" s="33" t="str">
        <f aca="false">IF(G214="","",IFERROR(INDEX(Settings!$B$5:$B$8,MATCH(G214,Settings!$A$5:$A$8,0)),""))</f>
        <v/>
      </c>
      <c r="U214" s="25" t="str">
        <f aca="false">IF(G214="","",IF(S214="","No",IF(S214&lt;=T214,"Yes","No")))</f>
        <v/>
      </c>
      <c r="V214" s="25" t="str">
        <f aca="false">IF(G214="","",IF(AND(J214="",K214="",L214=""),"Telemetry Blind Spot",IF(AND(K214="",L214=""),"Missed Alert",IF(L214="","Triage Delay",IF(S214&lt;=T214,"Detected - Within SLA",IF(AND(R214&lt;&gt;"",R214&gt;IFERROR(INDEX(Settings!$C$5:$C$8,MATCH(G214,Settings!$A$5:$A$8,0)),1E+099)),"Triage Delay","Detected - SLA Breach"))))))</f>
        <v/>
      </c>
      <c r="W214" s="25" t="str">
        <f aca="false">IF(G214="","",IF(L214&lt;&gt;"",1,0))</f>
        <v/>
      </c>
      <c r="X214" s="32"/>
      <c r="Y214" s="32"/>
      <c r="Z214" s="32"/>
      <c r="AA214" s="24"/>
      <c r="AB214" s="24"/>
      <c r="AC214" s="33" t="str">
        <f aca="false">IF(AND(G214&lt;&gt;"",L214&lt;&gt;"",X214&lt;&gt;""),(X214-L214)*1440,"")</f>
        <v/>
      </c>
      <c r="AD214" s="33" t="str">
        <f aca="false">IF(AND(G214&lt;&gt;"",X214&lt;&gt;"",Y214&lt;&gt;""),(Y214-X214)*1440,"")</f>
        <v/>
      </c>
      <c r="AE214" s="33" t="str">
        <f aca="false">IF(AND(G214&lt;&gt;"",Y214&lt;&gt;"",Z214&lt;&gt;""),(Z214-Y214)*1440,"")</f>
        <v/>
      </c>
      <c r="AF214" s="33" t="str">
        <f aca="false">IF(AND(G214&lt;&gt;"",L214&lt;&gt;"",Z214&lt;&gt;""),(Z214-L214)*1440,"")</f>
        <v/>
      </c>
      <c r="AG214" s="33" t="str">
        <f aca="false">IF(G214="","",IFERROR(INDEX(Settings!$D$5:$D$8,MATCH(G214,Settings!$A$5:$A$8,0)),""))</f>
        <v/>
      </c>
      <c r="AH214" s="25" t="str">
        <f aca="false">IF(G214="","",IF(AF214="","No",IF(AF214&lt;=AG214,"Yes","No")))</f>
        <v/>
      </c>
      <c r="AI214" s="25" t="str">
        <f aca="false">IF(G214="","",IF(L214="","N/A - Not Detected",IF(AND(X214="",Y214="",Z214=""),"No Containment Action",IF(Z214="",IF(Y214&lt;&gt;"","C2 Persisted","Host Isolation Gap"),IF(AF214&lt;=AG214,"Contained - Within SLA","Contained - SLA Breach")))))</f>
        <v/>
      </c>
      <c r="AJ214" s="25" t="str">
        <f aca="false">IF(G214="","",IF(Z214&lt;&gt;"",1,0))</f>
        <v/>
      </c>
      <c r="AK214" s="34"/>
      <c r="AL214" s="34"/>
      <c r="AM214" s="35"/>
      <c r="AN214" s="34"/>
      <c r="AO214" s="34"/>
      <c r="AP214" s="35"/>
      <c r="AQ214" s="34"/>
      <c r="AR214" s="34"/>
      <c r="AS214" s="34"/>
      <c r="AT214" s="35"/>
      <c r="AU214" s="35"/>
    </row>
    <row r="215" customFormat="false" ht="15" hidden="false" customHeight="false" outlineLevel="0" collapsed="false">
      <c r="A215" s="24"/>
      <c r="B215" s="24"/>
      <c r="C215" s="24"/>
      <c r="D215" s="24"/>
      <c r="E215" s="24"/>
      <c r="F215" s="24"/>
      <c r="G215" s="24"/>
      <c r="H215" s="24"/>
      <c r="I215" s="32"/>
      <c r="J215" s="32"/>
      <c r="K215" s="32"/>
      <c r="L215" s="32"/>
      <c r="M215" s="24"/>
      <c r="N215" s="24"/>
      <c r="O215" s="24"/>
      <c r="P215" s="33" t="str">
        <f aca="false">IF(AND(G215&lt;&gt;"",I215&lt;&gt;"",J215&lt;&gt;""),(J215-I215)*1440,"")</f>
        <v/>
      </c>
      <c r="Q215" s="33" t="str">
        <f aca="false">IF(AND(G215&lt;&gt;"",J215&lt;&gt;"",K215&lt;&gt;""),(K215-J215)*1440,"")</f>
        <v/>
      </c>
      <c r="R215" s="33" t="str">
        <f aca="false">IF(AND(G215&lt;&gt;"",K215&lt;&gt;"",L215&lt;&gt;""),(L215-K215)*1440,"")</f>
        <v/>
      </c>
      <c r="S215" s="33" t="str">
        <f aca="false">IF(AND(G215&lt;&gt;"",I215&lt;&gt;"",L215&lt;&gt;""),(L215-I215)*1440,"")</f>
        <v/>
      </c>
      <c r="T215" s="33" t="str">
        <f aca="false">IF(G215="","",IFERROR(INDEX(Settings!$B$5:$B$8,MATCH(G215,Settings!$A$5:$A$8,0)),""))</f>
        <v/>
      </c>
      <c r="U215" s="25" t="str">
        <f aca="false">IF(G215="","",IF(S215="","No",IF(S215&lt;=T215,"Yes","No")))</f>
        <v/>
      </c>
      <c r="V215" s="25" t="str">
        <f aca="false">IF(G215="","",IF(AND(J215="",K215="",L215=""),"Telemetry Blind Spot",IF(AND(K215="",L215=""),"Missed Alert",IF(L215="","Triage Delay",IF(S215&lt;=T215,"Detected - Within SLA",IF(AND(R215&lt;&gt;"",R215&gt;IFERROR(INDEX(Settings!$C$5:$C$8,MATCH(G215,Settings!$A$5:$A$8,0)),1E+099)),"Triage Delay","Detected - SLA Breach"))))))</f>
        <v/>
      </c>
      <c r="W215" s="25" t="str">
        <f aca="false">IF(G215="","",IF(L215&lt;&gt;"",1,0))</f>
        <v/>
      </c>
      <c r="X215" s="32"/>
      <c r="Y215" s="32"/>
      <c r="Z215" s="32"/>
      <c r="AA215" s="24"/>
      <c r="AB215" s="24"/>
      <c r="AC215" s="33" t="str">
        <f aca="false">IF(AND(G215&lt;&gt;"",L215&lt;&gt;"",X215&lt;&gt;""),(X215-L215)*1440,"")</f>
        <v/>
      </c>
      <c r="AD215" s="33" t="str">
        <f aca="false">IF(AND(G215&lt;&gt;"",X215&lt;&gt;"",Y215&lt;&gt;""),(Y215-X215)*1440,"")</f>
        <v/>
      </c>
      <c r="AE215" s="33" t="str">
        <f aca="false">IF(AND(G215&lt;&gt;"",Y215&lt;&gt;"",Z215&lt;&gt;""),(Z215-Y215)*1440,"")</f>
        <v/>
      </c>
      <c r="AF215" s="33" t="str">
        <f aca="false">IF(AND(G215&lt;&gt;"",L215&lt;&gt;"",Z215&lt;&gt;""),(Z215-L215)*1440,"")</f>
        <v/>
      </c>
      <c r="AG215" s="33" t="str">
        <f aca="false">IF(G215="","",IFERROR(INDEX(Settings!$D$5:$D$8,MATCH(G215,Settings!$A$5:$A$8,0)),""))</f>
        <v/>
      </c>
      <c r="AH215" s="25" t="str">
        <f aca="false">IF(G215="","",IF(AF215="","No",IF(AF215&lt;=AG215,"Yes","No")))</f>
        <v/>
      </c>
      <c r="AI215" s="25" t="str">
        <f aca="false">IF(G215="","",IF(L215="","N/A - Not Detected",IF(AND(X215="",Y215="",Z215=""),"No Containment Action",IF(Z215="",IF(Y215&lt;&gt;"","C2 Persisted","Host Isolation Gap"),IF(AF215&lt;=AG215,"Contained - Within SLA","Contained - SLA Breach")))))</f>
        <v/>
      </c>
      <c r="AJ215" s="25" t="str">
        <f aca="false">IF(G215="","",IF(Z215&lt;&gt;"",1,0))</f>
        <v/>
      </c>
      <c r="AK215" s="34"/>
      <c r="AL215" s="34"/>
      <c r="AM215" s="35"/>
      <c r="AN215" s="34"/>
      <c r="AO215" s="34"/>
      <c r="AP215" s="35"/>
      <c r="AQ215" s="34"/>
      <c r="AR215" s="34"/>
      <c r="AS215" s="34"/>
      <c r="AT215" s="35"/>
      <c r="AU215" s="35"/>
    </row>
    <row r="216" customFormat="false" ht="15" hidden="false" customHeight="false" outlineLevel="0" collapsed="false">
      <c r="A216" s="24"/>
      <c r="B216" s="24"/>
      <c r="C216" s="24"/>
      <c r="D216" s="24"/>
      <c r="E216" s="24"/>
      <c r="F216" s="24"/>
      <c r="G216" s="24"/>
      <c r="H216" s="24"/>
      <c r="I216" s="32"/>
      <c r="J216" s="32"/>
      <c r="K216" s="32"/>
      <c r="L216" s="32"/>
      <c r="M216" s="24"/>
      <c r="N216" s="24"/>
      <c r="O216" s="24"/>
      <c r="P216" s="33" t="str">
        <f aca="false">IF(AND(G216&lt;&gt;"",I216&lt;&gt;"",J216&lt;&gt;""),(J216-I216)*1440,"")</f>
        <v/>
      </c>
      <c r="Q216" s="33" t="str">
        <f aca="false">IF(AND(G216&lt;&gt;"",J216&lt;&gt;"",K216&lt;&gt;""),(K216-J216)*1440,"")</f>
        <v/>
      </c>
      <c r="R216" s="33" t="str">
        <f aca="false">IF(AND(G216&lt;&gt;"",K216&lt;&gt;"",L216&lt;&gt;""),(L216-K216)*1440,"")</f>
        <v/>
      </c>
      <c r="S216" s="33" t="str">
        <f aca="false">IF(AND(G216&lt;&gt;"",I216&lt;&gt;"",L216&lt;&gt;""),(L216-I216)*1440,"")</f>
        <v/>
      </c>
      <c r="T216" s="33" t="str">
        <f aca="false">IF(G216="","",IFERROR(INDEX(Settings!$B$5:$B$8,MATCH(G216,Settings!$A$5:$A$8,0)),""))</f>
        <v/>
      </c>
      <c r="U216" s="25" t="str">
        <f aca="false">IF(G216="","",IF(S216="","No",IF(S216&lt;=T216,"Yes","No")))</f>
        <v/>
      </c>
      <c r="V216" s="25" t="str">
        <f aca="false">IF(G216="","",IF(AND(J216="",K216="",L216=""),"Telemetry Blind Spot",IF(AND(K216="",L216=""),"Missed Alert",IF(L216="","Triage Delay",IF(S216&lt;=T216,"Detected - Within SLA",IF(AND(R216&lt;&gt;"",R216&gt;IFERROR(INDEX(Settings!$C$5:$C$8,MATCH(G216,Settings!$A$5:$A$8,0)),1E+099)),"Triage Delay","Detected - SLA Breach"))))))</f>
        <v/>
      </c>
      <c r="W216" s="25" t="str">
        <f aca="false">IF(G216="","",IF(L216&lt;&gt;"",1,0))</f>
        <v/>
      </c>
      <c r="X216" s="32"/>
      <c r="Y216" s="32"/>
      <c r="Z216" s="32"/>
      <c r="AA216" s="24"/>
      <c r="AB216" s="24"/>
      <c r="AC216" s="33" t="str">
        <f aca="false">IF(AND(G216&lt;&gt;"",L216&lt;&gt;"",X216&lt;&gt;""),(X216-L216)*1440,"")</f>
        <v/>
      </c>
      <c r="AD216" s="33" t="str">
        <f aca="false">IF(AND(G216&lt;&gt;"",X216&lt;&gt;"",Y216&lt;&gt;""),(Y216-X216)*1440,"")</f>
        <v/>
      </c>
      <c r="AE216" s="33" t="str">
        <f aca="false">IF(AND(G216&lt;&gt;"",Y216&lt;&gt;"",Z216&lt;&gt;""),(Z216-Y216)*1440,"")</f>
        <v/>
      </c>
      <c r="AF216" s="33" t="str">
        <f aca="false">IF(AND(G216&lt;&gt;"",L216&lt;&gt;"",Z216&lt;&gt;""),(Z216-L216)*1440,"")</f>
        <v/>
      </c>
      <c r="AG216" s="33" t="str">
        <f aca="false">IF(G216="","",IFERROR(INDEX(Settings!$D$5:$D$8,MATCH(G216,Settings!$A$5:$A$8,0)),""))</f>
        <v/>
      </c>
      <c r="AH216" s="25" t="str">
        <f aca="false">IF(G216="","",IF(AF216="","No",IF(AF216&lt;=AG216,"Yes","No")))</f>
        <v/>
      </c>
      <c r="AI216" s="25" t="str">
        <f aca="false">IF(G216="","",IF(L216="","N/A - Not Detected",IF(AND(X216="",Y216="",Z216=""),"No Containment Action",IF(Z216="",IF(Y216&lt;&gt;"","C2 Persisted","Host Isolation Gap"),IF(AF216&lt;=AG216,"Contained - Within SLA","Contained - SLA Breach")))))</f>
        <v/>
      </c>
      <c r="AJ216" s="25" t="str">
        <f aca="false">IF(G216="","",IF(Z216&lt;&gt;"",1,0))</f>
        <v/>
      </c>
      <c r="AK216" s="34"/>
      <c r="AL216" s="34"/>
      <c r="AM216" s="35"/>
      <c r="AN216" s="34"/>
      <c r="AO216" s="34"/>
      <c r="AP216" s="35"/>
      <c r="AQ216" s="34"/>
      <c r="AR216" s="34"/>
      <c r="AS216" s="34"/>
      <c r="AT216" s="35"/>
      <c r="AU216" s="35"/>
    </row>
    <row r="217" customFormat="false" ht="15" hidden="false" customHeight="false" outlineLevel="0" collapsed="false">
      <c r="A217" s="24"/>
      <c r="B217" s="24"/>
      <c r="C217" s="24"/>
      <c r="D217" s="24"/>
      <c r="E217" s="24"/>
      <c r="F217" s="24"/>
      <c r="G217" s="24"/>
      <c r="H217" s="24"/>
      <c r="I217" s="32"/>
      <c r="J217" s="32"/>
      <c r="K217" s="32"/>
      <c r="L217" s="32"/>
      <c r="M217" s="24"/>
      <c r="N217" s="24"/>
      <c r="O217" s="24"/>
      <c r="P217" s="33" t="str">
        <f aca="false">IF(AND(G217&lt;&gt;"",I217&lt;&gt;"",J217&lt;&gt;""),(J217-I217)*1440,"")</f>
        <v/>
      </c>
      <c r="Q217" s="33" t="str">
        <f aca="false">IF(AND(G217&lt;&gt;"",J217&lt;&gt;"",K217&lt;&gt;""),(K217-J217)*1440,"")</f>
        <v/>
      </c>
      <c r="R217" s="33" t="str">
        <f aca="false">IF(AND(G217&lt;&gt;"",K217&lt;&gt;"",L217&lt;&gt;""),(L217-K217)*1440,"")</f>
        <v/>
      </c>
      <c r="S217" s="33" t="str">
        <f aca="false">IF(AND(G217&lt;&gt;"",I217&lt;&gt;"",L217&lt;&gt;""),(L217-I217)*1440,"")</f>
        <v/>
      </c>
      <c r="T217" s="33" t="str">
        <f aca="false">IF(G217="","",IFERROR(INDEX(Settings!$B$5:$B$8,MATCH(G217,Settings!$A$5:$A$8,0)),""))</f>
        <v/>
      </c>
      <c r="U217" s="25" t="str">
        <f aca="false">IF(G217="","",IF(S217="","No",IF(S217&lt;=T217,"Yes","No")))</f>
        <v/>
      </c>
      <c r="V217" s="25" t="str">
        <f aca="false">IF(G217="","",IF(AND(J217="",K217="",L217=""),"Telemetry Blind Spot",IF(AND(K217="",L217=""),"Missed Alert",IF(L217="","Triage Delay",IF(S217&lt;=T217,"Detected - Within SLA",IF(AND(R217&lt;&gt;"",R217&gt;IFERROR(INDEX(Settings!$C$5:$C$8,MATCH(G217,Settings!$A$5:$A$8,0)),1E+099)),"Triage Delay","Detected - SLA Breach"))))))</f>
        <v/>
      </c>
      <c r="W217" s="25" t="str">
        <f aca="false">IF(G217="","",IF(L217&lt;&gt;"",1,0))</f>
        <v/>
      </c>
      <c r="X217" s="32"/>
      <c r="Y217" s="32"/>
      <c r="Z217" s="32"/>
      <c r="AA217" s="24"/>
      <c r="AB217" s="24"/>
      <c r="AC217" s="33" t="str">
        <f aca="false">IF(AND(G217&lt;&gt;"",L217&lt;&gt;"",X217&lt;&gt;""),(X217-L217)*1440,"")</f>
        <v/>
      </c>
      <c r="AD217" s="33" t="str">
        <f aca="false">IF(AND(G217&lt;&gt;"",X217&lt;&gt;"",Y217&lt;&gt;""),(Y217-X217)*1440,"")</f>
        <v/>
      </c>
      <c r="AE217" s="33" t="str">
        <f aca="false">IF(AND(G217&lt;&gt;"",Y217&lt;&gt;"",Z217&lt;&gt;""),(Z217-Y217)*1440,"")</f>
        <v/>
      </c>
      <c r="AF217" s="33" t="str">
        <f aca="false">IF(AND(G217&lt;&gt;"",L217&lt;&gt;"",Z217&lt;&gt;""),(Z217-L217)*1440,"")</f>
        <v/>
      </c>
      <c r="AG217" s="33" t="str">
        <f aca="false">IF(G217="","",IFERROR(INDEX(Settings!$D$5:$D$8,MATCH(G217,Settings!$A$5:$A$8,0)),""))</f>
        <v/>
      </c>
      <c r="AH217" s="25" t="str">
        <f aca="false">IF(G217="","",IF(AF217="","No",IF(AF217&lt;=AG217,"Yes","No")))</f>
        <v/>
      </c>
      <c r="AI217" s="25" t="str">
        <f aca="false">IF(G217="","",IF(L217="","N/A - Not Detected",IF(AND(X217="",Y217="",Z217=""),"No Containment Action",IF(Z217="",IF(Y217&lt;&gt;"","C2 Persisted","Host Isolation Gap"),IF(AF217&lt;=AG217,"Contained - Within SLA","Contained - SLA Breach")))))</f>
        <v/>
      </c>
      <c r="AJ217" s="25" t="str">
        <f aca="false">IF(G217="","",IF(Z217&lt;&gt;"",1,0))</f>
        <v/>
      </c>
      <c r="AK217" s="34"/>
      <c r="AL217" s="34"/>
      <c r="AM217" s="35"/>
      <c r="AN217" s="34"/>
      <c r="AO217" s="34"/>
      <c r="AP217" s="35"/>
      <c r="AQ217" s="34"/>
      <c r="AR217" s="34"/>
      <c r="AS217" s="34"/>
      <c r="AT217" s="35"/>
      <c r="AU217" s="35"/>
    </row>
    <row r="218" customFormat="false" ht="15" hidden="false" customHeight="false" outlineLevel="0" collapsed="false">
      <c r="A218" s="24"/>
      <c r="B218" s="24"/>
      <c r="C218" s="24"/>
      <c r="D218" s="24"/>
      <c r="E218" s="24"/>
      <c r="F218" s="24"/>
      <c r="G218" s="24"/>
      <c r="H218" s="24"/>
      <c r="I218" s="32"/>
      <c r="J218" s="32"/>
      <c r="K218" s="32"/>
      <c r="L218" s="32"/>
      <c r="M218" s="24"/>
      <c r="N218" s="24"/>
      <c r="O218" s="24"/>
      <c r="P218" s="33" t="str">
        <f aca="false">IF(AND(G218&lt;&gt;"",I218&lt;&gt;"",J218&lt;&gt;""),(J218-I218)*1440,"")</f>
        <v/>
      </c>
      <c r="Q218" s="33" t="str">
        <f aca="false">IF(AND(G218&lt;&gt;"",J218&lt;&gt;"",K218&lt;&gt;""),(K218-J218)*1440,"")</f>
        <v/>
      </c>
      <c r="R218" s="33" t="str">
        <f aca="false">IF(AND(G218&lt;&gt;"",K218&lt;&gt;"",L218&lt;&gt;""),(L218-K218)*1440,"")</f>
        <v/>
      </c>
      <c r="S218" s="33" t="str">
        <f aca="false">IF(AND(G218&lt;&gt;"",I218&lt;&gt;"",L218&lt;&gt;""),(L218-I218)*1440,"")</f>
        <v/>
      </c>
      <c r="T218" s="33" t="str">
        <f aca="false">IF(G218="","",IFERROR(INDEX(Settings!$B$5:$B$8,MATCH(G218,Settings!$A$5:$A$8,0)),""))</f>
        <v/>
      </c>
      <c r="U218" s="25" t="str">
        <f aca="false">IF(G218="","",IF(S218="","No",IF(S218&lt;=T218,"Yes","No")))</f>
        <v/>
      </c>
      <c r="V218" s="25" t="str">
        <f aca="false">IF(G218="","",IF(AND(J218="",K218="",L218=""),"Telemetry Blind Spot",IF(AND(K218="",L218=""),"Missed Alert",IF(L218="","Triage Delay",IF(S218&lt;=T218,"Detected - Within SLA",IF(AND(R218&lt;&gt;"",R218&gt;IFERROR(INDEX(Settings!$C$5:$C$8,MATCH(G218,Settings!$A$5:$A$8,0)),1E+099)),"Triage Delay","Detected - SLA Breach"))))))</f>
        <v/>
      </c>
      <c r="W218" s="25" t="str">
        <f aca="false">IF(G218="","",IF(L218&lt;&gt;"",1,0))</f>
        <v/>
      </c>
      <c r="X218" s="32"/>
      <c r="Y218" s="32"/>
      <c r="Z218" s="32"/>
      <c r="AA218" s="24"/>
      <c r="AB218" s="24"/>
      <c r="AC218" s="33" t="str">
        <f aca="false">IF(AND(G218&lt;&gt;"",L218&lt;&gt;"",X218&lt;&gt;""),(X218-L218)*1440,"")</f>
        <v/>
      </c>
      <c r="AD218" s="33" t="str">
        <f aca="false">IF(AND(G218&lt;&gt;"",X218&lt;&gt;"",Y218&lt;&gt;""),(Y218-X218)*1440,"")</f>
        <v/>
      </c>
      <c r="AE218" s="33" t="str">
        <f aca="false">IF(AND(G218&lt;&gt;"",Y218&lt;&gt;"",Z218&lt;&gt;""),(Z218-Y218)*1440,"")</f>
        <v/>
      </c>
      <c r="AF218" s="33" t="str">
        <f aca="false">IF(AND(G218&lt;&gt;"",L218&lt;&gt;"",Z218&lt;&gt;""),(Z218-L218)*1440,"")</f>
        <v/>
      </c>
      <c r="AG218" s="33" t="str">
        <f aca="false">IF(G218="","",IFERROR(INDEX(Settings!$D$5:$D$8,MATCH(G218,Settings!$A$5:$A$8,0)),""))</f>
        <v/>
      </c>
      <c r="AH218" s="25" t="str">
        <f aca="false">IF(G218="","",IF(AF218="","No",IF(AF218&lt;=AG218,"Yes","No")))</f>
        <v/>
      </c>
      <c r="AI218" s="25" t="str">
        <f aca="false">IF(G218="","",IF(L218="","N/A - Not Detected",IF(AND(X218="",Y218="",Z218=""),"No Containment Action",IF(Z218="",IF(Y218&lt;&gt;"","C2 Persisted","Host Isolation Gap"),IF(AF218&lt;=AG218,"Contained - Within SLA","Contained - SLA Breach")))))</f>
        <v/>
      </c>
      <c r="AJ218" s="25" t="str">
        <f aca="false">IF(G218="","",IF(Z218&lt;&gt;"",1,0))</f>
        <v/>
      </c>
      <c r="AK218" s="34"/>
      <c r="AL218" s="34"/>
      <c r="AM218" s="35"/>
      <c r="AN218" s="34"/>
      <c r="AO218" s="34"/>
      <c r="AP218" s="35"/>
      <c r="AQ218" s="34"/>
      <c r="AR218" s="34"/>
      <c r="AS218" s="34"/>
      <c r="AT218" s="35"/>
      <c r="AU218" s="35"/>
    </row>
    <row r="219" customFormat="false" ht="15" hidden="false" customHeight="false" outlineLevel="0" collapsed="false">
      <c r="A219" s="24"/>
      <c r="B219" s="24"/>
      <c r="C219" s="24"/>
      <c r="D219" s="24"/>
      <c r="E219" s="24"/>
      <c r="F219" s="24"/>
      <c r="G219" s="24"/>
      <c r="H219" s="24"/>
      <c r="I219" s="32"/>
      <c r="J219" s="32"/>
      <c r="K219" s="32"/>
      <c r="L219" s="32"/>
      <c r="M219" s="24"/>
      <c r="N219" s="24"/>
      <c r="O219" s="24"/>
      <c r="P219" s="33" t="str">
        <f aca="false">IF(AND(G219&lt;&gt;"",I219&lt;&gt;"",J219&lt;&gt;""),(J219-I219)*1440,"")</f>
        <v/>
      </c>
      <c r="Q219" s="33" t="str">
        <f aca="false">IF(AND(G219&lt;&gt;"",J219&lt;&gt;"",K219&lt;&gt;""),(K219-J219)*1440,"")</f>
        <v/>
      </c>
      <c r="R219" s="33" t="str">
        <f aca="false">IF(AND(G219&lt;&gt;"",K219&lt;&gt;"",L219&lt;&gt;""),(L219-K219)*1440,"")</f>
        <v/>
      </c>
      <c r="S219" s="33" t="str">
        <f aca="false">IF(AND(G219&lt;&gt;"",I219&lt;&gt;"",L219&lt;&gt;""),(L219-I219)*1440,"")</f>
        <v/>
      </c>
      <c r="T219" s="33" t="str">
        <f aca="false">IF(G219="","",IFERROR(INDEX(Settings!$B$5:$B$8,MATCH(G219,Settings!$A$5:$A$8,0)),""))</f>
        <v/>
      </c>
      <c r="U219" s="25" t="str">
        <f aca="false">IF(G219="","",IF(S219="","No",IF(S219&lt;=T219,"Yes","No")))</f>
        <v/>
      </c>
      <c r="V219" s="25" t="str">
        <f aca="false">IF(G219="","",IF(AND(J219="",K219="",L219=""),"Telemetry Blind Spot",IF(AND(K219="",L219=""),"Missed Alert",IF(L219="","Triage Delay",IF(S219&lt;=T219,"Detected - Within SLA",IF(AND(R219&lt;&gt;"",R219&gt;IFERROR(INDEX(Settings!$C$5:$C$8,MATCH(G219,Settings!$A$5:$A$8,0)),1E+099)),"Triage Delay","Detected - SLA Breach"))))))</f>
        <v/>
      </c>
      <c r="W219" s="25" t="str">
        <f aca="false">IF(G219="","",IF(L219&lt;&gt;"",1,0))</f>
        <v/>
      </c>
      <c r="X219" s="32"/>
      <c r="Y219" s="32"/>
      <c r="Z219" s="32"/>
      <c r="AA219" s="24"/>
      <c r="AB219" s="24"/>
      <c r="AC219" s="33" t="str">
        <f aca="false">IF(AND(G219&lt;&gt;"",L219&lt;&gt;"",X219&lt;&gt;""),(X219-L219)*1440,"")</f>
        <v/>
      </c>
      <c r="AD219" s="33" t="str">
        <f aca="false">IF(AND(G219&lt;&gt;"",X219&lt;&gt;"",Y219&lt;&gt;""),(Y219-X219)*1440,"")</f>
        <v/>
      </c>
      <c r="AE219" s="33" t="str">
        <f aca="false">IF(AND(G219&lt;&gt;"",Y219&lt;&gt;"",Z219&lt;&gt;""),(Z219-Y219)*1440,"")</f>
        <v/>
      </c>
      <c r="AF219" s="33" t="str">
        <f aca="false">IF(AND(G219&lt;&gt;"",L219&lt;&gt;"",Z219&lt;&gt;""),(Z219-L219)*1440,"")</f>
        <v/>
      </c>
      <c r="AG219" s="33" t="str">
        <f aca="false">IF(G219="","",IFERROR(INDEX(Settings!$D$5:$D$8,MATCH(G219,Settings!$A$5:$A$8,0)),""))</f>
        <v/>
      </c>
      <c r="AH219" s="25" t="str">
        <f aca="false">IF(G219="","",IF(AF219="","No",IF(AF219&lt;=AG219,"Yes","No")))</f>
        <v/>
      </c>
      <c r="AI219" s="25" t="str">
        <f aca="false">IF(G219="","",IF(L219="","N/A - Not Detected",IF(AND(X219="",Y219="",Z219=""),"No Containment Action",IF(Z219="",IF(Y219&lt;&gt;"","C2 Persisted","Host Isolation Gap"),IF(AF219&lt;=AG219,"Contained - Within SLA","Contained - SLA Breach")))))</f>
        <v/>
      </c>
      <c r="AJ219" s="25" t="str">
        <f aca="false">IF(G219="","",IF(Z219&lt;&gt;"",1,0))</f>
        <v/>
      </c>
      <c r="AK219" s="34"/>
      <c r="AL219" s="34"/>
      <c r="AM219" s="35"/>
      <c r="AN219" s="34"/>
      <c r="AO219" s="34"/>
      <c r="AP219" s="35"/>
      <c r="AQ219" s="34"/>
      <c r="AR219" s="34"/>
      <c r="AS219" s="34"/>
      <c r="AT219" s="35"/>
      <c r="AU219" s="35"/>
    </row>
    <row r="220" customFormat="false" ht="15" hidden="false" customHeight="false" outlineLevel="0" collapsed="false">
      <c r="A220" s="24"/>
      <c r="B220" s="24"/>
      <c r="C220" s="24"/>
      <c r="D220" s="24"/>
      <c r="E220" s="24"/>
      <c r="F220" s="24"/>
      <c r="G220" s="24"/>
      <c r="H220" s="24"/>
      <c r="I220" s="32"/>
      <c r="J220" s="32"/>
      <c r="K220" s="32"/>
      <c r="L220" s="32"/>
      <c r="M220" s="24"/>
      <c r="N220" s="24"/>
      <c r="O220" s="24"/>
      <c r="P220" s="33" t="str">
        <f aca="false">IF(AND(G220&lt;&gt;"",I220&lt;&gt;"",J220&lt;&gt;""),(J220-I220)*1440,"")</f>
        <v/>
      </c>
      <c r="Q220" s="33" t="str">
        <f aca="false">IF(AND(G220&lt;&gt;"",J220&lt;&gt;"",K220&lt;&gt;""),(K220-J220)*1440,"")</f>
        <v/>
      </c>
      <c r="R220" s="33" t="str">
        <f aca="false">IF(AND(G220&lt;&gt;"",K220&lt;&gt;"",L220&lt;&gt;""),(L220-K220)*1440,"")</f>
        <v/>
      </c>
      <c r="S220" s="33" t="str">
        <f aca="false">IF(AND(G220&lt;&gt;"",I220&lt;&gt;"",L220&lt;&gt;""),(L220-I220)*1440,"")</f>
        <v/>
      </c>
      <c r="T220" s="33" t="str">
        <f aca="false">IF(G220="","",IFERROR(INDEX(Settings!$B$5:$B$8,MATCH(G220,Settings!$A$5:$A$8,0)),""))</f>
        <v/>
      </c>
      <c r="U220" s="25" t="str">
        <f aca="false">IF(G220="","",IF(S220="","No",IF(S220&lt;=T220,"Yes","No")))</f>
        <v/>
      </c>
      <c r="V220" s="25" t="str">
        <f aca="false">IF(G220="","",IF(AND(J220="",K220="",L220=""),"Telemetry Blind Spot",IF(AND(K220="",L220=""),"Missed Alert",IF(L220="","Triage Delay",IF(S220&lt;=T220,"Detected - Within SLA",IF(AND(R220&lt;&gt;"",R220&gt;IFERROR(INDEX(Settings!$C$5:$C$8,MATCH(G220,Settings!$A$5:$A$8,0)),1E+099)),"Triage Delay","Detected - SLA Breach"))))))</f>
        <v/>
      </c>
      <c r="W220" s="25" t="str">
        <f aca="false">IF(G220="","",IF(L220&lt;&gt;"",1,0))</f>
        <v/>
      </c>
      <c r="X220" s="32"/>
      <c r="Y220" s="32"/>
      <c r="Z220" s="32"/>
      <c r="AA220" s="24"/>
      <c r="AB220" s="24"/>
      <c r="AC220" s="33" t="str">
        <f aca="false">IF(AND(G220&lt;&gt;"",L220&lt;&gt;"",X220&lt;&gt;""),(X220-L220)*1440,"")</f>
        <v/>
      </c>
      <c r="AD220" s="33" t="str">
        <f aca="false">IF(AND(G220&lt;&gt;"",X220&lt;&gt;"",Y220&lt;&gt;""),(Y220-X220)*1440,"")</f>
        <v/>
      </c>
      <c r="AE220" s="33" t="str">
        <f aca="false">IF(AND(G220&lt;&gt;"",Y220&lt;&gt;"",Z220&lt;&gt;""),(Z220-Y220)*1440,"")</f>
        <v/>
      </c>
      <c r="AF220" s="33" t="str">
        <f aca="false">IF(AND(G220&lt;&gt;"",L220&lt;&gt;"",Z220&lt;&gt;""),(Z220-L220)*1440,"")</f>
        <v/>
      </c>
      <c r="AG220" s="33" t="str">
        <f aca="false">IF(G220="","",IFERROR(INDEX(Settings!$D$5:$D$8,MATCH(G220,Settings!$A$5:$A$8,0)),""))</f>
        <v/>
      </c>
      <c r="AH220" s="25" t="str">
        <f aca="false">IF(G220="","",IF(AF220="","No",IF(AF220&lt;=AG220,"Yes","No")))</f>
        <v/>
      </c>
      <c r="AI220" s="25" t="str">
        <f aca="false">IF(G220="","",IF(L220="","N/A - Not Detected",IF(AND(X220="",Y220="",Z220=""),"No Containment Action",IF(Z220="",IF(Y220&lt;&gt;"","C2 Persisted","Host Isolation Gap"),IF(AF220&lt;=AG220,"Contained - Within SLA","Contained - SLA Breach")))))</f>
        <v/>
      </c>
      <c r="AJ220" s="25" t="str">
        <f aca="false">IF(G220="","",IF(Z220&lt;&gt;"",1,0))</f>
        <v/>
      </c>
      <c r="AK220" s="34"/>
      <c r="AL220" s="34"/>
      <c r="AM220" s="35"/>
      <c r="AN220" s="34"/>
      <c r="AO220" s="34"/>
      <c r="AP220" s="35"/>
      <c r="AQ220" s="34"/>
      <c r="AR220" s="34"/>
      <c r="AS220" s="34"/>
      <c r="AT220" s="35"/>
      <c r="AU220" s="35"/>
    </row>
    <row r="221" customFormat="false" ht="15" hidden="false" customHeight="false" outlineLevel="0" collapsed="false">
      <c r="A221" s="24"/>
      <c r="B221" s="24"/>
      <c r="C221" s="24"/>
      <c r="D221" s="24"/>
      <c r="E221" s="24"/>
      <c r="F221" s="24"/>
      <c r="G221" s="24"/>
      <c r="H221" s="24"/>
      <c r="I221" s="32"/>
      <c r="J221" s="32"/>
      <c r="K221" s="32"/>
      <c r="L221" s="32"/>
      <c r="M221" s="24"/>
      <c r="N221" s="24"/>
      <c r="O221" s="24"/>
      <c r="P221" s="33" t="str">
        <f aca="false">IF(AND(G221&lt;&gt;"",I221&lt;&gt;"",J221&lt;&gt;""),(J221-I221)*1440,"")</f>
        <v/>
      </c>
      <c r="Q221" s="33" t="str">
        <f aca="false">IF(AND(G221&lt;&gt;"",J221&lt;&gt;"",K221&lt;&gt;""),(K221-J221)*1440,"")</f>
        <v/>
      </c>
      <c r="R221" s="33" t="str">
        <f aca="false">IF(AND(G221&lt;&gt;"",K221&lt;&gt;"",L221&lt;&gt;""),(L221-K221)*1440,"")</f>
        <v/>
      </c>
      <c r="S221" s="33" t="str">
        <f aca="false">IF(AND(G221&lt;&gt;"",I221&lt;&gt;"",L221&lt;&gt;""),(L221-I221)*1440,"")</f>
        <v/>
      </c>
      <c r="T221" s="33" t="str">
        <f aca="false">IF(G221="","",IFERROR(INDEX(Settings!$B$5:$B$8,MATCH(G221,Settings!$A$5:$A$8,0)),""))</f>
        <v/>
      </c>
      <c r="U221" s="25" t="str">
        <f aca="false">IF(G221="","",IF(S221="","No",IF(S221&lt;=T221,"Yes","No")))</f>
        <v/>
      </c>
      <c r="V221" s="25" t="str">
        <f aca="false">IF(G221="","",IF(AND(J221="",K221="",L221=""),"Telemetry Blind Spot",IF(AND(K221="",L221=""),"Missed Alert",IF(L221="","Triage Delay",IF(S221&lt;=T221,"Detected - Within SLA",IF(AND(R221&lt;&gt;"",R221&gt;IFERROR(INDEX(Settings!$C$5:$C$8,MATCH(G221,Settings!$A$5:$A$8,0)),1E+099)),"Triage Delay","Detected - SLA Breach"))))))</f>
        <v/>
      </c>
      <c r="W221" s="25" t="str">
        <f aca="false">IF(G221="","",IF(L221&lt;&gt;"",1,0))</f>
        <v/>
      </c>
      <c r="X221" s="32"/>
      <c r="Y221" s="32"/>
      <c r="Z221" s="32"/>
      <c r="AA221" s="24"/>
      <c r="AB221" s="24"/>
      <c r="AC221" s="33" t="str">
        <f aca="false">IF(AND(G221&lt;&gt;"",L221&lt;&gt;"",X221&lt;&gt;""),(X221-L221)*1440,"")</f>
        <v/>
      </c>
      <c r="AD221" s="33" t="str">
        <f aca="false">IF(AND(G221&lt;&gt;"",X221&lt;&gt;"",Y221&lt;&gt;""),(Y221-X221)*1440,"")</f>
        <v/>
      </c>
      <c r="AE221" s="33" t="str">
        <f aca="false">IF(AND(G221&lt;&gt;"",Y221&lt;&gt;"",Z221&lt;&gt;""),(Z221-Y221)*1440,"")</f>
        <v/>
      </c>
      <c r="AF221" s="33" t="str">
        <f aca="false">IF(AND(G221&lt;&gt;"",L221&lt;&gt;"",Z221&lt;&gt;""),(Z221-L221)*1440,"")</f>
        <v/>
      </c>
      <c r="AG221" s="33" t="str">
        <f aca="false">IF(G221="","",IFERROR(INDEX(Settings!$D$5:$D$8,MATCH(G221,Settings!$A$5:$A$8,0)),""))</f>
        <v/>
      </c>
      <c r="AH221" s="25" t="str">
        <f aca="false">IF(G221="","",IF(AF221="","No",IF(AF221&lt;=AG221,"Yes","No")))</f>
        <v/>
      </c>
      <c r="AI221" s="25" t="str">
        <f aca="false">IF(G221="","",IF(L221="","N/A - Not Detected",IF(AND(X221="",Y221="",Z221=""),"No Containment Action",IF(Z221="",IF(Y221&lt;&gt;"","C2 Persisted","Host Isolation Gap"),IF(AF221&lt;=AG221,"Contained - Within SLA","Contained - SLA Breach")))))</f>
        <v/>
      </c>
      <c r="AJ221" s="25" t="str">
        <f aca="false">IF(G221="","",IF(Z221&lt;&gt;"",1,0))</f>
        <v/>
      </c>
      <c r="AK221" s="34"/>
      <c r="AL221" s="34"/>
      <c r="AM221" s="35"/>
      <c r="AN221" s="34"/>
      <c r="AO221" s="34"/>
      <c r="AP221" s="35"/>
      <c r="AQ221" s="34"/>
      <c r="AR221" s="34"/>
      <c r="AS221" s="34"/>
      <c r="AT221" s="35"/>
      <c r="AU221" s="35"/>
    </row>
    <row r="222" customFormat="false" ht="15" hidden="false" customHeight="false" outlineLevel="0" collapsed="false">
      <c r="A222" s="24"/>
      <c r="B222" s="24"/>
      <c r="C222" s="24"/>
      <c r="D222" s="24"/>
      <c r="E222" s="24"/>
      <c r="F222" s="24"/>
      <c r="G222" s="24"/>
      <c r="H222" s="24"/>
      <c r="I222" s="32"/>
      <c r="J222" s="32"/>
      <c r="K222" s="32"/>
      <c r="L222" s="32"/>
      <c r="M222" s="24"/>
      <c r="N222" s="24"/>
      <c r="O222" s="24"/>
      <c r="P222" s="33" t="str">
        <f aca="false">IF(AND(G222&lt;&gt;"",I222&lt;&gt;"",J222&lt;&gt;""),(J222-I222)*1440,"")</f>
        <v/>
      </c>
      <c r="Q222" s="33" t="str">
        <f aca="false">IF(AND(G222&lt;&gt;"",J222&lt;&gt;"",K222&lt;&gt;""),(K222-J222)*1440,"")</f>
        <v/>
      </c>
      <c r="R222" s="33" t="str">
        <f aca="false">IF(AND(G222&lt;&gt;"",K222&lt;&gt;"",L222&lt;&gt;""),(L222-K222)*1440,"")</f>
        <v/>
      </c>
      <c r="S222" s="33" t="str">
        <f aca="false">IF(AND(G222&lt;&gt;"",I222&lt;&gt;"",L222&lt;&gt;""),(L222-I222)*1440,"")</f>
        <v/>
      </c>
      <c r="T222" s="33" t="str">
        <f aca="false">IF(G222="","",IFERROR(INDEX(Settings!$B$5:$B$8,MATCH(G222,Settings!$A$5:$A$8,0)),""))</f>
        <v/>
      </c>
      <c r="U222" s="25" t="str">
        <f aca="false">IF(G222="","",IF(S222="","No",IF(S222&lt;=T222,"Yes","No")))</f>
        <v/>
      </c>
      <c r="V222" s="25" t="str">
        <f aca="false">IF(G222="","",IF(AND(J222="",K222="",L222=""),"Telemetry Blind Spot",IF(AND(K222="",L222=""),"Missed Alert",IF(L222="","Triage Delay",IF(S222&lt;=T222,"Detected - Within SLA",IF(AND(R222&lt;&gt;"",R222&gt;IFERROR(INDEX(Settings!$C$5:$C$8,MATCH(G222,Settings!$A$5:$A$8,0)),1E+099)),"Triage Delay","Detected - SLA Breach"))))))</f>
        <v/>
      </c>
      <c r="W222" s="25" t="str">
        <f aca="false">IF(G222="","",IF(L222&lt;&gt;"",1,0))</f>
        <v/>
      </c>
      <c r="X222" s="32"/>
      <c r="Y222" s="32"/>
      <c r="Z222" s="32"/>
      <c r="AA222" s="24"/>
      <c r="AB222" s="24"/>
      <c r="AC222" s="33" t="str">
        <f aca="false">IF(AND(G222&lt;&gt;"",L222&lt;&gt;"",X222&lt;&gt;""),(X222-L222)*1440,"")</f>
        <v/>
      </c>
      <c r="AD222" s="33" t="str">
        <f aca="false">IF(AND(G222&lt;&gt;"",X222&lt;&gt;"",Y222&lt;&gt;""),(Y222-X222)*1440,"")</f>
        <v/>
      </c>
      <c r="AE222" s="33" t="str">
        <f aca="false">IF(AND(G222&lt;&gt;"",Y222&lt;&gt;"",Z222&lt;&gt;""),(Z222-Y222)*1440,"")</f>
        <v/>
      </c>
      <c r="AF222" s="33" t="str">
        <f aca="false">IF(AND(G222&lt;&gt;"",L222&lt;&gt;"",Z222&lt;&gt;""),(Z222-L222)*1440,"")</f>
        <v/>
      </c>
      <c r="AG222" s="33" t="str">
        <f aca="false">IF(G222="","",IFERROR(INDEX(Settings!$D$5:$D$8,MATCH(G222,Settings!$A$5:$A$8,0)),""))</f>
        <v/>
      </c>
      <c r="AH222" s="25" t="str">
        <f aca="false">IF(G222="","",IF(AF222="","No",IF(AF222&lt;=AG222,"Yes","No")))</f>
        <v/>
      </c>
      <c r="AI222" s="25" t="str">
        <f aca="false">IF(G222="","",IF(L222="","N/A - Not Detected",IF(AND(X222="",Y222="",Z222=""),"No Containment Action",IF(Z222="",IF(Y222&lt;&gt;"","C2 Persisted","Host Isolation Gap"),IF(AF222&lt;=AG222,"Contained - Within SLA","Contained - SLA Breach")))))</f>
        <v/>
      </c>
      <c r="AJ222" s="25" t="str">
        <f aca="false">IF(G222="","",IF(Z222&lt;&gt;"",1,0))</f>
        <v/>
      </c>
      <c r="AK222" s="34"/>
      <c r="AL222" s="34"/>
      <c r="AM222" s="35"/>
      <c r="AN222" s="34"/>
      <c r="AO222" s="34"/>
      <c r="AP222" s="35"/>
      <c r="AQ222" s="34"/>
      <c r="AR222" s="34"/>
      <c r="AS222" s="34"/>
      <c r="AT222" s="35"/>
      <c r="AU222" s="35"/>
    </row>
    <row r="223" customFormat="false" ht="15" hidden="false" customHeight="false" outlineLevel="0" collapsed="false">
      <c r="A223" s="24"/>
      <c r="B223" s="24"/>
      <c r="C223" s="24"/>
      <c r="D223" s="24"/>
      <c r="E223" s="24"/>
      <c r="F223" s="24"/>
      <c r="G223" s="24"/>
      <c r="H223" s="24"/>
      <c r="I223" s="32"/>
      <c r="J223" s="32"/>
      <c r="K223" s="32"/>
      <c r="L223" s="32"/>
      <c r="M223" s="24"/>
      <c r="N223" s="24"/>
      <c r="O223" s="24"/>
      <c r="P223" s="33" t="str">
        <f aca="false">IF(AND(G223&lt;&gt;"",I223&lt;&gt;"",J223&lt;&gt;""),(J223-I223)*1440,"")</f>
        <v/>
      </c>
      <c r="Q223" s="33" t="str">
        <f aca="false">IF(AND(G223&lt;&gt;"",J223&lt;&gt;"",K223&lt;&gt;""),(K223-J223)*1440,"")</f>
        <v/>
      </c>
      <c r="R223" s="33" t="str">
        <f aca="false">IF(AND(G223&lt;&gt;"",K223&lt;&gt;"",L223&lt;&gt;""),(L223-K223)*1440,"")</f>
        <v/>
      </c>
      <c r="S223" s="33" t="str">
        <f aca="false">IF(AND(G223&lt;&gt;"",I223&lt;&gt;"",L223&lt;&gt;""),(L223-I223)*1440,"")</f>
        <v/>
      </c>
      <c r="T223" s="33" t="str">
        <f aca="false">IF(G223="","",IFERROR(INDEX(Settings!$B$5:$B$8,MATCH(G223,Settings!$A$5:$A$8,0)),""))</f>
        <v/>
      </c>
      <c r="U223" s="25" t="str">
        <f aca="false">IF(G223="","",IF(S223="","No",IF(S223&lt;=T223,"Yes","No")))</f>
        <v/>
      </c>
      <c r="V223" s="25" t="str">
        <f aca="false">IF(G223="","",IF(AND(J223="",K223="",L223=""),"Telemetry Blind Spot",IF(AND(K223="",L223=""),"Missed Alert",IF(L223="","Triage Delay",IF(S223&lt;=T223,"Detected - Within SLA",IF(AND(R223&lt;&gt;"",R223&gt;IFERROR(INDEX(Settings!$C$5:$C$8,MATCH(G223,Settings!$A$5:$A$8,0)),1E+099)),"Triage Delay","Detected - SLA Breach"))))))</f>
        <v/>
      </c>
      <c r="W223" s="25" t="str">
        <f aca="false">IF(G223="","",IF(L223&lt;&gt;"",1,0))</f>
        <v/>
      </c>
      <c r="X223" s="32"/>
      <c r="Y223" s="32"/>
      <c r="Z223" s="32"/>
      <c r="AA223" s="24"/>
      <c r="AB223" s="24"/>
      <c r="AC223" s="33" t="str">
        <f aca="false">IF(AND(G223&lt;&gt;"",L223&lt;&gt;"",X223&lt;&gt;""),(X223-L223)*1440,"")</f>
        <v/>
      </c>
      <c r="AD223" s="33" t="str">
        <f aca="false">IF(AND(G223&lt;&gt;"",X223&lt;&gt;"",Y223&lt;&gt;""),(Y223-X223)*1440,"")</f>
        <v/>
      </c>
      <c r="AE223" s="33" t="str">
        <f aca="false">IF(AND(G223&lt;&gt;"",Y223&lt;&gt;"",Z223&lt;&gt;""),(Z223-Y223)*1440,"")</f>
        <v/>
      </c>
      <c r="AF223" s="33" t="str">
        <f aca="false">IF(AND(G223&lt;&gt;"",L223&lt;&gt;"",Z223&lt;&gt;""),(Z223-L223)*1440,"")</f>
        <v/>
      </c>
      <c r="AG223" s="33" t="str">
        <f aca="false">IF(G223="","",IFERROR(INDEX(Settings!$D$5:$D$8,MATCH(G223,Settings!$A$5:$A$8,0)),""))</f>
        <v/>
      </c>
      <c r="AH223" s="25" t="str">
        <f aca="false">IF(G223="","",IF(AF223="","No",IF(AF223&lt;=AG223,"Yes","No")))</f>
        <v/>
      </c>
      <c r="AI223" s="25" t="str">
        <f aca="false">IF(G223="","",IF(L223="","N/A - Not Detected",IF(AND(X223="",Y223="",Z223=""),"No Containment Action",IF(Z223="",IF(Y223&lt;&gt;"","C2 Persisted","Host Isolation Gap"),IF(AF223&lt;=AG223,"Contained - Within SLA","Contained - SLA Breach")))))</f>
        <v/>
      </c>
      <c r="AJ223" s="25" t="str">
        <f aca="false">IF(G223="","",IF(Z223&lt;&gt;"",1,0))</f>
        <v/>
      </c>
      <c r="AK223" s="34"/>
      <c r="AL223" s="34"/>
      <c r="AM223" s="35"/>
      <c r="AN223" s="34"/>
      <c r="AO223" s="34"/>
      <c r="AP223" s="35"/>
      <c r="AQ223" s="34"/>
      <c r="AR223" s="34"/>
      <c r="AS223" s="34"/>
      <c r="AT223" s="35"/>
      <c r="AU223" s="35"/>
    </row>
    <row r="224" customFormat="false" ht="15" hidden="false" customHeight="false" outlineLevel="0" collapsed="false">
      <c r="A224" s="24"/>
      <c r="B224" s="24"/>
      <c r="C224" s="24"/>
      <c r="D224" s="24"/>
      <c r="E224" s="24"/>
      <c r="F224" s="24"/>
      <c r="G224" s="24"/>
      <c r="H224" s="24"/>
      <c r="I224" s="32"/>
      <c r="J224" s="32"/>
      <c r="K224" s="32"/>
      <c r="L224" s="32"/>
      <c r="M224" s="24"/>
      <c r="N224" s="24"/>
      <c r="O224" s="24"/>
      <c r="P224" s="33" t="str">
        <f aca="false">IF(AND(G224&lt;&gt;"",I224&lt;&gt;"",J224&lt;&gt;""),(J224-I224)*1440,"")</f>
        <v/>
      </c>
      <c r="Q224" s="33" t="str">
        <f aca="false">IF(AND(G224&lt;&gt;"",J224&lt;&gt;"",K224&lt;&gt;""),(K224-J224)*1440,"")</f>
        <v/>
      </c>
      <c r="R224" s="33" t="str">
        <f aca="false">IF(AND(G224&lt;&gt;"",K224&lt;&gt;"",L224&lt;&gt;""),(L224-K224)*1440,"")</f>
        <v/>
      </c>
      <c r="S224" s="33" t="str">
        <f aca="false">IF(AND(G224&lt;&gt;"",I224&lt;&gt;"",L224&lt;&gt;""),(L224-I224)*1440,"")</f>
        <v/>
      </c>
      <c r="T224" s="33" t="str">
        <f aca="false">IF(G224="","",IFERROR(INDEX(Settings!$B$5:$B$8,MATCH(G224,Settings!$A$5:$A$8,0)),""))</f>
        <v/>
      </c>
      <c r="U224" s="25" t="str">
        <f aca="false">IF(G224="","",IF(S224="","No",IF(S224&lt;=T224,"Yes","No")))</f>
        <v/>
      </c>
      <c r="V224" s="25" t="str">
        <f aca="false">IF(G224="","",IF(AND(J224="",K224="",L224=""),"Telemetry Blind Spot",IF(AND(K224="",L224=""),"Missed Alert",IF(L224="","Triage Delay",IF(S224&lt;=T224,"Detected - Within SLA",IF(AND(R224&lt;&gt;"",R224&gt;IFERROR(INDEX(Settings!$C$5:$C$8,MATCH(G224,Settings!$A$5:$A$8,0)),1E+099)),"Triage Delay","Detected - SLA Breach"))))))</f>
        <v/>
      </c>
      <c r="W224" s="25" t="str">
        <f aca="false">IF(G224="","",IF(L224&lt;&gt;"",1,0))</f>
        <v/>
      </c>
      <c r="X224" s="32"/>
      <c r="Y224" s="32"/>
      <c r="Z224" s="32"/>
      <c r="AA224" s="24"/>
      <c r="AB224" s="24"/>
      <c r="AC224" s="33" t="str">
        <f aca="false">IF(AND(G224&lt;&gt;"",L224&lt;&gt;"",X224&lt;&gt;""),(X224-L224)*1440,"")</f>
        <v/>
      </c>
      <c r="AD224" s="33" t="str">
        <f aca="false">IF(AND(G224&lt;&gt;"",X224&lt;&gt;"",Y224&lt;&gt;""),(Y224-X224)*1440,"")</f>
        <v/>
      </c>
      <c r="AE224" s="33" t="str">
        <f aca="false">IF(AND(G224&lt;&gt;"",Y224&lt;&gt;"",Z224&lt;&gt;""),(Z224-Y224)*1440,"")</f>
        <v/>
      </c>
      <c r="AF224" s="33" t="str">
        <f aca="false">IF(AND(G224&lt;&gt;"",L224&lt;&gt;"",Z224&lt;&gt;""),(Z224-L224)*1440,"")</f>
        <v/>
      </c>
      <c r="AG224" s="33" t="str">
        <f aca="false">IF(G224="","",IFERROR(INDEX(Settings!$D$5:$D$8,MATCH(G224,Settings!$A$5:$A$8,0)),""))</f>
        <v/>
      </c>
      <c r="AH224" s="25" t="str">
        <f aca="false">IF(G224="","",IF(AF224="","No",IF(AF224&lt;=AG224,"Yes","No")))</f>
        <v/>
      </c>
      <c r="AI224" s="25" t="str">
        <f aca="false">IF(G224="","",IF(L224="","N/A - Not Detected",IF(AND(X224="",Y224="",Z224=""),"No Containment Action",IF(Z224="",IF(Y224&lt;&gt;"","C2 Persisted","Host Isolation Gap"),IF(AF224&lt;=AG224,"Contained - Within SLA","Contained - SLA Breach")))))</f>
        <v/>
      </c>
      <c r="AJ224" s="25" t="str">
        <f aca="false">IF(G224="","",IF(Z224&lt;&gt;"",1,0))</f>
        <v/>
      </c>
      <c r="AK224" s="34"/>
      <c r="AL224" s="34"/>
      <c r="AM224" s="35"/>
      <c r="AN224" s="34"/>
      <c r="AO224" s="34"/>
      <c r="AP224" s="35"/>
      <c r="AQ224" s="34"/>
      <c r="AR224" s="34"/>
      <c r="AS224" s="34"/>
      <c r="AT224" s="35"/>
      <c r="AU224" s="35"/>
    </row>
    <row r="225" customFormat="false" ht="15" hidden="false" customHeight="false" outlineLevel="0" collapsed="false">
      <c r="A225" s="24"/>
      <c r="B225" s="24"/>
      <c r="C225" s="24"/>
      <c r="D225" s="24"/>
      <c r="E225" s="24"/>
      <c r="F225" s="24"/>
      <c r="G225" s="24"/>
      <c r="H225" s="24"/>
      <c r="I225" s="32"/>
      <c r="J225" s="32"/>
      <c r="K225" s="32"/>
      <c r="L225" s="32"/>
      <c r="M225" s="24"/>
      <c r="N225" s="24"/>
      <c r="O225" s="24"/>
      <c r="P225" s="33" t="str">
        <f aca="false">IF(AND(G225&lt;&gt;"",I225&lt;&gt;"",J225&lt;&gt;""),(J225-I225)*1440,"")</f>
        <v/>
      </c>
      <c r="Q225" s="33" t="str">
        <f aca="false">IF(AND(G225&lt;&gt;"",J225&lt;&gt;"",K225&lt;&gt;""),(K225-J225)*1440,"")</f>
        <v/>
      </c>
      <c r="R225" s="33" t="str">
        <f aca="false">IF(AND(G225&lt;&gt;"",K225&lt;&gt;"",L225&lt;&gt;""),(L225-K225)*1440,"")</f>
        <v/>
      </c>
      <c r="S225" s="33" t="str">
        <f aca="false">IF(AND(G225&lt;&gt;"",I225&lt;&gt;"",L225&lt;&gt;""),(L225-I225)*1440,"")</f>
        <v/>
      </c>
      <c r="T225" s="33" t="str">
        <f aca="false">IF(G225="","",IFERROR(INDEX(Settings!$B$5:$B$8,MATCH(G225,Settings!$A$5:$A$8,0)),""))</f>
        <v/>
      </c>
      <c r="U225" s="25" t="str">
        <f aca="false">IF(G225="","",IF(S225="","No",IF(S225&lt;=T225,"Yes","No")))</f>
        <v/>
      </c>
      <c r="V225" s="25" t="str">
        <f aca="false">IF(G225="","",IF(AND(J225="",K225="",L225=""),"Telemetry Blind Spot",IF(AND(K225="",L225=""),"Missed Alert",IF(L225="","Triage Delay",IF(S225&lt;=T225,"Detected - Within SLA",IF(AND(R225&lt;&gt;"",R225&gt;IFERROR(INDEX(Settings!$C$5:$C$8,MATCH(G225,Settings!$A$5:$A$8,0)),1E+099)),"Triage Delay","Detected - SLA Breach"))))))</f>
        <v/>
      </c>
      <c r="W225" s="25" t="str">
        <f aca="false">IF(G225="","",IF(L225&lt;&gt;"",1,0))</f>
        <v/>
      </c>
      <c r="X225" s="32"/>
      <c r="Y225" s="32"/>
      <c r="Z225" s="32"/>
      <c r="AA225" s="24"/>
      <c r="AB225" s="24"/>
      <c r="AC225" s="33" t="str">
        <f aca="false">IF(AND(G225&lt;&gt;"",L225&lt;&gt;"",X225&lt;&gt;""),(X225-L225)*1440,"")</f>
        <v/>
      </c>
      <c r="AD225" s="33" t="str">
        <f aca="false">IF(AND(G225&lt;&gt;"",X225&lt;&gt;"",Y225&lt;&gt;""),(Y225-X225)*1440,"")</f>
        <v/>
      </c>
      <c r="AE225" s="33" t="str">
        <f aca="false">IF(AND(G225&lt;&gt;"",Y225&lt;&gt;"",Z225&lt;&gt;""),(Z225-Y225)*1440,"")</f>
        <v/>
      </c>
      <c r="AF225" s="33" t="str">
        <f aca="false">IF(AND(G225&lt;&gt;"",L225&lt;&gt;"",Z225&lt;&gt;""),(Z225-L225)*1440,"")</f>
        <v/>
      </c>
      <c r="AG225" s="33" t="str">
        <f aca="false">IF(G225="","",IFERROR(INDEX(Settings!$D$5:$D$8,MATCH(G225,Settings!$A$5:$A$8,0)),""))</f>
        <v/>
      </c>
      <c r="AH225" s="25" t="str">
        <f aca="false">IF(G225="","",IF(AF225="","No",IF(AF225&lt;=AG225,"Yes","No")))</f>
        <v/>
      </c>
      <c r="AI225" s="25" t="str">
        <f aca="false">IF(G225="","",IF(L225="","N/A - Not Detected",IF(AND(X225="",Y225="",Z225=""),"No Containment Action",IF(Z225="",IF(Y225&lt;&gt;"","C2 Persisted","Host Isolation Gap"),IF(AF225&lt;=AG225,"Contained - Within SLA","Contained - SLA Breach")))))</f>
        <v/>
      </c>
      <c r="AJ225" s="25" t="str">
        <f aca="false">IF(G225="","",IF(Z225&lt;&gt;"",1,0))</f>
        <v/>
      </c>
      <c r="AK225" s="34"/>
      <c r="AL225" s="34"/>
      <c r="AM225" s="35"/>
      <c r="AN225" s="34"/>
      <c r="AO225" s="34"/>
      <c r="AP225" s="35"/>
      <c r="AQ225" s="34"/>
      <c r="AR225" s="34"/>
      <c r="AS225" s="34"/>
      <c r="AT225" s="35"/>
      <c r="AU225" s="35"/>
    </row>
    <row r="226" customFormat="false" ht="15" hidden="false" customHeight="false" outlineLevel="0" collapsed="false">
      <c r="A226" s="24"/>
      <c r="B226" s="24"/>
      <c r="C226" s="24"/>
      <c r="D226" s="24"/>
      <c r="E226" s="24"/>
      <c r="F226" s="24"/>
      <c r="G226" s="24"/>
      <c r="H226" s="24"/>
      <c r="I226" s="32"/>
      <c r="J226" s="32"/>
      <c r="K226" s="32"/>
      <c r="L226" s="32"/>
      <c r="M226" s="24"/>
      <c r="N226" s="24"/>
      <c r="O226" s="24"/>
      <c r="P226" s="33" t="str">
        <f aca="false">IF(AND(G226&lt;&gt;"",I226&lt;&gt;"",J226&lt;&gt;""),(J226-I226)*1440,"")</f>
        <v/>
      </c>
      <c r="Q226" s="33" t="str">
        <f aca="false">IF(AND(G226&lt;&gt;"",J226&lt;&gt;"",K226&lt;&gt;""),(K226-J226)*1440,"")</f>
        <v/>
      </c>
      <c r="R226" s="33" t="str">
        <f aca="false">IF(AND(G226&lt;&gt;"",K226&lt;&gt;"",L226&lt;&gt;""),(L226-K226)*1440,"")</f>
        <v/>
      </c>
      <c r="S226" s="33" t="str">
        <f aca="false">IF(AND(G226&lt;&gt;"",I226&lt;&gt;"",L226&lt;&gt;""),(L226-I226)*1440,"")</f>
        <v/>
      </c>
      <c r="T226" s="33" t="str">
        <f aca="false">IF(G226="","",IFERROR(INDEX(Settings!$B$5:$B$8,MATCH(G226,Settings!$A$5:$A$8,0)),""))</f>
        <v/>
      </c>
      <c r="U226" s="25" t="str">
        <f aca="false">IF(G226="","",IF(S226="","No",IF(S226&lt;=T226,"Yes","No")))</f>
        <v/>
      </c>
      <c r="V226" s="25" t="str">
        <f aca="false">IF(G226="","",IF(AND(J226="",K226="",L226=""),"Telemetry Blind Spot",IF(AND(K226="",L226=""),"Missed Alert",IF(L226="","Triage Delay",IF(S226&lt;=T226,"Detected - Within SLA",IF(AND(R226&lt;&gt;"",R226&gt;IFERROR(INDEX(Settings!$C$5:$C$8,MATCH(G226,Settings!$A$5:$A$8,0)),1E+099)),"Triage Delay","Detected - SLA Breach"))))))</f>
        <v/>
      </c>
      <c r="W226" s="25" t="str">
        <f aca="false">IF(G226="","",IF(L226&lt;&gt;"",1,0))</f>
        <v/>
      </c>
      <c r="X226" s="32"/>
      <c r="Y226" s="32"/>
      <c r="Z226" s="32"/>
      <c r="AA226" s="24"/>
      <c r="AB226" s="24"/>
      <c r="AC226" s="33" t="str">
        <f aca="false">IF(AND(G226&lt;&gt;"",L226&lt;&gt;"",X226&lt;&gt;""),(X226-L226)*1440,"")</f>
        <v/>
      </c>
      <c r="AD226" s="33" t="str">
        <f aca="false">IF(AND(G226&lt;&gt;"",X226&lt;&gt;"",Y226&lt;&gt;""),(Y226-X226)*1440,"")</f>
        <v/>
      </c>
      <c r="AE226" s="33" t="str">
        <f aca="false">IF(AND(G226&lt;&gt;"",Y226&lt;&gt;"",Z226&lt;&gt;""),(Z226-Y226)*1440,"")</f>
        <v/>
      </c>
      <c r="AF226" s="33" t="str">
        <f aca="false">IF(AND(G226&lt;&gt;"",L226&lt;&gt;"",Z226&lt;&gt;""),(Z226-L226)*1440,"")</f>
        <v/>
      </c>
      <c r="AG226" s="33" t="str">
        <f aca="false">IF(G226="","",IFERROR(INDEX(Settings!$D$5:$D$8,MATCH(G226,Settings!$A$5:$A$8,0)),""))</f>
        <v/>
      </c>
      <c r="AH226" s="25" t="str">
        <f aca="false">IF(G226="","",IF(AF226="","No",IF(AF226&lt;=AG226,"Yes","No")))</f>
        <v/>
      </c>
      <c r="AI226" s="25" t="str">
        <f aca="false">IF(G226="","",IF(L226="","N/A - Not Detected",IF(AND(X226="",Y226="",Z226=""),"No Containment Action",IF(Z226="",IF(Y226&lt;&gt;"","C2 Persisted","Host Isolation Gap"),IF(AF226&lt;=AG226,"Contained - Within SLA","Contained - SLA Breach")))))</f>
        <v/>
      </c>
      <c r="AJ226" s="25" t="str">
        <f aca="false">IF(G226="","",IF(Z226&lt;&gt;"",1,0))</f>
        <v/>
      </c>
      <c r="AK226" s="34"/>
      <c r="AL226" s="34"/>
      <c r="AM226" s="35"/>
      <c r="AN226" s="34"/>
      <c r="AO226" s="34"/>
      <c r="AP226" s="35"/>
      <c r="AQ226" s="34"/>
      <c r="AR226" s="34"/>
      <c r="AS226" s="34"/>
      <c r="AT226" s="35"/>
      <c r="AU226" s="35"/>
    </row>
    <row r="227" customFormat="false" ht="15" hidden="false" customHeight="false" outlineLevel="0" collapsed="false">
      <c r="A227" s="24"/>
      <c r="B227" s="24"/>
      <c r="C227" s="24"/>
      <c r="D227" s="24"/>
      <c r="E227" s="24"/>
      <c r="F227" s="24"/>
      <c r="G227" s="24"/>
      <c r="H227" s="24"/>
      <c r="I227" s="32"/>
      <c r="J227" s="32"/>
      <c r="K227" s="32"/>
      <c r="L227" s="32"/>
      <c r="M227" s="24"/>
      <c r="N227" s="24"/>
      <c r="O227" s="24"/>
      <c r="P227" s="33" t="str">
        <f aca="false">IF(AND(G227&lt;&gt;"",I227&lt;&gt;"",J227&lt;&gt;""),(J227-I227)*1440,"")</f>
        <v/>
      </c>
      <c r="Q227" s="33" t="str">
        <f aca="false">IF(AND(G227&lt;&gt;"",J227&lt;&gt;"",K227&lt;&gt;""),(K227-J227)*1440,"")</f>
        <v/>
      </c>
      <c r="R227" s="33" t="str">
        <f aca="false">IF(AND(G227&lt;&gt;"",K227&lt;&gt;"",L227&lt;&gt;""),(L227-K227)*1440,"")</f>
        <v/>
      </c>
      <c r="S227" s="33" t="str">
        <f aca="false">IF(AND(G227&lt;&gt;"",I227&lt;&gt;"",L227&lt;&gt;""),(L227-I227)*1440,"")</f>
        <v/>
      </c>
      <c r="T227" s="33" t="str">
        <f aca="false">IF(G227="","",IFERROR(INDEX(Settings!$B$5:$B$8,MATCH(G227,Settings!$A$5:$A$8,0)),""))</f>
        <v/>
      </c>
      <c r="U227" s="25" t="str">
        <f aca="false">IF(G227="","",IF(S227="","No",IF(S227&lt;=T227,"Yes","No")))</f>
        <v/>
      </c>
      <c r="V227" s="25" t="str">
        <f aca="false">IF(G227="","",IF(AND(J227="",K227="",L227=""),"Telemetry Blind Spot",IF(AND(K227="",L227=""),"Missed Alert",IF(L227="","Triage Delay",IF(S227&lt;=T227,"Detected - Within SLA",IF(AND(R227&lt;&gt;"",R227&gt;IFERROR(INDEX(Settings!$C$5:$C$8,MATCH(G227,Settings!$A$5:$A$8,0)),1E+099)),"Triage Delay","Detected - SLA Breach"))))))</f>
        <v/>
      </c>
      <c r="W227" s="25" t="str">
        <f aca="false">IF(G227="","",IF(L227&lt;&gt;"",1,0))</f>
        <v/>
      </c>
      <c r="X227" s="32"/>
      <c r="Y227" s="32"/>
      <c r="Z227" s="32"/>
      <c r="AA227" s="24"/>
      <c r="AB227" s="24"/>
      <c r="AC227" s="33" t="str">
        <f aca="false">IF(AND(G227&lt;&gt;"",L227&lt;&gt;"",X227&lt;&gt;""),(X227-L227)*1440,"")</f>
        <v/>
      </c>
      <c r="AD227" s="33" t="str">
        <f aca="false">IF(AND(G227&lt;&gt;"",X227&lt;&gt;"",Y227&lt;&gt;""),(Y227-X227)*1440,"")</f>
        <v/>
      </c>
      <c r="AE227" s="33" t="str">
        <f aca="false">IF(AND(G227&lt;&gt;"",Y227&lt;&gt;"",Z227&lt;&gt;""),(Z227-Y227)*1440,"")</f>
        <v/>
      </c>
      <c r="AF227" s="33" t="str">
        <f aca="false">IF(AND(G227&lt;&gt;"",L227&lt;&gt;"",Z227&lt;&gt;""),(Z227-L227)*1440,"")</f>
        <v/>
      </c>
      <c r="AG227" s="33" t="str">
        <f aca="false">IF(G227="","",IFERROR(INDEX(Settings!$D$5:$D$8,MATCH(G227,Settings!$A$5:$A$8,0)),""))</f>
        <v/>
      </c>
      <c r="AH227" s="25" t="str">
        <f aca="false">IF(G227="","",IF(AF227="","No",IF(AF227&lt;=AG227,"Yes","No")))</f>
        <v/>
      </c>
      <c r="AI227" s="25" t="str">
        <f aca="false">IF(G227="","",IF(L227="","N/A - Not Detected",IF(AND(X227="",Y227="",Z227=""),"No Containment Action",IF(Z227="",IF(Y227&lt;&gt;"","C2 Persisted","Host Isolation Gap"),IF(AF227&lt;=AG227,"Contained - Within SLA","Contained - SLA Breach")))))</f>
        <v/>
      </c>
      <c r="AJ227" s="25" t="str">
        <f aca="false">IF(G227="","",IF(Z227&lt;&gt;"",1,0))</f>
        <v/>
      </c>
      <c r="AK227" s="34"/>
      <c r="AL227" s="34"/>
      <c r="AM227" s="35"/>
      <c r="AN227" s="34"/>
      <c r="AO227" s="34"/>
      <c r="AP227" s="35"/>
      <c r="AQ227" s="34"/>
      <c r="AR227" s="34"/>
      <c r="AS227" s="34"/>
      <c r="AT227" s="35"/>
      <c r="AU227" s="35"/>
    </row>
    <row r="228" customFormat="false" ht="15" hidden="false" customHeight="false" outlineLevel="0" collapsed="false">
      <c r="A228" s="24"/>
      <c r="B228" s="24"/>
      <c r="C228" s="24"/>
      <c r="D228" s="24"/>
      <c r="E228" s="24"/>
      <c r="F228" s="24"/>
      <c r="G228" s="24"/>
      <c r="H228" s="24"/>
      <c r="I228" s="32"/>
      <c r="J228" s="32"/>
      <c r="K228" s="32"/>
      <c r="L228" s="32"/>
      <c r="M228" s="24"/>
      <c r="N228" s="24"/>
      <c r="O228" s="24"/>
      <c r="P228" s="33" t="str">
        <f aca="false">IF(AND(G228&lt;&gt;"",I228&lt;&gt;"",J228&lt;&gt;""),(J228-I228)*1440,"")</f>
        <v/>
      </c>
      <c r="Q228" s="33" t="str">
        <f aca="false">IF(AND(G228&lt;&gt;"",J228&lt;&gt;"",K228&lt;&gt;""),(K228-J228)*1440,"")</f>
        <v/>
      </c>
      <c r="R228" s="33" t="str">
        <f aca="false">IF(AND(G228&lt;&gt;"",K228&lt;&gt;"",L228&lt;&gt;""),(L228-K228)*1440,"")</f>
        <v/>
      </c>
      <c r="S228" s="33" t="str">
        <f aca="false">IF(AND(G228&lt;&gt;"",I228&lt;&gt;"",L228&lt;&gt;""),(L228-I228)*1440,"")</f>
        <v/>
      </c>
      <c r="T228" s="33" t="str">
        <f aca="false">IF(G228="","",IFERROR(INDEX(Settings!$B$5:$B$8,MATCH(G228,Settings!$A$5:$A$8,0)),""))</f>
        <v/>
      </c>
      <c r="U228" s="25" t="str">
        <f aca="false">IF(G228="","",IF(S228="","No",IF(S228&lt;=T228,"Yes","No")))</f>
        <v/>
      </c>
      <c r="V228" s="25" t="str">
        <f aca="false">IF(G228="","",IF(AND(J228="",K228="",L228=""),"Telemetry Blind Spot",IF(AND(K228="",L228=""),"Missed Alert",IF(L228="","Triage Delay",IF(S228&lt;=T228,"Detected - Within SLA",IF(AND(R228&lt;&gt;"",R228&gt;IFERROR(INDEX(Settings!$C$5:$C$8,MATCH(G228,Settings!$A$5:$A$8,0)),1E+099)),"Triage Delay","Detected - SLA Breach"))))))</f>
        <v/>
      </c>
      <c r="W228" s="25" t="str">
        <f aca="false">IF(G228="","",IF(L228&lt;&gt;"",1,0))</f>
        <v/>
      </c>
      <c r="X228" s="32"/>
      <c r="Y228" s="32"/>
      <c r="Z228" s="32"/>
      <c r="AA228" s="24"/>
      <c r="AB228" s="24"/>
      <c r="AC228" s="33" t="str">
        <f aca="false">IF(AND(G228&lt;&gt;"",L228&lt;&gt;"",X228&lt;&gt;""),(X228-L228)*1440,"")</f>
        <v/>
      </c>
      <c r="AD228" s="33" t="str">
        <f aca="false">IF(AND(G228&lt;&gt;"",X228&lt;&gt;"",Y228&lt;&gt;""),(Y228-X228)*1440,"")</f>
        <v/>
      </c>
      <c r="AE228" s="33" t="str">
        <f aca="false">IF(AND(G228&lt;&gt;"",Y228&lt;&gt;"",Z228&lt;&gt;""),(Z228-Y228)*1440,"")</f>
        <v/>
      </c>
      <c r="AF228" s="33" t="str">
        <f aca="false">IF(AND(G228&lt;&gt;"",L228&lt;&gt;"",Z228&lt;&gt;""),(Z228-L228)*1440,"")</f>
        <v/>
      </c>
      <c r="AG228" s="33" t="str">
        <f aca="false">IF(G228="","",IFERROR(INDEX(Settings!$D$5:$D$8,MATCH(G228,Settings!$A$5:$A$8,0)),""))</f>
        <v/>
      </c>
      <c r="AH228" s="25" t="str">
        <f aca="false">IF(G228="","",IF(AF228="","No",IF(AF228&lt;=AG228,"Yes","No")))</f>
        <v/>
      </c>
      <c r="AI228" s="25" t="str">
        <f aca="false">IF(G228="","",IF(L228="","N/A - Not Detected",IF(AND(X228="",Y228="",Z228=""),"No Containment Action",IF(Z228="",IF(Y228&lt;&gt;"","C2 Persisted","Host Isolation Gap"),IF(AF228&lt;=AG228,"Contained - Within SLA","Contained - SLA Breach")))))</f>
        <v/>
      </c>
      <c r="AJ228" s="25" t="str">
        <f aca="false">IF(G228="","",IF(Z228&lt;&gt;"",1,0))</f>
        <v/>
      </c>
      <c r="AK228" s="34"/>
      <c r="AL228" s="34"/>
      <c r="AM228" s="35"/>
      <c r="AN228" s="34"/>
      <c r="AO228" s="34"/>
      <c r="AP228" s="35"/>
      <c r="AQ228" s="34"/>
      <c r="AR228" s="34"/>
      <c r="AS228" s="34"/>
      <c r="AT228" s="35"/>
      <c r="AU228" s="35"/>
    </row>
    <row r="229" customFormat="false" ht="15" hidden="false" customHeight="false" outlineLevel="0" collapsed="false">
      <c r="A229" s="24"/>
      <c r="B229" s="24"/>
      <c r="C229" s="24"/>
      <c r="D229" s="24"/>
      <c r="E229" s="24"/>
      <c r="F229" s="24"/>
      <c r="G229" s="24"/>
      <c r="H229" s="24"/>
      <c r="I229" s="32"/>
      <c r="J229" s="32"/>
      <c r="K229" s="32"/>
      <c r="L229" s="32"/>
      <c r="M229" s="24"/>
      <c r="N229" s="24"/>
      <c r="O229" s="24"/>
      <c r="P229" s="33" t="str">
        <f aca="false">IF(AND(G229&lt;&gt;"",I229&lt;&gt;"",J229&lt;&gt;""),(J229-I229)*1440,"")</f>
        <v/>
      </c>
      <c r="Q229" s="33" t="str">
        <f aca="false">IF(AND(G229&lt;&gt;"",J229&lt;&gt;"",K229&lt;&gt;""),(K229-J229)*1440,"")</f>
        <v/>
      </c>
      <c r="R229" s="33" t="str">
        <f aca="false">IF(AND(G229&lt;&gt;"",K229&lt;&gt;"",L229&lt;&gt;""),(L229-K229)*1440,"")</f>
        <v/>
      </c>
      <c r="S229" s="33" t="str">
        <f aca="false">IF(AND(G229&lt;&gt;"",I229&lt;&gt;"",L229&lt;&gt;""),(L229-I229)*1440,"")</f>
        <v/>
      </c>
      <c r="T229" s="33" t="str">
        <f aca="false">IF(G229="","",IFERROR(INDEX(Settings!$B$5:$B$8,MATCH(G229,Settings!$A$5:$A$8,0)),""))</f>
        <v/>
      </c>
      <c r="U229" s="25" t="str">
        <f aca="false">IF(G229="","",IF(S229="","No",IF(S229&lt;=T229,"Yes","No")))</f>
        <v/>
      </c>
      <c r="V229" s="25" t="str">
        <f aca="false">IF(G229="","",IF(AND(J229="",K229="",L229=""),"Telemetry Blind Spot",IF(AND(K229="",L229=""),"Missed Alert",IF(L229="","Triage Delay",IF(S229&lt;=T229,"Detected - Within SLA",IF(AND(R229&lt;&gt;"",R229&gt;IFERROR(INDEX(Settings!$C$5:$C$8,MATCH(G229,Settings!$A$5:$A$8,0)),1E+099)),"Triage Delay","Detected - SLA Breach"))))))</f>
        <v/>
      </c>
      <c r="W229" s="25" t="str">
        <f aca="false">IF(G229="","",IF(L229&lt;&gt;"",1,0))</f>
        <v/>
      </c>
      <c r="X229" s="32"/>
      <c r="Y229" s="32"/>
      <c r="Z229" s="32"/>
      <c r="AA229" s="24"/>
      <c r="AB229" s="24"/>
      <c r="AC229" s="33" t="str">
        <f aca="false">IF(AND(G229&lt;&gt;"",L229&lt;&gt;"",X229&lt;&gt;""),(X229-L229)*1440,"")</f>
        <v/>
      </c>
      <c r="AD229" s="33" t="str">
        <f aca="false">IF(AND(G229&lt;&gt;"",X229&lt;&gt;"",Y229&lt;&gt;""),(Y229-X229)*1440,"")</f>
        <v/>
      </c>
      <c r="AE229" s="33" t="str">
        <f aca="false">IF(AND(G229&lt;&gt;"",Y229&lt;&gt;"",Z229&lt;&gt;""),(Z229-Y229)*1440,"")</f>
        <v/>
      </c>
      <c r="AF229" s="33" t="str">
        <f aca="false">IF(AND(G229&lt;&gt;"",L229&lt;&gt;"",Z229&lt;&gt;""),(Z229-L229)*1440,"")</f>
        <v/>
      </c>
      <c r="AG229" s="33" t="str">
        <f aca="false">IF(G229="","",IFERROR(INDEX(Settings!$D$5:$D$8,MATCH(G229,Settings!$A$5:$A$8,0)),""))</f>
        <v/>
      </c>
      <c r="AH229" s="25" t="str">
        <f aca="false">IF(G229="","",IF(AF229="","No",IF(AF229&lt;=AG229,"Yes","No")))</f>
        <v/>
      </c>
      <c r="AI229" s="25" t="str">
        <f aca="false">IF(G229="","",IF(L229="","N/A - Not Detected",IF(AND(X229="",Y229="",Z229=""),"No Containment Action",IF(Z229="",IF(Y229&lt;&gt;"","C2 Persisted","Host Isolation Gap"),IF(AF229&lt;=AG229,"Contained - Within SLA","Contained - SLA Breach")))))</f>
        <v/>
      </c>
      <c r="AJ229" s="25" t="str">
        <f aca="false">IF(G229="","",IF(Z229&lt;&gt;"",1,0))</f>
        <v/>
      </c>
      <c r="AK229" s="34"/>
      <c r="AL229" s="34"/>
      <c r="AM229" s="35"/>
      <c r="AN229" s="34"/>
      <c r="AO229" s="34"/>
      <c r="AP229" s="35"/>
      <c r="AQ229" s="34"/>
      <c r="AR229" s="34"/>
      <c r="AS229" s="34"/>
      <c r="AT229" s="35"/>
      <c r="AU229" s="35"/>
    </row>
    <row r="230" customFormat="false" ht="15" hidden="false" customHeight="false" outlineLevel="0" collapsed="false">
      <c r="A230" s="24"/>
      <c r="B230" s="24"/>
      <c r="C230" s="24"/>
      <c r="D230" s="24"/>
      <c r="E230" s="24"/>
      <c r="F230" s="24"/>
      <c r="G230" s="24"/>
      <c r="H230" s="24"/>
      <c r="I230" s="32"/>
      <c r="J230" s="32"/>
      <c r="K230" s="32"/>
      <c r="L230" s="32"/>
      <c r="M230" s="24"/>
      <c r="N230" s="24"/>
      <c r="O230" s="24"/>
      <c r="P230" s="33" t="str">
        <f aca="false">IF(AND(G230&lt;&gt;"",I230&lt;&gt;"",J230&lt;&gt;""),(J230-I230)*1440,"")</f>
        <v/>
      </c>
      <c r="Q230" s="33" t="str">
        <f aca="false">IF(AND(G230&lt;&gt;"",J230&lt;&gt;"",K230&lt;&gt;""),(K230-J230)*1440,"")</f>
        <v/>
      </c>
      <c r="R230" s="33" t="str">
        <f aca="false">IF(AND(G230&lt;&gt;"",K230&lt;&gt;"",L230&lt;&gt;""),(L230-K230)*1440,"")</f>
        <v/>
      </c>
      <c r="S230" s="33" t="str">
        <f aca="false">IF(AND(G230&lt;&gt;"",I230&lt;&gt;"",L230&lt;&gt;""),(L230-I230)*1440,"")</f>
        <v/>
      </c>
      <c r="T230" s="33" t="str">
        <f aca="false">IF(G230="","",IFERROR(INDEX(Settings!$B$5:$B$8,MATCH(G230,Settings!$A$5:$A$8,0)),""))</f>
        <v/>
      </c>
      <c r="U230" s="25" t="str">
        <f aca="false">IF(G230="","",IF(S230="","No",IF(S230&lt;=T230,"Yes","No")))</f>
        <v/>
      </c>
      <c r="V230" s="25" t="str">
        <f aca="false">IF(G230="","",IF(AND(J230="",K230="",L230=""),"Telemetry Blind Spot",IF(AND(K230="",L230=""),"Missed Alert",IF(L230="","Triage Delay",IF(S230&lt;=T230,"Detected - Within SLA",IF(AND(R230&lt;&gt;"",R230&gt;IFERROR(INDEX(Settings!$C$5:$C$8,MATCH(G230,Settings!$A$5:$A$8,0)),1E+099)),"Triage Delay","Detected - SLA Breach"))))))</f>
        <v/>
      </c>
      <c r="W230" s="25" t="str">
        <f aca="false">IF(G230="","",IF(L230&lt;&gt;"",1,0))</f>
        <v/>
      </c>
      <c r="X230" s="32"/>
      <c r="Y230" s="32"/>
      <c r="Z230" s="32"/>
      <c r="AA230" s="24"/>
      <c r="AB230" s="24"/>
      <c r="AC230" s="33" t="str">
        <f aca="false">IF(AND(G230&lt;&gt;"",L230&lt;&gt;"",X230&lt;&gt;""),(X230-L230)*1440,"")</f>
        <v/>
      </c>
      <c r="AD230" s="33" t="str">
        <f aca="false">IF(AND(G230&lt;&gt;"",X230&lt;&gt;"",Y230&lt;&gt;""),(Y230-X230)*1440,"")</f>
        <v/>
      </c>
      <c r="AE230" s="33" t="str">
        <f aca="false">IF(AND(G230&lt;&gt;"",Y230&lt;&gt;"",Z230&lt;&gt;""),(Z230-Y230)*1440,"")</f>
        <v/>
      </c>
      <c r="AF230" s="33" t="str">
        <f aca="false">IF(AND(G230&lt;&gt;"",L230&lt;&gt;"",Z230&lt;&gt;""),(Z230-L230)*1440,"")</f>
        <v/>
      </c>
      <c r="AG230" s="33" t="str">
        <f aca="false">IF(G230="","",IFERROR(INDEX(Settings!$D$5:$D$8,MATCH(G230,Settings!$A$5:$A$8,0)),""))</f>
        <v/>
      </c>
      <c r="AH230" s="25" t="str">
        <f aca="false">IF(G230="","",IF(AF230="","No",IF(AF230&lt;=AG230,"Yes","No")))</f>
        <v/>
      </c>
      <c r="AI230" s="25" t="str">
        <f aca="false">IF(G230="","",IF(L230="","N/A - Not Detected",IF(AND(X230="",Y230="",Z230=""),"No Containment Action",IF(Z230="",IF(Y230&lt;&gt;"","C2 Persisted","Host Isolation Gap"),IF(AF230&lt;=AG230,"Contained - Within SLA","Contained - SLA Breach")))))</f>
        <v/>
      </c>
      <c r="AJ230" s="25" t="str">
        <f aca="false">IF(G230="","",IF(Z230&lt;&gt;"",1,0))</f>
        <v/>
      </c>
      <c r="AK230" s="34"/>
      <c r="AL230" s="34"/>
      <c r="AM230" s="35"/>
      <c r="AN230" s="34"/>
      <c r="AO230" s="34"/>
      <c r="AP230" s="35"/>
      <c r="AQ230" s="34"/>
      <c r="AR230" s="34"/>
      <c r="AS230" s="34"/>
      <c r="AT230" s="35"/>
      <c r="AU230" s="35"/>
    </row>
    <row r="231" customFormat="false" ht="15" hidden="false" customHeight="false" outlineLevel="0" collapsed="false">
      <c r="A231" s="24"/>
      <c r="B231" s="24"/>
      <c r="C231" s="24"/>
      <c r="D231" s="24"/>
      <c r="E231" s="24"/>
      <c r="F231" s="24"/>
      <c r="G231" s="24"/>
      <c r="H231" s="24"/>
      <c r="I231" s="32"/>
      <c r="J231" s="32"/>
      <c r="K231" s="32"/>
      <c r="L231" s="32"/>
      <c r="M231" s="24"/>
      <c r="N231" s="24"/>
      <c r="O231" s="24"/>
      <c r="P231" s="33" t="str">
        <f aca="false">IF(AND(G231&lt;&gt;"",I231&lt;&gt;"",J231&lt;&gt;""),(J231-I231)*1440,"")</f>
        <v/>
      </c>
      <c r="Q231" s="33" t="str">
        <f aca="false">IF(AND(G231&lt;&gt;"",J231&lt;&gt;"",K231&lt;&gt;""),(K231-J231)*1440,"")</f>
        <v/>
      </c>
      <c r="R231" s="33" t="str">
        <f aca="false">IF(AND(G231&lt;&gt;"",K231&lt;&gt;"",L231&lt;&gt;""),(L231-K231)*1440,"")</f>
        <v/>
      </c>
      <c r="S231" s="33" t="str">
        <f aca="false">IF(AND(G231&lt;&gt;"",I231&lt;&gt;"",L231&lt;&gt;""),(L231-I231)*1440,"")</f>
        <v/>
      </c>
      <c r="T231" s="33" t="str">
        <f aca="false">IF(G231="","",IFERROR(INDEX(Settings!$B$5:$B$8,MATCH(G231,Settings!$A$5:$A$8,0)),""))</f>
        <v/>
      </c>
      <c r="U231" s="25" t="str">
        <f aca="false">IF(G231="","",IF(S231="","No",IF(S231&lt;=T231,"Yes","No")))</f>
        <v/>
      </c>
      <c r="V231" s="25" t="str">
        <f aca="false">IF(G231="","",IF(AND(J231="",K231="",L231=""),"Telemetry Blind Spot",IF(AND(K231="",L231=""),"Missed Alert",IF(L231="","Triage Delay",IF(S231&lt;=T231,"Detected - Within SLA",IF(AND(R231&lt;&gt;"",R231&gt;IFERROR(INDEX(Settings!$C$5:$C$8,MATCH(G231,Settings!$A$5:$A$8,0)),1E+099)),"Triage Delay","Detected - SLA Breach"))))))</f>
        <v/>
      </c>
      <c r="W231" s="25" t="str">
        <f aca="false">IF(G231="","",IF(L231&lt;&gt;"",1,0))</f>
        <v/>
      </c>
      <c r="X231" s="32"/>
      <c r="Y231" s="32"/>
      <c r="Z231" s="32"/>
      <c r="AA231" s="24"/>
      <c r="AB231" s="24"/>
      <c r="AC231" s="33" t="str">
        <f aca="false">IF(AND(G231&lt;&gt;"",L231&lt;&gt;"",X231&lt;&gt;""),(X231-L231)*1440,"")</f>
        <v/>
      </c>
      <c r="AD231" s="33" t="str">
        <f aca="false">IF(AND(G231&lt;&gt;"",X231&lt;&gt;"",Y231&lt;&gt;""),(Y231-X231)*1440,"")</f>
        <v/>
      </c>
      <c r="AE231" s="33" t="str">
        <f aca="false">IF(AND(G231&lt;&gt;"",Y231&lt;&gt;"",Z231&lt;&gt;""),(Z231-Y231)*1440,"")</f>
        <v/>
      </c>
      <c r="AF231" s="33" t="str">
        <f aca="false">IF(AND(G231&lt;&gt;"",L231&lt;&gt;"",Z231&lt;&gt;""),(Z231-L231)*1440,"")</f>
        <v/>
      </c>
      <c r="AG231" s="33" t="str">
        <f aca="false">IF(G231="","",IFERROR(INDEX(Settings!$D$5:$D$8,MATCH(G231,Settings!$A$5:$A$8,0)),""))</f>
        <v/>
      </c>
      <c r="AH231" s="25" t="str">
        <f aca="false">IF(G231="","",IF(AF231="","No",IF(AF231&lt;=AG231,"Yes","No")))</f>
        <v/>
      </c>
      <c r="AI231" s="25" t="str">
        <f aca="false">IF(G231="","",IF(L231="","N/A - Not Detected",IF(AND(X231="",Y231="",Z231=""),"No Containment Action",IF(Z231="",IF(Y231&lt;&gt;"","C2 Persisted","Host Isolation Gap"),IF(AF231&lt;=AG231,"Contained - Within SLA","Contained - SLA Breach")))))</f>
        <v/>
      </c>
      <c r="AJ231" s="25" t="str">
        <f aca="false">IF(G231="","",IF(Z231&lt;&gt;"",1,0))</f>
        <v/>
      </c>
      <c r="AK231" s="34"/>
      <c r="AL231" s="34"/>
      <c r="AM231" s="35"/>
      <c r="AN231" s="34"/>
      <c r="AO231" s="34"/>
      <c r="AP231" s="35"/>
      <c r="AQ231" s="34"/>
      <c r="AR231" s="34"/>
      <c r="AS231" s="34"/>
      <c r="AT231" s="35"/>
      <c r="AU231" s="35"/>
    </row>
    <row r="232" customFormat="false" ht="15" hidden="false" customHeight="false" outlineLevel="0" collapsed="false">
      <c r="A232" s="24"/>
      <c r="B232" s="24"/>
      <c r="C232" s="24"/>
      <c r="D232" s="24"/>
      <c r="E232" s="24"/>
      <c r="F232" s="24"/>
      <c r="G232" s="24"/>
      <c r="H232" s="24"/>
      <c r="I232" s="32"/>
      <c r="J232" s="32"/>
      <c r="K232" s="32"/>
      <c r="L232" s="32"/>
      <c r="M232" s="24"/>
      <c r="N232" s="24"/>
      <c r="O232" s="24"/>
      <c r="P232" s="33" t="str">
        <f aca="false">IF(AND(G232&lt;&gt;"",I232&lt;&gt;"",J232&lt;&gt;""),(J232-I232)*1440,"")</f>
        <v/>
      </c>
      <c r="Q232" s="33" t="str">
        <f aca="false">IF(AND(G232&lt;&gt;"",J232&lt;&gt;"",K232&lt;&gt;""),(K232-J232)*1440,"")</f>
        <v/>
      </c>
      <c r="R232" s="33" t="str">
        <f aca="false">IF(AND(G232&lt;&gt;"",K232&lt;&gt;"",L232&lt;&gt;""),(L232-K232)*1440,"")</f>
        <v/>
      </c>
      <c r="S232" s="33" t="str">
        <f aca="false">IF(AND(G232&lt;&gt;"",I232&lt;&gt;"",L232&lt;&gt;""),(L232-I232)*1440,"")</f>
        <v/>
      </c>
      <c r="T232" s="33" t="str">
        <f aca="false">IF(G232="","",IFERROR(INDEX(Settings!$B$5:$B$8,MATCH(G232,Settings!$A$5:$A$8,0)),""))</f>
        <v/>
      </c>
      <c r="U232" s="25" t="str">
        <f aca="false">IF(G232="","",IF(S232="","No",IF(S232&lt;=T232,"Yes","No")))</f>
        <v/>
      </c>
      <c r="V232" s="25" t="str">
        <f aca="false">IF(G232="","",IF(AND(J232="",K232="",L232=""),"Telemetry Blind Spot",IF(AND(K232="",L232=""),"Missed Alert",IF(L232="","Triage Delay",IF(S232&lt;=T232,"Detected - Within SLA",IF(AND(R232&lt;&gt;"",R232&gt;IFERROR(INDEX(Settings!$C$5:$C$8,MATCH(G232,Settings!$A$5:$A$8,0)),1E+099)),"Triage Delay","Detected - SLA Breach"))))))</f>
        <v/>
      </c>
      <c r="W232" s="25" t="str">
        <f aca="false">IF(G232="","",IF(L232&lt;&gt;"",1,0))</f>
        <v/>
      </c>
      <c r="X232" s="32"/>
      <c r="Y232" s="32"/>
      <c r="Z232" s="32"/>
      <c r="AA232" s="24"/>
      <c r="AB232" s="24"/>
      <c r="AC232" s="33" t="str">
        <f aca="false">IF(AND(G232&lt;&gt;"",L232&lt;&gt;"",X232&lt;&gt;""),(X232-L232)*1440,"")</f>
        <v/>
      </c>
      <c r="AD232" s="33" t="str">
        <f aca="false">IF(AND(G232&lt;&gt;"",X232&lt;&gt;"",Y232&lt;&gt;""),(Y232-X232)*1440,"")</f>
        <v/>
      </c>
      <c r="AE232" s="33" t="str">
        <f aca="false">IF(AND(G232&lt;&gt;"",Y232&lt;&gt;"",Z232&lt;&gt;""),(Z232-Y232)*1440,"")</f>
        <v/>
      </c>
      <c r="AF232" s="33" t="str">
        <f aca="false">IF(AND(G232&lt;&gt;"",L232&lt;&gt;"",Z232&lt;&gt;""),(Z232-L232)*1440,"")</f>
        <v/>
      </c>
      <c r="AG232" s="33" t="str">
        <f aca="false">IF(G232="","",IFERROR(INDEX(Settings!$D$5:$D$8,MATCH(G232,Settings!$A$5:$A$8,0)),""))</f>
        <v/>
      </c>
      <c r="AH232" s="25" t="str">
        <f aca="false">IF(G232="","",IF(AF232="","No",IF(AF232&lt;=AG232,"Yes","No")))</f>
        <v/>
      </c>
      <c r="AI232" s="25" t="str">
        <f aca="false">IF(G232="","",IF(L232="","N/A - Not Detected",IF(AND(X232="",Y232="",Z232=""),"No Containment Action",IF(Z232="",IF(Y232&lt;&gt;"","C2 Persisted","Host Isolation Gap"),IF(AF232&lt;=AG232,"Contained - Within SLA","Contained - SLA Breach")))))</f>
        <v/>
      </c>
      <c r="AJ232" s="25" t="str">
        <f aca="false">IF(G232="","",IF(Z232&lt;&gt;"",1,0))</f>
        <v/>
      </c>
      <c r="AK232" s="34"/>
      <c r="AL232" s="34"/>
      <c r="AM232" s="35"/>
      <c r="AN232" s="34"/>
      <c r="AO232" s="34"/>
      <c r="AP232" s="35"/>
      <c r="AQ232" s="34"/>
      <c r="AR232" s="34"/>
      <c r="AS232" s="34"/>
      <c r="AT232" s="35"/>
      <c r="AU232" s="35"/>
    </row>
    <row r="233" customFormat="false" ht="15" hidden="false" customHeight="false" outlineLevel="0" collapsed="false">
      <c r="A233" s="24"/>
      <c r="B233" s="24"/>
      <c r="C233" s="24"/>
      <c r="D233" s="24"/>
      <c r="E233" s="24"/>
      <c r="F233" s="24"/>
      <c r="G233" s="24"/>
      <c r="H233" s="24"/>
      <c r="I233" s="32"/>
      <c r="J233" s="32"/>
      <c r="K233" s="32"/>
      <c r="L233" s="32"/>
      <c r="M233" s="24"/>
      <c r="N233" s="24"/>
      <c r="O233" s="24"/>
      <c r="P233" s="33" t="str">
        <f aca="false">IF(AND(G233&lt;&gt;"",I233&lt;&gt;"",J233&lt;&gt;""),(J233-I233)*1440,"")</f>
        <v/>
      </c>
      <c r="Q233" s="33" t="str">
        <f aca="false">IF(AND(G233&lt;&gt;"",J233&lt;&gt;"",K233&lt;&gt;""),(K233-J233)*1440,"")</f>
        <v/>
      </c>
      <c r="R233" s="33" t="str">
        <f aca="false">IF(AND(G233&lt;&gt;"",K233&lt;&gt;"",L233&lt;&gt;""),(L233-K233)*1440,"")</f>
        <v/>
      </c>
      <c r="S233" s="33" t="str">
        <f aca="false">IF(AND(G233&lt;&gt;"",I233&lt;&gt;"",L233&lt;&gt;""),(L233-I233)*1440,"")</f>
        <v/>
      </c>
      <c r="T233" s="33" t="str">
        <f aca="false">IF(G233="","",IFERROR(INDEX(Settings!$B$5:$B$8,MATCH(G233,Settings!$A$5:$A$8,0)),""))</f>
        <v/>
      </c>
      <c r="U233" s="25" t="str">
        <f aca="false">IF(G233="","",IF(S233="","No",IF(S233&lt;=T233,"Yes","No")))</f>
        <v/>
      </c>
      <c r="V233" s="25" t="str">
        <f aca="false">IF(G233="","",IF(AND(J233="",K233="",L233=""),"Telemetry Blind Spot",IF(AND(K233="",L233=""),"Missed Alert",IF(L233="","Triage Delay",IF(S233&lt;=T233,"Detected - Within SLA",IF(AND(R233&lt;&gt;"",R233&gt;IFERROR(INDEX(Settings!$C$5:$C$8,MATCH(G233,Settings!$A$5:$A$8,0)),1E+099)),"Triage Delay","Detected - SLA Breach"))))))</f>
        <v/>
      </c>
      <c r="W233" s="25" t="str">
        <f aca="false">IF(G233="","",IF(L233&lt;&gt;"",1,0))</f>
        <v/>
      </c>
      <c r="X233" s="32"/>
      <c r="Y233" s="32"/>
      <c r="Z233" s="32"/>
      <c r="AA233" s="24"/>
      <c r="AB233" s="24"/>
      <c r="AC233" s="33" t="str">
        <f aca="false">IF(AND(G233&lt;&gt;"",L233&lt;&gt;"",X233&lt;&gt;""),(X233-L233)*1440,"")</f>
        <v/>
      </c>
      <c r="AD233" s="33" t="str">
        <f aca="false">IF(AND(G233&lt;&gt;"",X233&lt;&gt;"",Y233&lt;&gt;""),(Y233-X233)*1440,"")</f>
        <v/>
      </c>
      <c r="AE233" s="33" t="str">
        <f aca="false">IF(AND(G233&lt;&gt;"",Y233&lt;&gt;"",Z233&lt;&gt;""),(Z233-Y233)*1440,"")</f>
        <v/>
      </c>
      <c r="AF233" s="33" t="str">
        <f aca="false">IF(AND(G233&lt;&gt;"",L233&lt;&gt;"",Z233&lt;&gt;""),(Z233-L233)*1440,"")</f>
        <v/>
      </c>
      <c r="AG233" s="33" t="str">
        <f aca="false">IF(G233="","",IFERROR(INDEX(Settings!$D$5:$D$8,MATCH(G233,Settings!$A$5:$A$8,0)),""))</f>
        <v/>
      </c>
      <c r="AH233" s="25" t="str">
        <f aca="false">IF(G233="","",IF(AF233="","No",IF(AF233&lt;=AG233,"Yes","No")))</f>
        <v/>
      </c>
      <c r="AI233" s="25" t="str">
        <f aca="false">IF(G233="","",IF(L233="","N/A - Not Detected",IF(AND(X233="",Y233="",Z233=""),"No Containment Action",IF(Z233="",IF(Y233&lt;&gt;"","C2 Persisted","Host Isolation Gap"),IF(AF233&lt;=AG233,"Contained - Within SLA","Contained - SLA Breach")))))</f>
        <v/>
      </c>
      <c r="AJ233" s="25" t="str">
        <f aca="false">IF(G233="","",IF(Z233&lt;&gt;"",1,0))</f>
        <v/>
      </c>
      <c r="AK233" s="34"/>
      <c r="AL233" s="34"/>
      <c r="AM233" s="35"/>
      <c r="AN233" s="34"/>
      <c r="AO233" s="34"/>
      <c r="AP233" s="35"/>
      <c r="AQ233" s="34"/>
      <c r="AR233" s="34"/>
      <c r="AS233" s="34"/>
      <c r="AT233" s="35"/>
      <c r="AU233" s="35"/>
    </row>
    <row r="234" customFormat="false" ht="15" hidden="false" customHeight="false" outlineLevel="0" collapsed="false">
      <c r="A234" s="24"/>
      <c r="B234" s="24"/>
      <c r="C234" s="24"/>
      <c r="D234" s="24"/>
      <c r="E234" s="24"/>
      <c r="F234" s="24"/>
      <c r="G234" s="24"/>
      <c r="H234" s="24"/>
      <c r="I234" s="32"/>
      <c r="J234" s="32"/>
      <c r="K234" s="32"/>
      <c r="L234" s="32"/>
      <c r="M234" s="24"/>
      <c r="N234" s="24"/>
      <c r="O234" s="24"/>
      <c r="P234" s="33" t="str">
        <f aca="false">IF(AND(G234&lt;&gt;"",I234&lt;&gt;"",J234&lt;&gt;""),(J234-I234)*1440,"")</f>
        <v/>
      </c>
      <c r="Q234" s="33" t="str">
        <f aca="false">IF(AND(G234&lt;&gt;"",J234&lt;&gt;"",K234&lt;&gt;""),(K234-J234)*1440,"")</f>
        <v/>
      </c>
      <c r="R234" s="33" t="str">
        <f aca="false">IF(AND(G234&lt;&gt;"",K234&lt;&gt;"",L234&lt;&gt;""),(L234-K234)*1440,"")</f>
        <v/>
      </c>
      <c r="S234" s="33" t="str">
        <f aca="false">IF(AND(G234&lt;&gt;"",I234&lt;&gt;"",L234&lt;&gt;""),(L234-I234)*1440,"")</f>
        <v/>
      </c>
      <c r="T234" s="33" t="str">
        <f aca="false">IF(G234="","",IFERROR(INDEX(Settings!$B$5:$B$8,MATCH(G234,Settings!$A$5:$A$8,0)),""))</f>
        <v/>
      </c>
      <c r="U234" s="25" t="str">
        <f aca="false">IF(G234="","",IF(S234="","No",IF(S234&lt;=T234,"Yes","No")))</f>
        <v/>
      </c>
      <c r="V234" s="25" t="str">
        <f aca="false">IF(G234="","",IF(AND(J234="",K234="",L234=""),"Telemetry Blind Spot",IF(AND(K234="",L234=""),"Missed Alert",IF(L234="","Triage Delay",IF(S234&lt;=T234,"Detected - Within SLA",IF(AND(R234&lt;&gt;"",R234&gt;IFERROR(INDEX(Settings!$C$5:$C$8,MATCH(G234,Settings!$A$5:$A$8,0)),1E+099)),"Triage Delay","Detected - SLA Breach"))))))</f>
        <v/>
      </c>
      <c r="W234" s="25" t="str">
        <f aca="false">IF(G234="","",IF(L234&lt;&gt;"",1,0))</f>
        <v/>
      </c>
      <c r="X234" s="32"/>
      <c r="Y234" s="32"/>
      <c r="Z234" s="32"/>
      <c r="AA234" s="24"/>
      <c r="AB234" s="24"/>
      <c r="AC234" s="33" t="str">
        <f aca="false">IF(AND(G234&lt;&gt;"",L234&lt;&gt;"",X234&lt;&gt;""),(X234-L234)*1440,"")</f>
        <v/>
      </c>
      <c r="AD234" s="33" t="str">
        <f aca="false">IF(AND(G234&lt;&gt;"",X234&lt;&gt;"",Y234&lt;&gt;""),(Y234-X234)*1440,"")</f>
        <v/>
      </c>
      <c r="AE234" s="33" t="str">
        <f aca="false">IF(AND(G234&lt;&gt;"",Y234&lt;&gt;"",Z234&lt;&gt;""),(Z234-Y234)*1440,"")</f>
        <v/>
      </c>
      <c r="AF234" s="33" t="str">
        <f aca="false">IF(AND(G234&lt;&gt;"",L234&lt;&gt;"",Z234&lt;&gt;""),(Z234-L234)*1440,"")</f>
        <v/>
      </c>
      <c r="AG234" s="33" t="str">
        <f aca="false">IF(G234="","",IFERROR(INDEX(Settings!$D$5:$D$8,MATCH(G234,Settings!$A$5:$A$8,0)),""))</f>
        <v/>
      </c>
      <c r="AH234" s="25" t="str">
        <f aca="false">IF(G234="","",IF(AF234="","No",IF(AF234&lt;=AG234,"Yes","No")))</f>
        <v/>
      </c>
      <c r="AI234" s="25" t="str">
        <f aca="false">IF(G234="","",IF(L234="","N/A - Not Detected",IF(AND(X234="",Y234="",Z234=""),"No Containment Action",IF(Z234="",IF(Y234&lt;&gt;"","C2 Persisted","Host Isolation Gap"),IF(AF234&lt;=AG234,"Contained - Within SLA","Contained - SLA Breach")))))</f>
        <v/>
      </c>
      <c r="AJ234" s="25" t="str">
        <f aca="false">IF(G234="","",IF(Z234&lt;&gt;"",1,0))</f>
        <v/>
      </c>
      <c r="AK234" s="34"/>
      <c r="AL234" s="34"/>
      <c r="AM234" s="35"/>
      <c r="AN234" s="34"/>
      <c r="AO234" s="34"/>
      <c r="AP234" s="35"/>
      <c r="AQ234" s="34"/>
      <c r="AR234" s="34"/>
      <c r="AS234" s="34"/>
      <c r="AT234" s="35"/>
      <c r="AU234" s="35"/>
    </row>
    <row r="235" customFormat="false" ht="15" hidden="false" customHeight="false" outlineLevel="0" collapsed="false">
      <c r="A235" s="24"/>
      <c r="B235" s="24"/>
      <c r="C235" s="24"/>
      <c r="D235" s="24"/>
      <c r="E235" s="24"/>
      <c r="F235" s="24"/>
      <c r="G235" s="24"/>
      <c r="H235" s="24"/>
      <c r="I235" s="32"/>
      <c r="J235" s="32"/>
      <c r="K235" s="32"/>
      <c r="L235" s="32"/>
      <c r="M235" s="24"/>
      <c r="N235" s="24"/>
      <c r="O235" s="24"/>
      <c r="P235" s="33" t="str">
        <f aca="false">IF(AND(G235&lt;&gt;"",I235&lt;&gt;"",J235&lt;&gt;""),(J235-I235)*1440,"")</f>
        <v/>
      </c>
      <c r="Q235" s="33" t="str">
        <f aca="false">IF(AND(G235&lt;&gt;"",J235&lt;&gt;"",K235&lt;&gt;""),(K235-J235)*1440,"")</f>
        <v/>
      </c>
      <c r="R235" s="33" t="str">
        <f aca="false">IF(AND(G235&lt;&gt;"",K235&lt;&gt;"",L235&lt;&gt;""),(L235-K235)*1440,"")</f>
        <v/>
      </c>
      <c r="S235" s="33" t="str">
        <f aca="false">IF(AND(G235&lt;&gt;"",I235&lt;&gt;"",L235&lt;&gt;""),(L235-I235)*1440,"")</f>
        <v/>
      </c>
      <c r="T235" s="33" t="str">
        <f aca="false">IF(G235="","",IFERROR(INDEX(Settings!$B$5:$B$8,MATCH(G235,Settings!$A$5:$A$8,0)),""))</f>
        <v/>
      </c>
      <c r="U235" s="25" t="str">
        <f aca="false">IF(G235="","",IF(S235="","No",IF(S235&lt;=T235,"Yes","No")))</f>
        <v/>
      </c>
      <c r="V235" s="25" t="str">
        <f aca="false">IF(G235="","",IF(AND(J235="",K235="",L235=""),"Telemetry Blind Spot",IF(AND(K235="",L235=""),"Missed Alert",IF(L235="","Triage Delay",IF(S235&lt;=T235,"Detected - Within SLA",IF(AND(R235&lt;&gt;"",R235&gt;IFERROR(INDEX(Settings!$C$5:$C$8,MATCH(G235,Settings!$A$5:$A$8,0)),1E+099)),"Triage Delay","Detected - SLA Breach"))))))</f>
        <v/>
      </c>
      <c r="W235" s="25" t="str">
        <f aca="false">IF(G235="","",IF(L235&lt;&gt;"",1,0))</f>
        <v/>
      </c>
      <c r="X235" s="32"/>
      <c r="Y235" s="32"/>
      <c r="Z235" s="32"/>
      <c r="AA235" s="24"/>
      <c r="AB235" s="24"/>
      <c r="AC235" s="33" t="str">
        <f aca="false">IF(AND(G235&lt;&gt;"",L235&lt;&gt;"",X235&lt;&gt;""),(X235-L235)*1440,"")</f>
        <v/>
      </c>
      <c r="AD235" s="33" t="str">
        <f aca="false">IF(AND(G235&lt;&gt;"",X235&lt;&gt;"",Y235&lt;&gt;""),(Y235-X235)*1440,"")</f>
        <v/>
      </c>
      <c r="AE235" s="33" t="str">
        <f aca="false">IF(AND(G235&lt;&gt;"",Y235&lt;&gt;"",Z235&lt;&gt;""),(Z235-Y235)*1440,"")</f>
        <v/>
      </c>
      <c r="AF235" s="33" t="str">
        <f aca="false">IF(AND(G235&lt;&gt;"",L235&lt;&gt;"",Z235&lt;&gt;""),(Z235-L235)*1440,"")</f>
        <v/>
      </c>
      <c r="AG235" s="33" t="str">
        <f aca="false">IF(G235="","",IFERROR(INDEX(Settings!$D$5:$D$8,MATCH(G235,Settings!$A$5:$A$8,0)),""))</f>
        <v/>
      </c>
      <c r="AH235" s="25" t="str">
        <f aca="false">IF(G235="","",IF(AF235="","No",IF(AF235&lt;=AG235,"Yes","No")))</f>
        <v/>
      </c>
      <c r="AI235" s="25" t="str">
        <f aca="false">IF(G235="","",IF(L235="","N/A - Not Detected",IF(AND(X235="",Y235="",Z235=""),"No Containment Action",IF(Z235="",IF(Y235&lt;&gt;"","C2 Persisted","Host Isolation Gap"),IF(AF235&lt;=AG235,"Contained - Within SLA","Contained - SLA Breach")))))</f>
        <v/>
      </c>
      <c r="AJ235" s="25" t="str">
        <f aca="false">IF(G235="","",IF(Z235&lt;&gt;"",1,0))</f>
        <v/>
      </c>
      <c r="AK235" s="34"/>
      <c r="AL235" s="34"/>
      <c r="AM235" s="35"/>
      <c r="AN235" s="34"/>
      <c r="AO235" s="34"/>
      <c r="AP235" s="35"/>
      <c r="AQ235" s="34"/>
      <c r="AR235" s="34"/>
      <c r="AS235" s="34"/>
      <c r="AT235" s="35"/>
      <c r="AU235" s="35"/>
    </row>
    <row r="236" customFormat="false" ht="15" hidden="false" customHeight="false" outlineLevel="0" collapsed="false">
      <c r="A236" s="24"/>
      <c r="B236" s="24"/>
      <c r="C236" s="24"/>
      <c r="D236" s="24"/>
      <c r="E236" s="24"/>
      <c r="F236" s="24"/>
      <c r="G236" s="24"/>
      <c r="H236" s="24"/>
      <c r="I236" s="32"/>
      <c r="J236" s="32"/>
      <c r="K236" s="32"/>
      <c r="L236" s="32"/>
      <c r="M236" s="24"/>
      <c r="N236" s="24"/>
      <c r="O236" s="24"/>
      <c r="P236" s="33" t="str">
        <f aca="false">IF(AND(G236&lt;&gt;"",I236&lt;&gt;"",J236&lt;&gt;""),(J236-I236)*1440,"")</f>
        <v/>
      </c>
      <c r="Q236" s="33" t="str">
        <f aca="false">IF(AND(G236&lt;&gt;"",J236&lt;&gt;"",K236&lt;&gt;""),(K236-J236)*1440,"")</f>
        <v/>
      </c>
      <c r="R236" s="33" t="str">
        <f aca="false">IF(AND(G236&lt;&gt;"",K236&lt;&gt;"",L236&lt;&gt;""),(L236-K236)*1440,"")</f>
        <v/>
      </c>
      <c r="S236" s="33" t="str">
        <f aca="false">IF(AND(G236&lt;&gt;"",I236&lt;&gt;"",L236&lt;&gt;""),(L236-I236)*1440,"")</f>
        <v/>
      </c>
      <c r="T236" s="33" t="str">
        <f aca="false">IF(G236="","",IFERROR(INDEX(Settings!$B$5:$B$8,MATCH(G236,Settings!$A$5:$A$8,0)),""))</f>
        <v/>
      </c>
      <c r="U236" s="25" t="str">
        <f aca="false">IF(G236="","",IF(S236="","No",IF(S236&lt;=T236,"Yes","No")))</f>
        <v/>
      </c>
      <c r="V236" s="25" t="str">
        <f aca="false">IF(G236="","",IF(AND(J236="",K236="",L236=""),"Telemetry Blind Spot",IF(AND(K236="",L236=""),"Missed Alert",IF(L236="","Triage Delay",IF(S236&lt;=T236,"Detected - Within SLA",IF(AND(R236&lt;&gt;"",R236&gt;IFERROR(INDEX(Settings!$C$5:$C$8,MATCH(G236,Settings!$A$5:$A$8,0)),1E+099)),"Triage Delay","Detected - SLA Breach"))))))</f>
        <v/>
      </c>
      <c r="W236" s="25" t="str">
        <f aca="false">IF(G236="","",IF(L236&lt;&gt;"",1,0))</f>
        <v/>
      </c>
      <c r="X236" s="32"/>
      <c r="Y236" s="32"/>
      <c r="Z236" s="32"/>
      <c r="AA236" s="24"/>
      <c r="AB236" s="24"/>
      <c r="AC236" s="33" t="str">
        <f aca="false">IF(AND(G236&lt;&gt;"",L236&lt;&gt;"",X236&lt;&gt;""),(X236-L236)*1440,"")</f>
        <v/>
      </c>
      <c r="AD236" s="33" t="str">
        <f aca="false">IF(AND(G236&lt;&gt;"",X236&lt;&gt;"",Y236&lt;&gt;""),(Y236-X236)*1440,"")</f>
        <v/>
      </c>
      <c r="AE236" s="33" t="str">
        <f aca="false">IF(AND(G236&lt;&gt;"",Y236&lt;&gt;"",Z236&lt;&gt;""),(Z236-Y236)*1440,"")</f>
        <v/>
      </c>
      <c r="AF236" s="33" t="str">
        <f aca="false">IF(AND(G236&lt;&gt;"",L236&lt;&gt;"",Z236&lt;&gt;""),(Z236-L236)*1440,"")</f>
        <v/>
      </c>
      <c r="AG236" s="33" t="str">
        <f aca="false">IF(G236="","",IFERROR(INDEX(Settings!$D$5:$D$8,MATCH(G236,Settings!$A$5:$A$8,0)),""))</f>
        <v/>
      </c>
      <c r="AH236" s="25" t="str">
        <f aca="false">IF(G236="","",IF(AF236="","No",IF(AF236&lt;=AG236,"Yes","No")))</f>
        <v/>
      </c>
      <c r="AI236" s="25" t="str">
        <f aca="false">IF(G236="","",IF(L236="","N/A - Not Detected",IF(AND(X236="",Y236="",Z236=""),"No Containment Action",IF(Z236="",IF(Y236&lt;&gt;"","C2 Persisted","Host Isolation Gap"),IF(AF236&lt;=AG236,"Contained - Within SLA","Contained - SLA Breach")))))</f>
        <v/>
      </c>
      <c r="AJ236" s="25" t="str">
        <f aca="false">IF(G236="","",IF(Z236&lt;&gt;"",1,0))</f>
        <v/>
      </c>
      <c r="AK236" s="34"/>
      <c r="AL236" s="34"/>
      <c r="AM236" s="35"/>
      <c r="AN236" s="34"/>
      <c r="AO236" s="34"/>
      <c r="AP236" s="35"/>
      <c r="AQ236" s="34"/>
      <c r="AR236" s="34"/>
      <c r="AS236" s="34"/>
      <c r="AT236" s="35"/>
      <c r="AU236" s="35"/>
    </row>
    <row r="237" customFormat="false" ht="15" hidden="false" customHeight="false" outlineLevel="0" collapsed="false">
      <c r="A237" s="24"/>
      <c r="B237" s="24"/>
      <c r="C237" s="24"/>
      <c r="D237" s="24"/>
      <c r="E237" s="24"/>
      <c r="F237" s="24"/>
      <c r="G237" s="24"/>
      <c r="H237" s="24"/>
      <c r="I237" s="32"/>
      <c r="J237" s="32"/>
      <c r="K237" s="32"/>
      <c r="L237" s="32"/>
      <c r="M237" s="24"/>
      <c r="N237" s="24"/>
      <c r="O237" s="24"/>
      <c r="P237" s="33" t="str">
        <f aca="false">IF(AND(G237&lt;&gt;"",I237&lt;&gt;"",J237&lt;&gt;""),(J237-I237)*1440,"")</f>
        <v/>
      </c>
      <c r="Q237" s="33" t="str">
        <f aca="false">IF(AND(G237&lt;&gt;"",J237&lt;&gt;"",K237&lt;&gt;""),(K237-J237)*1440,"")</f>
        <v/>
      </c>
      <c r="R237" s="33" t="str">
        <f aca="false">IF(AND(G237&lt;&gt;"",K237&lt;&gt;"",L237&lt;&gt;""),(L237-K237)*1440,"")</f>
        <v/>
      </c>
      <c r="S237" s="33" t="str">
        <f aca="false">IF(AND(G237&lt;&gt;"",I237&lt;&gt;"",L237&lt;&gt;""),(L237-I237)*1440,"")</f>
        <v/>
      </c>
      <c r="T237" s="33" t="str">
        <f aca="false">IF(G237="","",IFERROR(INDEX(Settings!$B$5:$B$8,MATCH(G237,Settings!$A$5:$A$8,0)),""))</f>
        <v/>
      </c>
      <c r="U237" s="25" t="str">
        <f aca="false">IF(G237="","",IF(S237="","No",IF(S237&lt;=T237,"Yes","No")))</f>
        <v/>
      </c>
      <c r="V237" s="25" t="str">
        <f aca="false">IF(G237="","",IF(AND(J237="",K237="",L237=""),"Telemetry Blind Spot",IF(AND(K237="",L237=""),"Missed Alert",IF(L237="","Triage Delay",IF(S237&lt;=T237,"Detected - Within SLA",IF(AND(R237&lt;&gt;"",R237&gt;IFERROR(INDEX(Settings!$C$5:$C$8,MATCH(G237,Settings!$A$5:$A$8,0)),1E+099)),"Triage Delay","Detected - SLA Breach"))))))</f>
        <v/>
      </c>
      <c r="W237" s="25" t="str">
        <f aca="false">IF(G237="","",IF(L237&lt;&gt;"",1,0))</f>
        <v/>
      </c>
      <c r="X237" s="32"/>
      <c r="Y237" s="32"/>
      <c r="Z237" s="32"/>
      <c r="AA237" s="24"/>
      <c r="AB237" s="24"/>
      <c r="AC237" s="33" t="str">
        <f aca="false">IF(AND(G237&lt;&gt;"",L237&lt;&gt;"",X237&lt;&gt;""),(X237-L237)*1440,"")</f>
        <v/>
      </c>
      <c r="AD237" s="33" t="str">
        <f aca="false">IF(AND(G237&lt;&gt;"",X237&lt;&gt;"",Y237&lt;&gt;""),(Y237-X237)*1440,"")</f>
        <v/>
      </c>
      <c r="AE237" s="33" t="str">
        <f aca="false">IF(AND(G237&lt;&gt;"",Y237&lt;&gt;"",Z237&lt;&gt;""),(Z237-Y237)*1440,"")</f>
        <v/>
      </c>
      <c r="AF237" s="33" t="str">
        <f aca="false">IF(AND(G237&lt;&gt;"",L237&lt;&gt;"",Z237&lt;&gt;""),(Z237-L237)*1440,"")</f>
        <v/>
      </c>
      <c r="AG237" s="33" t="str">
        <f aca="false">IF(G237="","",IFERROR(INDEX(Settings!$D$5:$D$8,MATCH(G237,Settings!$A$5:$A$8,0)),""))</f>
        <v/>
      </c>
      <c r="AH237" s="25" t="str">
        <f aca="false">IF(G237="","",IF(AF237="","No",IF(AF237&lt;=AG237,"Yes","No")))</f>
        <v/>
      </c>
      <c r="AI237" s="25" t="str">
        <f aca="false">IF(G237="","",IF(L237="","N/A - Not Detected",IF(AND(X237="",Y237="",Z237=""),"No Containment Action",IF(Z237="",IF(Y237&lt;&gt;"","C2 Persisted","Host Isolation Gap"),IF(AF237&lt;=AG237,"Contained - Within SLA","Contained - SLA Breach")))))</f>
        <v/>
      </c>
      <c r="AJ237" s="25" t="str">
        <f aca="false">IF(G237="","",IF(Z237&lt;&gt;"",1,0))</f>
        <v/>
      </c>
      <c r="AK237" s="34"/>
      <c r="AL237" s="34"/>
      <c r="AM237" s="35"/>
      <c r="AN237" s="34"/>
      <c r="AO237" s="34"/>
      <c r="AP237" s="35"/>
      <c r="AQ237" s="34"/>
      <c r="AR237" s="34"/>
      <c r="AS237" s="34"/>
      <c r="AT237" s="35"/>
      <c r="AU237" s="35"/>
    </row>
    <row r="238" customFormat="false" ht="15" hidden="false" customHeight="false" outlineLevel="0" collapsed="false">
      <c r="A238" s="24"/>
      <c r="B238" s="24"/>
      <c r="C238" s="24"/>
      <c r="D238" s="24"/>
      <c r="E238" s="24"/>
      <c r="F238" s="24"/>
      <c r="G238" s="24"/>
      <c r="H238" s="24"/>
      <c r="I238" s="32"/>
      <c r="J238" s="32"/>
      <c r="K238" s="32"/>
      <c r="L238" s="32"/>
      <c r="M238" s="24"/>
      <c r="N238" s="24"/>
      <c r="O238" s="24"/>
      <c r="P238" s="33" t="str">
        <f aca="false">IF(AND(G238&lt;&gt;"",I238&lt;&gt;"",J238&lt;&gt;""),(J238-I238)*1440,"")</f>
        <v/>
      </c>
      <c r="Q238" s="33" t="str">
        <f aca="false">IF(AND(G238&lt;&gt;"",J238&lt;&gt;"",K238&lt;&gt;""),(K238-J238)*1440,"")</f>
        <v/>
      </c>
      <c r="R238" s="33" t="str">
        <f aca="false">IF(AND(G238&lt;&gt;"",K238&lt;&gt;"",L238&lt;&gt;""),(L238-K238)*1440,"")</f>
        <v/>
      </c>
      <c r="S238" s="33" t="str">
        <f aca="false">IF(AND(G238&lt;&gt;"",I238&lt;&gt;"",L238&lt;&gt;""),(L238-I238)*1440,"")</f>
        <v/>
      </c>
      <c r="T238" s="33" t="str">
        <f aca="false">IF(G238="","",IFERROR(INDEX(Settings!$B$5:$B$8,MATCH(G238,Settings!$A$5:$A$8,0)),""))</f>
        <v/>
      </c>
      <c r="U238" s="25" t="str">
        <f aca="false">IF(G238="","",IF(S238="","No",IF(S238&lt;=T238,"Yes","No")))</f>
        <v/>
      </c>
      <c r="V238" s="25" t="str">
        <f aca="false">IF(G238="","",IF(AND(J238="",K238="",L238=""),"Telemetry Blind Spot",IF(AND(K238="",L238=""),"Missed Alert",IF(L238="","Triage Delay",IF(S238&lt;=T238,"Detected - Within SLA",IF(AND(R238&lt;&gt;"",R238&gt;IFERROR(INDEX(Settings!$C$5:$C$8,MATCH(G238,Settings!$A$5:$A$8,0)),1E+099)),"Triage Delay","Detected - SLA Breach"))))))</f>
        <v/>
      </c>
      <c r="W238" s="25" t="str">
        <f aca="false">IF(G238="","",IF(L238&lt;&gt;"",1,0))</f>
        <v/>
      </c>
      <c r="X238" s="32"/>
      <c r="Y238" s="32"/>
      <c r="Z238" s="32"/>
      <c r="AA238" s="24"/>
      <c r="AB238" s="24"/>
      <c r="AC238" s="33" t="str">
        <f aca="false">IF(AND(G238&lt;&gt;"",L238&lt;&gt;"",X238&lt;&gt;""),(X238-L238)*1440,"")</f>
        <v/>
      </c>
      <c r="AD238" s="33" t="str">
        <f aca="false">IF(AND(G238&lt;&gt;"",X238&lt;&gt;"",Y238&lt;&gt;""),(Y238-X238)*1440,"")</f>
        <v/>
      </c>
      <c r="AE238" s="33" t="str">
        <f aca="false">IF(AND(G238&lt;&gt;"",Y238&lt;&gt;"",Z238&lt;&gt;""),(Z238-Y238)*1440,"")</f>
        <v/>
      </c>
      <c r="AF238" s="33" t="str">
        <f aca="false">IF(AND(G238&lt;&gt;"",L238&lt;&gt;"",Z238&lt;&gt;""),(Z238-L238)*1440,"")</f>
        <v/>
      </c>
      <c r="AG238" s="33" t="str">
        <f aca="false">IF(G238="","",IFERROR(INDEX(Settings!$D$5:$D$8,MATCH(G238,Settings!$A$5:$A$8,0)),""))</f>
        <v/>
      </c>
      <c r="AH238" s="25" t="str">
        <f aca="false">IF(G238="","",IF(AF238="","No",IF(AF238&lt;=AG238,"Yes","No")))</f>
        <v/>
      </c>
      <c r="AI238" s="25" t="str">
        <f aca="false">IF(G238="","",IF(L238="","N/A - Not Detected",IF(AND(X238="",Y238="",Z238=""),"No Containment Action",IF(Z238="",IF(Y238&lt;&gt;"","C2 Persisted","Host Isolation Gap"),IF(AF238&lt;=AG238,"Contained - Within SLA","Contained - SLA Breach")))))</f>
        <v/>
      </c>
      <c r="AJ238" s="25" t="str">
        <f aca="false">IF(G238="","",IF(Z238&lt;&gt;"",1,0))</f>
        <v/>
      </c>
      <c r="AK238" s="34"/>
      <c r="AL238" s="34"/>
      <c r="AM238" s="35"/>
      <c r="AN238" s="34"/>
      <c r="AO238" s="34"/>
      <c r="AP238" s="35"/>
      <c r="AQ238" s="34"/>
      <c r="AR238" s="34"/>
      <c r="AS238" s="34"/>
      <c r="AT238" s="35"/>
      <c r="AU238" s="35"/>
    </row>
    <row r="239" customFormat="false" ht="15" hidden="false" customHeight="false" outlineLevel="0" collapsed="false">
      <c r="A239" s="24"/>
      <c r="B239" s="24"/>
      <c r="C239" s="24"/>
      <c r="D239" s="24"/>
      <c r="E239" s="24"/>
      <c r="F239" s="24"/>
      <c r="G239" s="24"/>
      <c r="H239" s="24"/>
      <c r="I239" s="32"/>
      <c r="J239" s="32"/>
      <c r="K239" s="32"/>
      <c r="L239" s="32"/>
      <c r="M239" s="24"/>
      <c r="N239" s="24"/>
      <c r="O239" s="24"/>
      <c r="P239" s="33" t="str">
        <f aca="false">IF(AND(G239&lt;&gt;"",I239&lt;&gt;"",J239&lt;&gt;""),(J239-I239)*1440,"")</f>
        <v/>
      </c>
      <c r="Q239" s="33" t="str">
        <f aca="false">IF(AND(G239&lt;&gt;"",J239&lt;&gt;"",K239&lt;&gt;""),(K239-J239)*1440,"")</f>
        <v/>
      </c>
      <c r="R239" s="33" t="str">
        <f aca="false">IF(AND(G239&lt;&gt;"",K239&lt;&gt;"",L239&lt;&gt;""),(L239-K239)*1440,"")</f>
        <v/>
      </c>
      <c r="S239" s="33" t="str">
        <f aca="false">IF(AND(G239&lt;&gt;"",I239&lt;&gt;"",L239&lt;&gt;""),(L239-I239)*1440,"")</f>
        <v/>
      </c>
      <c r="T239" s="33" t="str">
        <f aca="false">IF(G239="","",IFERROR(INDEX(Settings!$B$5:$B$8,MATCH(G239,Settings!$A$5:$A$8,0)),""))</f>
        <v/>
      </c>
      <c r="U239" s="25" t="str">
        <f aca="false">IF(G239="","",IF(S239="","No",IF(S239&lt;=T239,"Yes","No")))</f>
        <v/>
      </c>
      <c r="V239" s="25" t="str">
        <f aca="false">IF(G239="","",IF(AND(J239="",K239="",L239=""),"Telemetry Blind Spot",IF(AND(K239="",L239=""),"Missed Alert",IF(L239="","Triage Delay",IF(S239&lt;=T239,"Detected - Within SLA",IF(AND(R239&lt;&gt;"",R239&gt;IFERROR(INDEX(Settings!$C$5:$C$8,MATCH(G239,Settings!$A$5:$A$8,0)),1E+099)),"Triage Delay","Detected - SLA Breach"))))))</f>
        <v/>
      </c>
      <c r="W239" s="25" t="str">
        <f aca="false">IF(G239="","",IF(L239&lt;&gt;"",1,0))</f>
        <v/>
      </c>
      <c r="X239" s="32"/>
      <c r="Y239" s="32"/>
      <c r="Z239" s="32"/>
      <c r="AA239" s="24"/>
      <c r="AB239" s="24"/>
      <c r="AC239" s="33" t="str">
        <f aca="false">IF(AND(G239&lt;&gt;"",L239&lt;&gt;"",X239&lt;&gt;""),(X239-L239)*1440,"")</f>
        <v/>
      </c>
      <c r="AD239" s="33" t="str">
        <f aca="false">IF(AND(G239&lt;&gt;"",X239&lt;&gt;"",Y239&lt;&gt;""),(Y239-X239)*1440,"")</f>
        <v/>
      </c>
      <c r="AE239" s="33" t="str">
        <f aca="false">IF(AND(G239&lt;&gt;"",Y239&lt;&gt;"",Z239&lt;&gt;""),(Z239-Y239)*1440,"")</f>
        <v/>
      </c>
      <c r="AF239" s="33" t="str">
        <f aca="false">IF(AND(G239&lt;&gt;"",L239&lt;&gt;"",Z239&lt;&gt;""),(Z239-L239)*1440,"")</f>
        <v/>
      </c>
      <c r="AG239" s="33" t="str">
        <f aca="false">IF(G239="","",IFERROR(INDEX(Settings!$D$5:$D$8,MATCH(G239,Settings!$A$5:$A$8,0)),""))</f>
        <v/>
      </c>
      <c r="AH239" s="25" t="str">
        <f aca="false">IF(G239="","",IF(AF239="","No",IF(AF239&lt;=AG239,"Yes","No")))</f>
        <v/>
      </c>
      <c r="AI239" s="25" t="str">
        <f aca="false">IF(G239="","",IF(L239="","N/A - Not Detected",IF(AND(X239="",Y239="",Z239=""),"No Containment Action",IF(Z239="",IF(Y239&lt;&gt;"","C2 Persisted","Host Isolation Gap"),IF(AF239&lt;=AG239,"Contained - Within SLA","Contained - SLA Breach")))))</f>
        <v/>
      </c>
      <c r="AJ239" s="25" t="str">
        <f aca="false">IF(G239="","",IF(Z239&lt;&gt;"",1,0))</f>
        <v/>
      </c>
      <c r="AK239" s="34"/>
      <c r="AL239" s="34"/>
      <c r="AM239" s="35"/>
      <c r="AN239" s="34"/>
      <c r="AO239" s="34"/>
      <c r="AP239" s="35"/>
      <c r="AQ239" s="34"/>
      <c r="AR239" s="34"/>
      <c r="AS239" s="34"/>
      <c r="AT239" s="35"/>
      <c r="AU239" s="35"/>
    </row>
    <row r="240" customFormat="false" ht="15" hidden="false" customHeight="false" outlineLevel="0" collapsed="false">
      <c r="A240" s="24"/>
      <c r="B240" s="24"/>
      <c r="C240" s="24"/>
      <c r="D240" s="24"/>
      <c r="E240" s="24"/>
      <c r="F240" s="24"/>
      <c r="G240" s="24"/>
      <c r="H240" s="24"/>
      <c r="I240" s="32"/>
      <c r="J240" s="32"/>
      <c r="K240" s="32"/>
      <c r="L240" s="32"/>
      <c r="M240" s="24"/>
      <c r="N240" s="24"/>
      <c r="O240" s="24"/>
      <c r="P240" s="33" t="str">
        <f aca="false">IF(AND(G240&lt;&gt;"",I240&lt;&gt;"",J240&lt;&gt;""),(J240-I240)*1440,"")</f>
        <v/>
      </c>
      <c r="Q240" s="33" t="str">
        <f aca="false">IF(AND(G240&lt;&gt;"",J240&lt;&gt;"",K240&lt;&gt;""),(K240-J240)*1440,"")</f>
        <v/>
      </c>
      <c r="R240" s="33" t="str">
        <f aca="false">IF(AND(G240&lt;&gt;"",K240&lt;&gt;"",L240&lt;&gt;""),(L240-K240)*1440,"")</f>
        <v/>
      </c>
      <c r="S240" s="33" t="str">
        <f aca="false">IF(AND(G240&lt;&gt;"",I240&lt;&gt;"",L240&lt;&gt;""),(L240-I240)*1440,"")</f>
        <v/>
      </c>
      <c r="T240" s="33" t="str">
        <f aca="false">IF(G240="","",IFERROR(INDEX(Settings!$B$5:$B$8,MATCH(G240,Settings!$A$5:$A$8,0)),""))</f>
        <v/>
      </c>
      <c r="U240" s="25" t="str">
        <f aca="false">IF(G240="","",IF(S240="","No",IF(S240&lt;=T240,"Yes","No")))</f>
        <v/>
      </c>
      <c r="V240" s="25" t="str">
        <f aca="false">IF(G240="","",IF(AND(J240="",K240="",L240=""),"Telemetry Blind Spot",IF(AND(K240="",L240=""),"Missed Alert",IF(L240="","Triage Delay",IF(S240&lt;=T240,"Detected - Within SLA",IF(AND(R240&lt;&gt;"",R240&gt;IFERROR(INDEX(Settings!$C$5:$C$8,MATCH(G240,Settings!$A$5:$A$8,0)),1E+099)),"Triage Delay","Detected - SLA Breach"))))))</f>
        <v/>
      </c>
      <c r="W240" s="25" t="str">
        <f aca="false">IF(G240="","",IF(L240&lt;&gt;"",1,0))</f>
        <v/>
      </c>
      <c r="X240" s="32"/>
      <c r="Y240" s="32"/>
      <c r="Z240" s="32"/>
      <c r="AA240" s="24"/>
      <c r="AB240" s="24"/>
      <c r="AC240" s="33" t="str">
        <f aca="false">IF(AND(G240&lt;&gt;"",L240&lt;&gt;"",X240&lt;&gt;""),(X240-L240)*1440,"")</f>
        <v/>
      </c>
      <c r="AD240" s="33" t="str">
        <f aca="false">IF(AND(G240&lt;&gt;"",X240&lt;&gt;"",Y240&lt;&gt;""),(Y240-X240)*1440,"")</f>
        <v/>
      </c>
      <c r="AE240" s="33" t="str">
        <f aca="false">IF(AND(G240&lt;&gt;"",Y240&lt;&gt;"",Z240&lt;&gt;""),(Z240-Y240)*1440,"")</f>
        <v/>
      </c>
      <c r="AF240" s="33" t="str">
        <f aca="false">IF(AND(G240&lt;&gt;"",L240&lt;&gt;"",Z240&lt;&gt;""),(Z240-L240)*1440,"")</f>
        <v/>
      </c>
      <c r="AG240" s="33" t="str">
        <f aca="false">IF(G240="","",IFERROR(INDEX(Settings!$D$5:$D$8,MATCH(G240,Settings!$A$5:$A$8,0)),""))</f>
        <v/>
      </c>
      <c r="AH240" s="25" t="str">
        <f aca="false">IF(G240="","",IF(AF240="","No",IF(AF240&lt;=AG240,"Yes","No")))</f>
        <v/>
      </c>
      <c r="AI240" s="25" t="str">
        <f aca="false">IF(G240="","",IF(L240="","N/A - Not Detected",IF(AND(X240="",Y240="",Z240=""),"No Containment Action",IF(Z240="",IF(Y240&lt;&gt;"","C2 Persisted","Host Isolation Gap"),IF(AF240&lt;=AG240,"Contained - Within SLA","Contained - SLA Breach")))))</f>
        <v/>
      </c>
      <c r="AJ240" s="25" t="str">
        <f aca="false">IF(G240="","",IF(Z240&lt;&gt;"",1,0))</f>
        <v/>
      </c>
      <c r="AK240" s="34"/>
      <c r="AL240" s="34"/>
      <c r="AM240" s="35"/>
      <c r="AN240" s="34"/>
      <c r="AO240" s="34"/>
      <c r="AP240" s="35"/>
      <c r="AQ240" s="34"/>
      <c r="AR240" s="34"/>
      <c r="AS240" s="34"/>
      <c r="AT240" s="35"/>
      <c r="AU240" s="35"/>
    </row>
    <row r="241" customFormat="false" ht="15" hidden="false" customHeight="false" outlineLevel="0" collapsed="false">
      <c r="A241" s="24"/>
      <c r="B241" s="24"/>
      <c r="C241" s="24"/>
      <c r="D241" s="24"/>
      <c r="E241" s="24"/>
      <c r="F241" s="24"/>
      <c r="G241" s="24"/>
      <c r="H241" s="24"/>
      <c r="I241" s="32"/>
      <c r="J241" s="32"/>
      <c r="K241" s="32"/>
      <c r="L241" s="32"/>
      <c r="M241" s="24"/>
      <c r="N241" s="24"/>
      <c r="O241" s="24"/>
      <c r="P241" s="33" t="str">
        <f aca="false">IF(AND(G241&lt;&gt;"",I241&lt;&gt;"",J241&lt;&gt;""),(J241-I241)*1440,"")</f>
        <v/>
      </c>
      <c r="Q241" s="33" t="str">
        <f aca="false">IF(AND(G241&lt;&gt;"",J241&lt;&gt;"",K241&lt;&gt;""),(K241-J241)*1440,"")</f>
        <v/>
      </c>
      <c r="R241" s="33" t="str">
        <f aca="false">IF(AND(G241&lt;&gt;"",K241&lt;&gt;"",L241&lt;&gt;""),(L241-K241)*1440,"")</f>
        <v/>
      </c>
      <c r="S241" s="33" t="str">
        <f aca="false">IF(AND(G241&lt;&gt;"",I241&lt;&gt;"",L241&lt;&gt;""),(L241-I241)*1440,"")</f>
        <v/>
      </c>
      <c r="T241" s="33" t="str">
        <f aca="false">IF(G241="","",IFERROR(INDEX(Settings!$B$5:$B$8,MATCH(G241,Settings!$A$5:$A$8,0)),""))</f>
        <v/>
      </c>
      <c r="U241" s="25" t="str">
        <f aca="false">IF(G241="","",IF(S241="","No",IF(S241&lt;=T241,"Yes","No")))</f>
        <v/>
      </c>
      <c r="V241" s="25" t="str">
        <f aca="false">IF(G241="","",IF(AND(J241="",K241="",L241=""),"Telemetry Blind Spot",IF(AND(K241="",L241=""),"Missed Alert",IF(L241="","Triage Delay",IF(S241&lt;=T241,"Detected - Within SLA",IF(AND(R241&lt;&gt;"",R241&gt;IFERROR(INDEX(Settings!$C$5:$C$8,MATCH(G241,Settings!$A$5:$A$8,0)),1E+099)),"Triage Delay","Detected - SLA Breach"))))))</f>
        <v/>
      </c>
      <c r="W241" s="25" t="str">
        <f aca="false">IF(G241="","",IF(L241&lt;&gt;"",1,0))</f>
        <v/>
      </c>
      <c r="X241" s="32"/>
      <c r="Y241" s="32"/>
      <c r="Z241" s="32"/>
      <c r="AA241" s="24"/>
      <c r="AB241" s="24"/>
      <c r="AC241" s="33" t="str">
        <f aca="false">IF(AND(G241&lt;&gt;"",L241&lt;&gt;"",X241&lt;&gt;""),(X241-L241)*1440,"")</f>
        <v/>
      </c>
      <c r="AD241" s="33" t="str">
        <f aca="false">IF(AND(G241&lt;&gt;"",X241&lt;&gt;"",Y241&lt;&gt;""),(Y241-X241)*1440,"")</f>
        <v/>
      </c>
      <c r="AE241" s="33" t="str">
        <f aca="false">IF(AND(G241&lt;&gt;"",Y241&lt;&gt;"",Z241&lt;&gt;""),(Z241-Y241)*1440,"")</f>
        <v/>
      </c>
      <c r="AF241" s="33" t="str">
        <f aca="false">IF(AND(G241&lt;&gt;"",L241&lt;&gt;"",Z241&lt;&gt;""),(Z241-L241)*1440,"")</f>
        <v/>
      </c>
      <c r="AG241" s="33" t="str">
        <f aca="false">IF(G241="","",IFERROR(INDEX(Settings!$D$5:$D$8,MATCH(G241,Settings!$A$5:$A$8,0)),""))</f>
        <v/>
      </c>
      <c r="AH241" s="25" t="str">
        <f aca="false">IF(G241="","",IF(AF241="","No",IF(AF241&lt;=AG241,"Yes","No")))</f>
        <v/>
      </c>
      <c r="AI241" s="25" t="str">
        <f aca="false">IF(G241="","",IF(L241="","N/A - Not Detected",IF(AND(X241="",Y241="",Z241=""),"No Containment Action",IF(Z241="",IF(Y241&lt;&gt;"","C2 Persisted","Host Isolation Gap"),IF(AF241&lt;=AG241,"Contained - Within SLA","Contained - SLA Breach")))))</f>
        <v/>
      </c>
      <c r="AJ241" s="25" t="str">
        <f aca="false">IF(G241="","",IF(Z241&lt;&gt;"",1,0))</f>
        <v/>
      </c>
      <c r="AK241" s="34"/>
      <c r="AL241" s="34"/>
      <c r="AM241" s="35"/>
      <c r="AN241" s="34"/>
      <c r="AO241" s="34"/>
      <c r="AP241" s="35"/>
      <c r="AQ241" s="34"/>
      <c r="AR241" s="34"/>
      <c r="AS241" s="34"/>
      <c r="AT241" s="35"/>
      <c r="AU241" s="35"/>
    </row>
    <row r="242" customFormat="false" ht="15" hidden="false" customHeight="false" outlineLevel="0" collapsed="false">
      <c r="A242" s="24"/>
      <c r="B242" s="24"/>
      <c r="C242" s="24"/>
      <c r="D242" s="24"/>
      <c r="E242" s="24"/>
      <c r="F242" s="24"/>
      <c r="G242" s="24"/>
      <c r="H242" s="24"/>
      <c r="I242" s="32"/>
      <c r="J242" s="32"/>
      <c r="K242" s="32"/>
      <c r="L242" s="32"/>
      <c r="M242" s="24"/>
      <c r="N242" s="24"/>
      <c r="O242" s="24"/>
      <c r="P242" s="33" t="str">
        <f aca="false">IF(AND(G242&lt;&gt;"",I242&lt;&gt;"",J242&lt;&gt;""),(J242-I242)*1440,"")</f>
        <v/>
      </c>
      <c r="Q242" s="33" t="str">
        <f aca="false">IF(AND(G242&lt;&gt;"",J242&lt;&gt;"",K242&lt;&gt;""),(K242-J242)*1440,"")</f>
        <v/>
      </c>
      <c r="R242" s="33" t="str">
        <f aca="false">IF(AND(G242&lt;&gt;"",K242&lt;&gt;"",L242&lt;&gt;""),(L242-K242)*1440,"")</f>
        <v/>
      </c>
      <c r="S242" s="33" t="str">
        <f aca="false">IF(AND(G242&lt;&gt;"",I242&lt;&gt;"",L242&lt;&gt;""),(L242-I242)*1440,"")</f>
        <v/>
      </c>
      <c r="T242" s="33" t="str">
        <f aca="false">IF(G242="","",IFERROR(INDEX(Settings!$B$5:$B$8,MATCH(G242,Settings!$A$5:$A$8,0)),""))</f>
        <v/>
      </c>
      <c r="U242" s="25" t="str">
        <f aca="false">IF(G242="","",IF(S242="","No",IF(S242&lt;=T242,"Yes","No")))</f>
        <v/>
      </c>
      <c r="V242" s="25" t="str">
        <f aca="false">IF(G242="","",IF(AND(J242="",K242="",L242=""),"Telemetry Blind Spot",IF(AND(K242="",L242=""),"Missed Alert",IF(L242="","Triage Delay",IF(S242&lt;=T242,"Detected - Within SLA",IF(AND(R242&lt;&gt;"",R242&gt;IFERROR(INDEX(Settings!$C$5:$C$8,MATCH(G242,Settings!$A$5:$A$8,0)),1E+099)),"Triage Delay","Detected - SLA Breach"))))))</f>
        <v/>
      </c>
      <c r="W242" s="25" t="str">
        <f aca="false">IF(G242="","",IF(L242&lt;&gt;"",1,0))</f>
        <v/>
      </c>
      <c r="X242" s="32"/>
      <c r="Y242" s="32"/>
      <c r="Z242" s="32"/>
      <c r="AA242" s="24"/>
      <c r="AB242" s="24"/>
      <c r="AC242" s="33" t="str">
        <f aca="false">IF(AND(G242&lt;&gt;"",L242&lt;&gt;"",X242&lt;&gt;""),(X242-L242)*1440,"")</f>
        <v/>
      </c>
      <c r="AD242" s="33" t="str">
        <f aca="false">IF(AND(G242&lt;&gt;"",X242&lt;&gt;"",Y242&lt;&gt;""),(Y242-X242)*1440,"")</f>
        <v/>
      </c>
      <c r="AE242" s="33" t="str">
        <f aca="false">IF(AND(G242&lt;&gt;"",Y242&lt;&gt;"",Z242&lt;&gt;""),(Z242-Y242)*1440,"")</f>
        <v/>
      </c>
      <c r="AF242" s="33" t="str">
        <f aca="false">IF(AND(G242&lt;&gt;"",L242&lt;&gt;"",Z242&lt;&gt;""),(Z242-L242)*1440,"")</f>
        <v/>
      </c>
      <c r="AG242" s="33" t="str">
        <f aca="false">IF(G242="","",IFERROR(INDEX(Settings!$D$5:$D$8,MATCH(G242,Settings!$A$5:$A$8,0)),""))</f>
        <v/>
      </c>
      <c r="AH242" s="25" t="str">
        <f aca="false">IF(G242="","",IF(AF242="","No",IF(AF242&lt;=AG242,"Yes","No")))</f>
        <v/>
      </c>
      <c r="AI242" s="25" t="str">
        <f aca="false">IF(G242="","",IF(L242="","N/A - Not Detected",IF(AND(X242="",Y242="",Z242=""),"No Containment Action",IF(Z242="",IF(Y242&lt;&gt;"","C2 Persisted","Host Isolation Gap"),IF(AF242&lt;=AG242,"Contained - Within SLA","Contained - SLA Breach")))))</f>
        <v/>
      </c>
      <c r="AJ242" s="25" t="str">
        <f aca="false">IF(G242="","",IF(Z242&lt;&gt;"",1,0))</f>
        <v/>
      </c>
      <c r="AK242" s="34"/>
      <c r="AL242" s="34"/>
      <c r="AM242" s="35"/>
      <c r="AN242" s="34"/>
      <c r="AO242" s="34"/>
      <c r="AP242" s="35"/>
      <c r="AQ242" s="34"/>
      <c r="AR242" s="34"/>
      <c r="AS242" s="34"/>
      <c r="AT242" s="35"/>
      <c r="AU242" s="35"/>
    </row>
    <row r="243" customFormat="false" ht="15" hidden="false" customHeight="false" outlineLevel="0" collapsed="false">
      <c r="A243" s="24"/>
      <c r="B243" s="24"/>
      <c r="C243" s="24"/>
      <c r="D243" s="24"/>
      <c r="E243" s="24"/>
      <c r="F243" s="24"/>
      <c r="G243" s="24"/>
      <c r="H243" s="24"/>
      <c r="I243" s="32"/>
      <c r="J243" s="32"/>
      <c r="K243" s="32"/>
      <c r="L243" s="32"/>
      <c r="M243" s="24"/>
      <c r="N243" s="24"/>
      <c r="O243" s="24"/>
      <c r="P243" s="33" t="str">
        <f aca="false">IF(AND(G243&lt;&gt;"",I243&lt;&gt;"",J243&lt;&gt;""),(J243-I243)*1440,"")</f>
        <v/>
      </c>
      <c r="Q243" s="33" t="str">
        <f aca="false">IF(AND(G243&lt;&gt;"",J243&lt;&gt;"",K243&lt;&gt;""),(K243-J243)*1440,"")</f>
        <v/>
      </c>
      <c r="R243" s="33" t="str">
        <f aca="false">IF(AND(G243&lt;&gt;"",K243&lt;&gt;"",L243&lt;&gt;""),(L243-K243)*1440,"")</f>
        <v/>
      </c>
      <c r="S243" s="33" t="str">
        <f aca="false">IF(AND(G243&lt;&gt;"",I243&lt;&gt;"",L243&lt;&gt;""),(L243-I243)*1440,"")</f>
        <v/>
      </c>
      <c r="T243" s="33" t="str">
        <f aca="false">IF(G243="","",IFERROR(INDEX(Settings!$B$5:$B$8,MATCH(G243,Settings!$A$5:$A$8,0)),""))</f>
        <v/>
      </c>
      <c r="U243" s="25" t="str">
        <f aca="false">IF(G243="","",IF(S243="","No",IF(S243&lt;=T243,"Yes","No")))</f>
        <v/>
      </c>
      <c r="V243" s="25" t="str">
        <f aca="false">IF(G243="","",IF(AND(J243="",K243="",L243=""),"Telemetry Blind Spot",IF(AND(K243="",L243=""),"Missed Alert",IF(L243="","Triage Delay",IF(S243&lt;=T243,"Detected - Within SLA",IF(AND(R243&lt;&gt;"",R243&gt;IFERROR(INDEX(Settings!$C$5:$C$8,MATCH(G243,Settings!$A$5:$A$8,0)),1E+099)),"Triage Delay","Detected - SLA Breach"))))))</f>
        <v/>
      </c>
      <c r="W243" s="25" t="str">
        <f aca="false">IF(G243="","",IF(L243&lt;&gt;"",1,0))</f>
        <v/>
      </c>
      <c r="X243" s="32"/>
      <c r="Y243" s="32"/>
      <c r="Z243" s="32"/>
      <c r="AA243" s="24"/>
      <c r="AB243" s="24"/>
      <c r="AC243" s="33" t="str">
        <f aca="false">IF(AND(G243&lt;&gt;"",L243&lt;&gt;"",X243&lt;&gt;""),(X243-L243)*1440,"")</f>
        <v/>
      </c>
      <c r="AD243" s="33" t="str">
        <f aca="false">IF(AND(G243&lt;&gt;"",X243&lt;&gt;"",Y243&lt;&gt;""),(Y243-X243)*1440,"")</f>
        <v/>
      </c>
      <c r="AE243" s="33" t="str">
        <f aca="false">IF(AND(G243&lt;&gt;"",Y243&lt;&gt;"",Z243&lt;&gt;""),(Z243-Y243)*1440,"")</f>
        <v/>
      </c>
      <c r="AF243" s="33" t="str">
        <f aca="false">IF(AND(G243&lt;&gt;"",L243&lt;&gt;"",Z243&lt;&gt;""),(Z243-L243)*1440,"")</f>
        <v/>
      </c>
      <c r="AG243" s="33" t="str">
        <f aca="false">IF(G243="","",IFERROR(INDEX(Settings!$D$5:$D$8,MATCH(G243,Settings!$A$5:$A$8,0)),""))</f>
        <v/>
      </c>
      <c r="AH243" s="25" t="str">
        <f aca="false">IF(G243="","",IF(AF243="","No",IF(AF243&lt;=AG243,"Yes","No")))</f>
        <v/>
      </c>
      <c r="AI243" s="25" t="str">
        <f aca="false">IF(G243="","",IF(L243="","N/A - Not Detected",IF(AND(X243="",Y243="",Z243=""),"No Containment Action",IF(Z243="",IF(Y243&lt;&gt;"","C2 Persisted","Host Isolation Gap"),IF(AF243&lt;=AG243,"Contained - Within SLA","Contained - SLA Breach")))))</f>
        <v/>
      </c>
      <c r="AJ243" s="25" t="str">
        <f aca="false">IF(G243="","",IF(Z243&lt;&gt;"",1,0))</f>
        <v/>
      </c>
      <c r="AK243" s="34"/>
      <c r="AL243" s="34"/>
      <c r="AM243" s="35"/>
      <c r="AN243" s="34"/>
      <c r="AO243" s="34"/>
      <c r="AP243" s="35"/>
      <c r="AQ243" s="34"/>
      <c r="AR243" s="34"/>
      <c r="AS243" s="34"/>
      <c r="AT243" s="35"/>
      <c r="AU243" s="35"/>
    </row>
    <row r="244" customFormat="false" ht="15" hidden="false" customHeight="false" outlineLevel="0" collapsed="false">
      <c r="A244" s="24"/>
      <c r="B244" s="24"/>
      <c r="C244" s="24"/>
      <c r="D244" s="24"/>
      <c r="E244" s="24"/>
      <c r="F244" s="24"/>
      <c r="G244" s="24"/>
      <c r="H244" s="24"/>
      <c r="I244" s="32"/>
      <c r="J244" s="32"/>
      <c r="K244" s="32"/>
      <c r="L244" s="32"/>
      <c r="M244" s="24"/>
      <c r="N244" s="24"/>
      <c r="O244" s="24"/>
      <c r="P244" s="33" t="str">
        <f aca="false">IF(AND(G244&lt;&gt;"",I244&lt;&gt;"",J244&lt;&gt;""),(J244-I244)*1440,"")</f>
        <v/>
      </c>
      <c r="Q244" s="33" t="str">
        <f aca="false">IF(AND(G244&lt;&gt;"",J244&lt;&gt;"",K244&lt;&gt;""),(K244-J244)*1440,"")</f>
        <v/>
      </c>
      <c r="R244" s="33" t="str">
        <f aca="false">IF(AND(G244&lt;&gt;"",K244&lt;&gt;"",L244&lt;&gt;""),(L244-K244)*1440,"")</f>
        <v/>
      </c>
      <c r="S244" s="33" t="str">
        <f aca="false">IF(AND(G244&lt;&gt;"",I244&lt;&gt;"",L244&lt;&gt;""),(L244-I244)*1440,"")</f>
        <v/>
      </c>
      <c r="T244" s="33" t="str">
        <f aca="false">IF(G244="","",IFERROR(INDEX(Settings!$B$5:$B$8,MATCH(G244,Settings!$A$5:$A$8,0)),""))</f>
        <v/>
      </c>
      <c r="U244" s="25" t="str">
        <f aca="false">IF(G244="","",IF(S244="","No",IF(S244&lt;=T244,"Yes","No")))</f>
        <v/>
      </c>
      <c r="V244" s="25" t="str">
        <f aca="false">IF(G244="","",IF(AND(J244="",K244="",L244=""),"Telemetry Blind Spot",IF(AND(K244="",L244=""),"Missed Alert",IF(L244="","Triage Delay",IF(S244&lt;=T244,"Detected - Within SLA",IF(AND(R244&lt;&gt;"",R244&gt;IFERROR(INDEX(Settings!$C$5:$C$8,MATCH(G244,Settings!$A$5:$A$8,0)),1E+099)),"Triage Delay","Detected - SLA Breach"))))))</f>
        <v/>
      </c>
      <c r="W244" s="25" t="str">
        <f aca="false">IF(G244="","",IF(L244&lt;&gt;"",1,0))</f>
        <v/>
      </c>
      <c r="X244" s="32"/>
      <c r="Y244" s="32"/>
      <c r="Z244" s="32"/>
      <c r="AA244" s="24"/>
      <c r="AB244" s="24"/>
      <c r="AC244" s="33" t="str">
        <f aca="false">IF(AND(G244&lt;&gt;"",L244&lt;&gt;"",X244&lt;&gt;""),(X244-L244)*1440,"")</f>
        <v/>
      </c>
      <c r="AD244" s="33" t="str">
        <f aca="false">IF(AND(G244&lt;&gt;"",X244&lt;&gt;"",Y244&lt;&gt;""),(Y244-X244)*1440,"")</f>
        <v/>
      </c>
      <c r="AE244" s="33" t="str">
        <f aca="false">IF(AND(G244&lt;&gt;"",Y244&lt;&gt;"",Z244&lt;&gt;""),(Z244-Y244)*1440,"")</f>
        <v/>
      </c>
      <c r="AF244" s="33" t="str">
        <f aca="false">IF(AND(G244&lt;&gt;"",L244&lt;&gt;"",Z244&lt;&gt;""),(Z244-L244)*1440,"")</f>
        <v/>
      </c>
      <c r="AG244" s="33" t="str">
        <f aca="false">IF(G244="","",IFERROR(INDEX(Settings!$D$5:$D$8,MATCH(G244,Settings!$A$5:$A$8,0)),""))</f>
        <v/>
      </c>
      <c r="AH244" s="25" t="str">
        <f aca="false">IF(G244="","",IF(AF244="","No",IF(AF244&lt;=AG244,"Yes","No")))</f>
        <v/>
      </c>
      <c r="AI244" s="25" t="str">
        <f aca="false">IF(G244="","",IF(L244="","N/A - Not Detected",IF(AND(X244="",Y244="",Z244=""),"No Containment Action",IF(Z244="",IF(Y244&lt;&gt;"","C2 Persisted","Host Isolation Gap"),IF(AF244&lt;=AG244,"Contained - Within SLA","Contained - SLA Breach")))))</f>
        <v/>
      </c>
      <c r="AJ244" s="25" t="str">
        <f aca="false">IF(G244="","",IF(Z244&lt;&gt;"",1,0))</f>
        <v/>
      </c>
      <c r="AK244" s="34"/>
      <c r="AL244" s="34"/>
      <c r="AM244" s="35"/>
      <c r="AN244" s="34"/>
      <c r="AO244" s="34"/>
      <c r="AP244" s="35"/>
      <c r="AQ244" s="34"/>
      <c r="AR244" s="34"/>
      <c r="AS244" s="34"/>
      <c r="AT244" s="35"/>
      <c r="AU244" s="35"/>
    </row>
    <row r="245" customFormat="false" ht="15" hidden="false" customHeight="false" outlineLevel="0" collapsed="false">
      <c r="A245" s="24"/>
      <c r="B245" s="24"/>
      <c r="C245" s="24"/>
      <c r="D245" s="24"/>
      <c r="E245" s="24"/>
      <c r="F245" s="24"/>
      <c r="G245" s="24"/>
      <c r="H245" s="24"/>
      <c r="I245" s="32"/>
      <c r="J245" s="32"/>
      <c r="K245" s="32"/>
      <c r="L245" s="32"/>
      <c r="M245" s="24"/>
      <c r="N245" s="24"/>
      <c r="O245" s="24"/>
      <c r="P245" s="33" t="str">
        <f aca="false">IF(AND(G245&lt;&gt;"",I245&lt;&gt;"",J245&lt;&gt;""),(J245-I245)*1440,"")</f>
        <v/>
      </c>
      <c r="Q245" s="33" t="str">
        <f aca="false">IF(AND(G245&lt;&gt;"",J245&lt;&gt;"",K245&lt;&gt;""),(K245-J245)*1440,"")</f>
        <v/>
      </c>
      <c r="R245" s="33" t="str">
        <f aca="false">IF(AND(G245&lt;&gt;"",K245&lt;&gt;"",L245&lt;&gt;""),(L245-K245)*1440,"")</f>
        <v/>
      </c>
      <c r="S245" s="33" t="str">
        <f aca="false">IF(AND(G245&lt;&gt;"",I245&lt;&gt;"",L245&lt;&gt;""),(L245-I245)*1440,"")</f>
        <v/>
      </c>
      <c r="T245" s="33" t="str">
        <f aca="false">IF(G245="","",IFERROR(INDEX(Settings!$B$5:$B$8,MATCH(G245,Settings!$A$5:$A$8,0)),""))</f>
        <v/>
      </c>
      <c r="U245" s="25" t="str">
        <f aca="false">IF(G245="","",IF(S245="","No",IF(S245&lt;=T245,"Yes","No")))</f>
        <v/>
      </c>
      <c r="V245" s="25" t="str">
        <f aca="false">IF(G245="","",IF(AND(J245="",K245="",L245=""),"Telemetry Blind Spot",IF(AND(K245="",L245=""),"Missed Alert",IF(L245="","Triage Delay",IF(S245&lt;=T245,"Detected - Within SLA",IF(AND(R245&lt;&gt;"",R245&gt;IFERROR(INDEX(Settings!$C$5:$C$8,MATCH(G245,Settings!$A$5:$A$8,0)),1E+099)),"Triage Delay","Detected - SLA Breach"))))))</f>
        <v/>
      </c>
      <c r="W245" s="25" t="str">
        <f aca="false">IF(G245="","",IF(L245&lt;&gt;"",1,0))</f>
        <v/>
      </c>
      <c r="X245" s="32"/>
      <c r="Y245" s="32"/>
      <c r="Z245" s="32"/>
      <c r="AA245" s="24"/>
      <c r="AB245" s="24"/>
      <c r="AC245" s="33" t="str">
        <f aca="false">IF(AND(G245&lt;&gt;"",L245&lt;&gt;"",X245&lt;&gt;""),(X245-L245)*1440,"")</f>
        <v/>
      </c>
      <c r="AD245" s="33" t="str">
        <f aca="false">IF(AND(G245&lt;&gt;"",X245&lt;&gt;"",Y245&lt;&gt;""),(Y245-X245)*1440,"")</f>
        <v/>
      </c>
      <c r="AE245" s="33" t="str">
        <f aca="false">IF(AND(G245&lt;&gt;"",Y245&lt;&gt;"",Z245&lt;&gt;""),(Z245-Y245)*1440,"")</f>
        <v/>
      </c>
      <c r="AF245" s="33" t="str">
        <f aca="false">IF(AND(G245&lt;&gt;"",L245&lt;&gt;"",Z245&lt;&gt;""),(Z245-L245)*1440,"")</f>
        <v/>
      </c>
      <c r="AG245" s="33" t="str">
        <f aca="false">IF(G245="","",IFERROR(INDEX(Settings!$D$5:$D$8,MATCH(G245,Settings!$A$5:$A$8,0)),""))</f>
        <v/>
      </c>
      <c r="AH245" s="25" t="str">
        <f aca="false">IF(G245="","",IF(AF245="","No",IF(AF245&lt;=AG245,"Yes","No")))</f>
        <v/>
      </c>
      <c r="AI245" s="25" t="str">
        <f aca="false">IF(G245="","",IF(L245="","N/A - Not Detected",IF(AND(X245="",Y245="",Z245=""),"No Containment Action",IF(Z245="",IF(Y245&lt;&gt;"","C2 Persisted","Host Isolation Gap"),IF(AF245&lt;=AG245,"Contained - Within SLA","Contained - SLA Breach")))))</f>
        <v/>
      </c>
      <c r="AJ245" s="25" t="str">
        <f aca="false">IF(G245="","",IF(Z245&lt;&gt;"",1,0))</f>
        <v/>
      </c>
      <c r="AK245" s="34"/>
      <c r="AL245" s="34"/>
      <c r="AM245" s="35"/>
      <c r="AN245" s="34"/>
      <c r="AO245" s="34"/>
      <c r="AP245" s="35"/>
      <c r="AQ245" s="34"/>
      <c r="AR245" s="34"/>
      <c r="AS245" s="34"/>
      <c r="AT245" s="35"/>
      <c r="AU245" s="35"/>
    </row>
    <row r="246" customFormat="false" ht="15" hidden="false" customHeight="false" outlineLevel="0" collapsed="false">
      <c r="A246" s="24"/>
      <c r="B246" s="24"/>
      <c r="C246" s="24"/>
      <c r="D246" s="24"/>
      <c r="E246" s="24"/>
      <c r="F246" s="24"/>
      <c r="G246" s="24"/>
      <c r="H246" s="24"/>
      <c r="I246" s="32"/>
      <c r="J246" s="32"/>
      <c r="K246" s="32"/>
      <c r="L246" s="32"/>
      <c r="M246" s="24"/>
      <c r="N246" s="24"/>
      <c r="O246" s="24"/>
      <c r="P246" s="33" t="str">
        <f aca="false">IF(AND(G246&lt;&gt;"",I246&lt;&gt;"",J246&lt;&gt;""),(J246-I246)*1440,"")</f>
        <v/>
      </c>
      <c r="Q246" s="33" t="str">
        <f aca="false">IF(AND(G246&lt;&gt;"",J246&lt;&gt;"",K246&lt;&gt;""),(K246-J246)*1440,"")</f>
        <v/>
      </c>
      <c r="R246" s="33" t="str">
        <f aca="false">IF(AND(G246&lt;&gt;"",K246&lt;&gt;"",L246&lt;&gt;""),(L246-K246)*1440,"")</f>
        <v/>
      </c>
      <c r="S246" s="33" t="str">
        <f aca="false">IF(AND(G246&lt;&gt;"",I246&lt;&gt;"",L246&lt;&gt;""),(L246-I246)*1440,"")</f>
        <v/>
      </c>
      <c r="T246" s="33" t="str">
        <f aca="false">IF(G246="","",IFERROR(INDEX(Settings!$B$5:$B$8,MATCH(G246,Settings!$A$5:$A$8,0)),""))</f>
        <v/>
      </c>
      <c r="U246" s="25" t="str">
        <f aca="false">IF(G246="","",IF(S246="","No",IF(S246&lt;=T246,"Yes","No")))</f>
        <v/>
      </c>
      <c r="V246" s="25" t="str">
        <f aca="false">IF(G246="","",IF(AND(J246="",K246="",L246=""),"Telemetry Blind Spot",IF(AND(K246="",L246=""),"Missed Alert",IF(L246="","Triage Delay",IF(S246&lt;=T246,"Detected - Within SLA",IF(AND(R246&lt;&gt;"",R246&gt;IFERROR(INDEX(Settings!$C$5:$C$8,MATCH(G246,Settings!$A$5:$A$8,0)),1E+099)),"Triage Delay","Detected - SLA Breach"))))))</f>
        <v/>
      </c>
      <c r="W246" s="25" t="str">
        <f aca="false">IF(G246="","",IF(L246&lt;&gt;"",1,0))</f>
        <v/>
      </c>
      <c r="X246" s="32"/>
      <c r="Y246" s="32"/>
      <c r="Z246" s="32"/>
      <c r="AA246" s="24"/>
      <c r="AB246" s="24"/>
      <c r="AC246" s="33" t="str">
        <f aca="false">IF(AND(G246&lt;&gt;"",L246&lt;&gt;"",X246&lt;&gt;""),(X246-L246)*1440,"")</f>
        <v/>
      </c>
      <c r="AD246" s="33" t="str">
        <f aca="false">IF(AND(G246&lt;&gt;"",X246&lt;&gt;"",Y246&lt;&gt;""),(Y246-X246)*1440,"")</f>
        <v/>
      </c>
      <c r="AE246" s="33" t="str">
        <f aca="false">IF(AND(G246&lt;&gt;"",Y246&lt;&gt;"",Z246&lt;&gt;""),(Z246-Y246)*1440,"")</f>
        <v/>
      </c>
      <c r="AF246" s="33" t="str">
        <f aca="false">IF(AND(G246&lt;&gt;"",L246&lt;&gt;"",Z246&lt;&gt;""),(Z246-L246)*1440,"")</f>
        <v/>
      </c>
      <c r="AG246" s="33" t="str">
        <f aca="false">IF(G246="","",IFERROR(INDEX(Settings!$D$5:$D$8,MATCH(G246,Settings!$A$5:$A$8,0)),""))</f>
        <v/>
      </c>
      <c r="AH246" s="25" t="str">
        <f aca="false">IF(G246="","",IF(AF246="","No",IF(AF246&lt;=AG246,"Yes","No")))</f>
        <v/>
      </c>
      <c r="AI246" s="25" t="str">
        <f aca="false">IF(G246="","",IF(L246="","N/A - Not Detected",IF(AND(X246="",Y246="",Z246=""),"No Containment Action",IF(Z246="",IF(Y246&lt;&gt;"","C2 Persisted","Host Isolation Gap"),IF(AF246&lt;=AG246,"Contained - Within SLA","Contained - SLA Breach")))))</f>
        <v/>
      </c>
      <c r="AJ246" s="25" t="str">
        <f aca="false">IF(G246="","",IF(Z246&lt;&gt;"",1,0))</f>
        <v/>
      </c>
      <c r="AK246" s="34"/>
      <c r="AL246" s="34"/>
      <c r="AM246" s="35"/>
      <c r="AN246" s="34"/>
      <c r="AO246" s="34"/>
      <c r="AP246" s="35"/>
      <c r="AQ246" s="34"/>
      <c r="AR246" s="34"/>
      <c r="AS246" s="34"/>
      <c r="AT246" s="35"/>
      <c r="AU246" s="35"/>
    </row>
    <row r="247" customFormat="false" ht="15" hidden="false" customHeight="false" outlineLevel="0" collapsed="false">
      <c r="A247" s="24"/>
      <c r="B247" s="24"/>
      <c r="C247" s="24"/>
      <c r="D247" s="24"/>
      <c r="E247" s="24"/>
      <c r="F247" s="24"/>
      <c r="G247" s="24"/>
      <c r="H247" s="24"/>
      <c r="I247" s="32"/>
      <c r="J247" s="32"/>
      <c r="K247" s="32"/>
      <c r="L247" s="32"/>
      <c r="M247" s="24"/>
      <c r="N247" s="24"/>
      <c r="O247" s="24"/>
      <c r="P247" s="33" t="str">
        <f aca="false">IF(AND(G247&lt;&gt;"",I247&lt;&gt;"",J247&lt;&gt;""),(J247-I247)*1440,"")</f>
        <v/>
      </c>
      <c r="Q247" s="33" t="str">
        <f aca="false">IF(AND(G247&lt;&gt;"",J247&lt;&gt;"",K247&lt;&gt;""),(K247-J247)*1440,"")</f>
        <v/>
      </c>
      <c r="R247" s="33" t="str">
        <f aca="false">IF(AND(G247&lt;&gt;"",K247&lt;&gt;"",L247&lt;&gt;""),(L247-K247)*1440,"")</f>
        <v/>
      </c>
      <c r="S247" s="33" t="str">
        <f aca="false">IF(AND(G247&lt;&gt;"",I247&lt;&gt;"",L247&lt;&gt;""),(L247-I247)*1440,"")</f>
        <v/>
      </c>
      <c r="T247" s="33" t="str">
        <f aca="false">IF(G247="","",IFERROR(INDEX(Settings!$B$5:$B$8,MATCH(G247,Settings!$A$5:$A$8,0)),""))</f>
        <v/>
      </c>
      <c r="U247" s="25" t="str">
        <f aca="false">IF(G247="","",IF(S247="","No",IF(S247&lt;=T247,"Yes","No")))</f>
        <v/>
      </c>
      <c r="V247" s="25" t="str">
        <f aca="false">IF(G247="","",IF(AND(J247="",K247="",L247=""),"Telemetry Blind Spot",IF(AND(K247="",L247=""),"Missed Alert",IF(L247="","Triage Delay",IF(S247&lt;=T247,"Detected - Within SLA",IF(AND(R247&lt;&gt;"",R247&gt;IFERROR(INDEX(Settings!$C$5:$C$8,MATCH(G247,Settings!$A$5:$A$8,0)),1E+099)),"Triage Delay","Detected - SLA Breach"))))))</f>
        <v/>
      </c>
      <c r="W247" s="25" t="str">
        <f aca="false">IF(G247="","",IF(L247&lt;&gt;"",1,0))</f>
        <v/>
      </c>
      <c r="X247" s="32"/>
      <c r="Y247" s="32"/>
      <c r="Z247" s="32"/>
      <c r="AA247" s="24"/>
      <c r="AB247" s="24"/>
      <c r="AC247" s="33" t="str">
        <f aca="false">IF(AND(G247&lt;&gt;"",L247&lt;&gt;"",X247&lt;&gt;""),(X247-L247)*1440,"")</f>
        <v/>
      </c>
      <c r="AD247" s="33" t="str">
        <f aca="false">IF(AND(G247&lt;&gt;"",X247&lt;&gt;"",Y247&lt;&gt;""),(Y247-X247)*1440,"")</f>
        <v/>
      </c>
      <c r="AE247" s="33" t="str">
        <f aca="false">IF(AND(G247&lt;&gt;"",Y247&lt;&gt;"",Z247&lt;&gt;""),(Z247-Y247)*1440,"")</f>
        <v/>
      </c>
      <c r="AF247" s="33" t="str">
        <f aca="false">IF(AND(G247&lt;&gt;"",L247&lt;&gt;"",Z247&lt;&gt;""),(Z247-L247)*1440,"")</f>
        <v/>
      </c>
      <c r="AG247" s="33" t="str">
        <f aca="false">IF(G247="","",IFERROR(INDEX(Settings!$D$5:$D$8,MATCH(G247,Settings!$A$5:$A$8,0)),""))</f>
        <v/>
      </c>
      <c r="AH247" s="25" t="str">
        <f aca="false">IF(G247="","",IF(AF247="","No",IF(AF247&lt;=AG247,"Yes","No")))</f>
        <v/>
      </c>
      <c r="AI247" s="25" t="str">
        <f aca="false">IF(G247="","",IF(L247="","N/A - Not Detected",IF(AND(X247="",Y247="",Z247=""),"No Containment Action",IF(Z247="",IF(Y247&lt;&gt;"","C2 Persisted","Host Isolation Gap"),IF(AF247&lt;=AG247,"Contained - Within SLA","Contained - SLA Breach")))))</f>
        <v/>
      </c>
      <c r="AJ247" s="25" t="str">
        <f aca="false">IF(G247="","",IF(Z247&lt;&gt;"",1,0))</f>
        <v/>
      </c>
      <c r="AK247" s="34"/>
      <c r="AL247" s="34"/>
      <c r="AM247" s="35"/>
      <c r="AN247" s="34"/>
      <c r="AO247" s="34"/>
      <c r="AP247" s="35"/>
      <c r="AQ247" s="34"/>
      <c r="AR247" s="34"/>
      <c r="AS247" s="34"/>
      <c r="AT247" s="35"/>
      <c r="AU247" s="35"/>
    </row>
    <row r="248" customFormat="false" ht="15" hidden="false" customHeight="false" outlineLevel="0" collapsed="false">
      <c r="A248" s="24"/>
      <c r="B248" s="24"/>
      <c r="C248" s="24"/>
      <c r="D248" s="24"/>
      <c r="E248" s="24"/>
      <c r="F248" s="24"/>
      <c r="G248" s="24"/>
      <c r="H248" s="24"/>
      <c r="I248" s="32"/>
      <c r="J248" s="32"/>
      <c r="K248" s="32"/>
      <c r="L248" s="32"/>
      <c r="M248" s="24"/>
      <c r="N248" s="24"/>
      <c r="O248" s="24"/>
      <c r="P248" s="33" t="str">
        <f aca="false">IF(AND(G248&lt;&gt;"",I248&lt;&gt;"",J248&lt;&gt;""),(J248-I248)*1440,"")</f>
        <v/>
      </c>
      <c r="Q248" s="33" t="str">
        <f aca="false">IF(AND(G248&lt;&gt;"",J248&lt;&gt;"",K248&lt;&gt;""),(K248-J248)*1440,"")</f>
        <v/>
      </c>
      <c r="R248" s="33" t="str">
        <f aca="false">IF(AND(G248&lt;&gt;"",K248&lt;&gt;"",L248&lt;&gt;""),(L248-K248)*1440,"")</f>
        <v/>
      </c>
      <c r="S248" s="33" t="str">
        <f aca="false">IF(AND(G248&lt;&gt;"",I248&lt;&gt;"",L248&lt;&gt;""),(L248-I248)*1440,"")</f>
        <v/>
      </c>
      <c r="T248" s="33" t="str">
        <f aca="false">IF(G248="","",IFERROR(INDEX(Settings!$B$5:$B$8,MATCH(G248,Settings!$A$5:$A$8,0)),""))</f>
        <v/>
      </c>
      <c r="U248" s="25" t="str">
        <f aca="false">IF(G248="","",IF(S248="","No",IF(S248&lt;=T248,"Yes","No")))</f>
        <v/>
      </c>
      <c r="V248" s="25" t="str">
        <f aca="false">IF(G248="","",IF(AND(J248="",K248="",L248=""),"Telemetry Blind Spot",IF(AND(K248="",L248=""),"Missed Alert",IF(L248="","Triage Delay",IF(S248&lt;=T248,"Detected - Within SLA",IF(AND(R248&lt;&gt;"",R248&gt;IFERROR(INDEX(Settings!$C$5:$C$8,MATCH(G248,Settings!$A$5:$A$8,0)),1E+099)),"Triage Delay","Detected - SLA Breach"))))))</f>
        <v/>
      </c>
      <c r="W248" s="25" t="str">
        <f aca="false">IF(G248="","",IF(L248&lt;&gt;"",1,0))</f>
        <v/>
      </c>
      <c r="X248" s="32"/>
      <c r="Y248" s="32"/>
      <c r="Z248" s="32"/>
      <c r="AA248" s="24"/>
      <c r="AB248" s="24"/>
      <c r="AC248" s="33" t="str">
        <f aca="false">IF(AND(G248&lt;&gt;"",L248&lt;&gt;"",X248&lt;&gt;""),(X248-L248)*1440,"")</f>
        <v/>
      </c>
      <c r="AD248" s="33" t="str">
        <f aca="false">IF(AND(G248&lt;&gt;"",X248&lt;&gt;"",Y248&lt;&gt;""),(Y248-X248)*1440,"")</f>
        <v/>
      </c>
      <c r="AE248" s="33" t="str">
        <f aca="false">IF(AND(G248&lt;&gt;"",Y248&lt;&gt;"",Z248&lt;&gt;""),(Z248-Y248)*1440,"")</f>
        <v/>
      </c>
      <c r="AF248" s="33" t="str">
        <f aca="false">IF(AND(G248&lt;&gt;"",L248&lt;&gt;"",Z248&lt;&gt;""),(Z248-L248)*1440,"")</f>
        <v/>
      </c>
      <c r="AG248" s="33" t="str">
        <f aca="false">IF(G248="","",IFERROR(INDEX(Settings!$D$5:$D$8,MATCH(G248,Settings!$A$5:$A$8,0)),""))</f>
        <v/>
      </c>
      <c r="AH248" s="25" t="str">
        <f aca="false">IF(G248="","",IF(AF248="","No",IF(AF248&lt;=AG248,"Yes","No")))</f>
        <v/>
      </c>
      <c r="AI248" s="25" t="str">
        <f aca="false">IF(G248="","",IF(L248="","N/A - Not Detected",IF(AND(X248="",Y248="",Z248=""),"No Containment Action",IF(Z248="",IF(Y248&lt;&gt;"","C2 Persisted","Host Isolation Gap"),IF(AF248&lt;=AG248,"Contained - Within SLA","Contained - SLA Breach")))))</f>
        <v/>
      </c>
      <c r="AJ248" s="25" t="str">
        <f aca="false">IF(G248="","",IF(Z248&lt;&gt;"",1,0))</f>
        <v/>
      </c>
      <c r="AK248" s="34"/>
      <c r="AL248" s="34"/>
      <c r="AM248" s="35"/>
      <c r="AN248" s="34"/>
      <c r="AO248" s="34"/>
      <c r="AP248" s="35"/>
      <c r="AQ248" s="34"/>
      <c r="AR248" s="34"/>
      <c r="AS248" s="34"/>
      <c r="AT248" s="35"/>
      <c r="AU248" s="35"/>
    </row>
    <row r="249" customFormat="false" ht="15" hidden="false" customHeight="false" outlineLevel="0" collapsed="false">
      <c r="A249" s="24"/>
      <c r="B249" s="24"/>
      <c r="C249" s="24"/>
      <c r="D249" s="24"/>
      <c r="E249" s="24"/>
      <c r="F249" s="24"/>
      <c r="G249" s="24"/>
      <c r="H249" s="24"/>
      <c r="I249" s="32"/>
      <c r="J249" s="32"/>
      <c r="K249" s="32"/>
      <c r="L249" s="32"/>
      <c r="M249" s="24"/>
      <c r="N249" s="24"/>
      <c r="O249" s="24"/>
      <c r="P249" s="33" t="str">
        <f aca="false">IF(AND(G249&lt;&gt;"",I249&lt;&gt;"",J249&lt;&gt;""),(J249-I249)*1440,"")</f>
        <v/>
      </c>
      <c r="Q249" s="33" t="str">
        <f aca="false">IF(AND(G249&lt;&gt;"",J249&lt;&gt;"",K249&lt;&gt;""),(K249-J249)*1440,"")</f>
        <v/>
      </c>
      <c r="R249" s="33" t="str">
        <f aca="false">IF(AND(G249&lt;&gt;"",K249&lt;&gt;"",L249&lt;&gt;""),(L249-K249)*1440,"")</f>
        <v/>
      </c>
      <c r="S249" s="33" t="str">
        <f aca="false">IF(AND(G249&lt;&gt;"",I249&lt;&gt;"",L249&lt;&gt;""),(L249-I249)*1440,"")</f>
        <v/>
      </c>
      <c r="T249" s="33" t="str">
        <f aca="false">IF(G249="","",IFERROR(INDEX(Settings!$B$5:$B$8,MATCH(G249,Settings!$A$5:$A$8,0)),""))</f>
        <v/>
      </c>
      <c r="U249" s="25" t="str">
        <f aca="false">IF(G249="","",IF(S249="","No",IF(S249&lt;=T249,"Yes","No")))</f>
        <v/>
      </c>
      <c r="V249" s="25" t="str">
        <f aca="false">IF(G249="","",IF(AND(J249="",K249="",L249=""),"Telemetry Blind Spot",IF(AND(K249="",L249=""),"Missed Alert",IF(L249="","Triage Delay",IF(S249&lt;=T249,"Detected - Within SLA",IF(AND(R249&lt;&gt;"",R249&gt;IFERROR(INDEX(Settings!$C$5:$C$8,MATCH(G249,Settings!$A$5:$A$8,0)),1E+099)),"Triage Delay","Detected - SLA Breach"))))))</f>
        <v/>
      </c>
      <c r="W249" s="25" t="str">
        <f aca="false">IF(G249="","",IF(L249&lt;&gt;"",1,0))</f>
        <v/>
      </c>
      <c r="X249" s="32"/>
      <c r="Y249" s="32"/>
      <c r="Z249" s="32"/>
      <c r="AA249" s="24"/>
      <c r="AB249" s="24"/>
      <c r="AC249" s="33" t="str">
        <f aca="false">IF(AND(G249&lt;&gt;"",L249&lt;&gt;"",X249&lt;&gt;""),(X249-L249)*1440,"")</f>
        <v/>
      </c>
      <c r="AD249" s="33" t="str">
        <f aca="false">IF(AND(G249&lt;&gt;"",X249&lt;&gt;"",Y249&lt;&gt;""),(Y249-X249)*1440,"")</f>
        <v/>
      </c>
      <c r="AE249" s="33" t="str">
        <f aca="false">IF(AND(G249&lt;&gt;"",Y249&lt;&gt;"",Z249&lt;&gt;""),(Z249-Y249)*1440,"")</f>
        <v/>
      </c>
      <c r="AF249" s="33" t="str">
        <f aca="false">IF(AND(G249&lt;&gt;"",L249&lt;&gt;"",Z249&lt;&gt;""),(Z249-L249)*1440,"")</f>
        <v/>
      </c>
      <c r="AG249" s="33" t="str">
        <f aca="false">IF(G249="","",IFERROR(INDEX(Settings!$D$5:$D$8,MATCH(G249,Settings!$A$5:$A$8,0)),""))</f>
        <v/>
      </c>
      <c r="AH249" s="25" t="str">
        <f aca="false">IF(G249="","",IF(AF249="","No",IF(AF249&lt;=AG249,"Yes","No")))</f>
        <v/>
      </c>
      <c r="AI249" s="25" t="str">
        <f aca="false">IF(G249="","",IF(L249="","N/A - Not Detected",IF(AND(X249="",Y249="",Z249=""),"No Containment Action",IF(Z249="",IF(Y249&lt;&gt;"","C2 Persisted","Host Isolation Gap"),IF(AF249&lt;=AG249,"Contained - Within SLA","Contained - SLA Breach")))))</f>
        <v/>
      </c>
      <c r="AJ249" s="25" t="str">
        <f aca="false">IF(G249="","",IF(Z249&lt;&gt;"",1,0))</f>
        <v/>
      </c>
      <c r="AK249" s="34"/>
      <c r="AL249" s="34"/>
      <c r="AM249" s="35"/>
      <c r="AN249" s="34"/>
      <c r="AO249" s="34"/>
      <c r="AP249" s="35"/>
      <c r="AQ249" s="34"/>
      <c r="AR249" s="34"/>
      <c r="AS249" s="34"/>
      <c r="AT249" s="35"/>
      <c r="AU249" s="35"/>
    </row>
    <row r="250" customFormat="false" ht="15" hidden="false" customHeight="false" outlineLevel="0" collapsed="false">
      <c r="A250" s="24"/>
      <c r="B250" s="24"/>
      <c r="C250" s="24"/>
      <c r="D250" s="24"/>
      <c r="E250" s="24"/>
      <c r="F250" s="24"/>
      <c r="G250" s="24"/>
      <c r="H250" s="24"/>
      <c r="I250" s="32"/>
      <c r="J250" s="32"/>
      <c r="K250" s="32"/>
      <c r="L250" s="32"/>
      <c r="M250" s="24"/>
      <c r="N250" s="24"/>
      <c r="O250" s="24"/>
      <c r="P250" s="33" t="str">
        <f aca="false">IF(AND(G250&lt;&gt;"",I250&lt;&gt;"",J250&lt;&gt;""),(J250-I250)*1440,"")</f>
        <v/>
      </c>
      <c r="Q250" s="33" t="str">
        <f aca="false">IF(AND(G250&lt;&gt;"",J250&lt;&gt;"",K250&lt;&gt;""),(K250-J250)*1440,"")</f>
        <v/>
      </c>
      <c r="R250" s="33" t="str">
        <f aca="false">IF(AND(G250&lt;&gt;"",K250&lt;&gt;"",L250&lt;&gt;""),(L250-K250)*1440,"")</f>
        <v/>
      </c>
      <c r="S250" s="33" t="str">
        <f aca="false">IF(AND(G250&lt;&gt;"",I250&lt;&gt;"",L250&lt;&gt;""),(L250-I250)*1440,"")</f>
        <v/>
      </c>
      <c r="T250" s="33" t="str">
        <f aca="false">IF(G250="","",IFERROR(INDEX(Settings!$B$5:$B$8,MATCH(G250,Settings!$A$5:$A$8,0)),""))</f>
        <v/>
      </c>
      <c r="U250" s="25" t="str">
        <f aca="false">IF(G250="","",IF(S250="","No",IF(S250&lt;=T250,"Yes","No")))</f>
        <v/>
      </c>
      <c r="V250" s="25" t="str">
        <f aca="false">IF(G250="","",IF(AND(J250="",K250="",L250=""),"Telemetry Blind Spot",IF(AND(K250="",L250=""),"Missed Alert",IF(L250="","Triage Delay",IF(S250&lt;=T250,"Detected - Within SLA",IF(AND(R250&lt;&gt;"",R250&gt;IFERROR(INDEX(Settings!$C$5:$C$8,MATCH(G250,Settings!$A$5:$A$8,0)),1E+099)),"Triage Delay","Detected - SLA Breach"))))))</f>
        <v/>
      </c>
      <c r="W250" s="25" t="str">
        <f aca="false">IF(G250="","",IF(L250&lt;&gt;"",1,0))</f>
        <v/>
      </c>
      <c r="X250" s="32"/>
      <c r="Y250" s="32"/>
      <c r="Z250" s="32"/>
      <c r="AA250" s="24"/>
      <c r="AB250" s="24"/>
      <c r="AC250" s="33" t="str">
        <f aca="false">IF(AND(G250&lt;&gt;"",L250&lt;&gt;"",X250&lt;&gt;""),(X250-L250)*1440,"")</f>
        <v/>
      </c>
      <c r="AD250" s="33" t="str">
        <f aca="false">IF(AND(G250&lt;&gt;"",X250&lt;&gt;"",Y250&lt;&gt;""),(Y250-X250)*1440,"")</f>
        <v/>
      </c>
      <c r="AE250" s="33" t="str">
        <f aca="false">IF(AND(G250&lt;&gt;"",Y250&lt;&gt;"",Z250&lt;&gt;""),(Z250-Y250)*1440,"")</f>
        <v/>
      </c>
      <c r="AF250" s="33" t="str">
        <f aca="false">IF(AND(G250&lt;&gt;"",L250&lt;&gt;"",Z250&lt;&gt;""),(Z250-L250)*1440,"")</f>
        <v/>
      </c>
      <c r="AG250" s="33" t="str">
        <f aca="false">IF(G250="","",IFERROR(INDEX(Settings!$D$5:$D$8,MATCH(G250,Settings!$A$5:$A$8,0)),""))</f>
        <v/>
      </c>
      <c r="AH250" s="25" t="str">
        <f aca="false">IF(G250="","",IF(AF250="","No",IF(AF250&lt;=AG250,"Yes","No")))</f>
        <v/>
      </c>
      <c r="AI250" s="25" t="str">
        <f aca="false">IF(G250="","",IF(L250="","N/A - Not Detected",IF(AND(X250="",Y250="",Z250=""),"No Containment Action",IF(Z250="",IF(Y250&lt;&gt;"","C2 Persisted","Host Isolation Gap"),IF(AF250&lt;=AG250,"Contained - Within SLA","Contained - SLA Breach")))))</f>
        <v/>
      </c>
      <c r="AJ250" s="25" t="str">
        <f aca="false">IF(G250="","",IF(Z250&lt;&gt;"",1,0))</f>
        <v/>
      </c>
      <c r="AK250" s="34"/>
      <c r="AL250" s="34"/>
      <c r="AM250" s="35"/>
      <c r="AN250" s="34"/>
      <c r="AO250" s="34"/>
      <c r="AP250" s="35"/>
      <c r="AQ250" s="34"/>
      <c r="AR250" s="34"/>
      <c r="AS250" s="34"/>
      <c r="AT250" s="35"/>
      <c r="AU250" s="35"/>
    </row>
    <row r="251" customFormat="false" ht="15" hidden="false" customHeight="false" outlineLevel="0" collapsed="false">
      <c r="A251" s="24"/>
      <c r="B251" s="24"/>
      <c r="C251" s="24"/>
      <c r="D251" s="24"/>
      <c r="E251" s="24"/>
      <c r="F251" s="24"/>
      <c r="G251" s="24"/>
      <c r="H251" s="24"/>
      <c r="I251" s="32"/>
      <c r="J251" s="32"/>
      <c r="K251" s="32"/>
      <c r="L251" s="32"/>
      <c r="M251" s="24"/>
      <c r="N251" s="24"/>
      <c r="O251" s="24"/>
      <c r="P251" s="33" t="str">
        <f aca="false">IF(AND(G251&lt;&gt;"",I251&lt;&gt;"",J251&lt;&gt;""),(J251-I251)*1440,"")</f>
        <v/>
      </c>
      <c r="Q251" s="33" t="str">
        <f aca="false">IF(AND(G251&lt;&gt;"",J251&lt;&gt;"",K251&lt;&gt;""),(K251-J251)*1440,"")</f>
        <v/>
      </c>
      <c r="R251" s="33" t="str">
        <f aca="false">IF(AND(G251&lt;&gt;"",K251&lt;&gt;"",L251&lt;&gt;""),(L251-K251)*1440,"")</f>
        <v/>
      </c>
      <c r="S251" s="33" t="str">
        <f aca="false">IF(AND(G251&lt;&gt;"",I251&lt;&gt;"",L251&lt;&gt;""),(L251-I251)*1440,"")</f>
        <v/>
      </c>
      <c r="T251" s="33" t="str">
        <f aca="false">IF(G251="","",IFERROR(INDEX(Settings!$B$5:$B$8,MATCH(G251,Settings!$A$5:$A$8,0)),""))</f>
        <v/>
      </c>
      <c r="U251" s="25" t="str">
        <f aca="false">IF(G251="","",IF(S251="","No",IF(S251&lt;=T251,"Yes","No")))</f>
        <v/>
      </c>
      <c r="V251" s="25" t="str">
        <f aca="false">IF(G251="","",IF(AND(J251="",K251="",L251=""),"Telemetry Blind Spot",IF(AND(K251="",L251=""),"Missed Alert",IF(L251="","Triage Delay",IF(S251&lt;=T251,"Detected - Within SLA",IF(AND(R251&lt;&gt;"",R251&gt;IFERROR(INDEX(Settings!$C$5:$C$8,MATCH(G251,Settings!$A$5:$A$8,0)),1E+099)),"Triage Delay","Detected - SLA Breach"))))))</f>
        <v/>
      </c>
      <c r="W251" s="25" t="str">
        <f aca="false">IF(G251="","",IF(L251&lt;&gt;"",1,0))</f>
        <v/>
      </c>
      <c r="X251" s="32"/>
      <c r="Y251" s="32"/>
      <c r="Z251" s="32"/>
      <c r="AA251" s="24"/>
      <c r="AB251" s="24"/>
      <c r="AC251" s="33" t="str">
        <f aca="false">IF(AND(G251&lt;&gt;"",L251&lt;&gt;"",X251&lt;&gt;""),(X251-L251)*1440,"")</f>
        <v/>
      </c>
      <c r="AD251" s="33" t="str">
        <f aca="false">IF(AND(G251&lt;&gt;"",X251&lt;&gt;"",Y251&lt;&gt;""),(Y251-X251)*1440,"")</f>
        <v/>
      </c>
      <c r="AE251" s="33" t="str">
        <f aca="false">IF(AND(G251&lt;&gt;"",Y251&lt;&gt;"",Z251&lt;&gt;""),(Z251-Y251)*1440,"")</f>
        <v/>
      </c>
      <c r="AF251" s="33" t="str">
        <f aca="false">IF(AND(G251&lt;&gt;"",L251&lt;&gt;"",Z251&lt;&gt;""),(Z251-L251)*1440,"")</f>
        <v/>
      </c>
      <c r="AG251" s="33" t="str">
        <f aca="false">IF(G251="","",IFERROR(INDEX(Settings!$D$5:$D$8,MATCH(G251,Settings!$A$5:$A$8,0)),""))</f>
        <v/>
      </c>
      <c r="AH251" s="25" t="str">
        <f aca="false">IF(G251="","",IF(AF251="","No",IF(AF251&lt;=AG251,"Yes","No")))</f>
        <v/>
      </c>
      <c r="AI251" s="25" t="str">
        <f aca="false">IF(G251="","",IF(L251="","N/A - Not Detected",IF(AND(X251="",Y251="",Z251=""),"No Containment Action",IF(Z251="",IF(Y251&lt;&gt;"","C2 Persisted","Host Isolation Gap"),IF(AF251&lt;=AG251,"Contained - Within SLA","Contained - SLA Breach")))))</f>
        <v/>
      </c>
      <c r="AJ251" s="25" t="str">
        <f aca="false">IF(G251="","",IF(Z251&lt;&gt;"",1,0))</f>
        <v/>
      </c>
      <c r="AK251" s="34"/>
      <c r="AL251" s="34"/>
      <c r="AM251" s="35"/>
      <c r="AN251" s="34"/>
      <c r="AO251" s="34"/>
      <c r="AP251" s="35"/>
      <c r="AQ251" s="34"/>
      <c r="AR251" s="34"/>
      <c r="AS251" s="34"/>
      <c r="AT251" s="35"/>
      <c r="AU251" s="35"/>
    </row>
    <row r="252" customFormat="false" ht="15" hidden="false" customHeight="false" outlineLevel="0" collapsed="false">
      <c r="A252" s="24"/>
      <c r="B252" s="24"/>
      <c r="C252" s="24"/>
      <c r="D252" s="24"/>
      <c r="E252" s="24"/>
      <c r="F252" s="24"/>
      <c r="G252" s="24"/>
      <c r="H252" s="24"/>
      <c r="I252" s="32"/>
      <c r="J252" s="32"/>
      <c r="K252" s="32"/>
      <c r="L252" s="32"/>
      <c r="M252" s="24"/>
      <c r="N252" s="24"/>
      <c r="O252" s="24"/>
      <c r="P252" s="33" t="str">
        <f aca="false">IF(AND(G252&lt;&gt;"",I252&lt;&gt;"",J252&lt;&gt;""),(J252-I252)*1440,"")</f>
        <v/>
      </c>
      <c r="Q252" s="33" t="str">
        <f aca="false">IF(AND(G252&lt;&gt;"",J252&lt;&gt;"",K252&lt;&gt;""),(K252-J252)*1440,"")</f>
        <v/>
      </c>
      <c r="R252" s="33" t="str">
        <f aca="false">IF(AND(G252&lt;&gt;"",K252&lt;&gt;"",L252&lt;&gt;""),(L252-K252)*1440,"")</f>
        <v/>
      </c>
      <c r="S252" s="33" t="str">
        <f aca="false">IF(AND(G252&lt;&gt;"",I252&lt;&gt;"",L252&lt;&gt;""),(L252-I252)*1440,"")</f>
        <v/>
      </c>
      <c r="T252" s="33" t="str">
        <f aca="false">IF(G252="","",IFERROR(INDEX(Settings!$B$5:$B$8,MATCH(G252,Settings!$A$5:$A$8,0)),""))</f>
        <v/>
      </c>
      <c r="U252" s="25" t="str">
        <f aca="false">IF(G252="","",IF(S252="","No",IF(S252&lt;=T252,"Yes","No")))</f>
        <v/>
      </c>
      <c r="V252" s="25" t="str">
        <f aca="false">IF(G252="","",IF(AND(J252="",K252="",L252=""),"Telemetry Blind Spot",IF(AND(K252="",L252=""),"Missed Alert",IF(L252="","Triage Delay",IF(S252&lt;=T252,"Detected - Within SLA",IF(AND(R252&lt;&gt;"",R252&gt;IFERROR(INDEX(Settings!$C$5:$C$8,MATCH(G252,Settings!$A$5:$A$8,0)),1E+099)),"Triage Delay","Detected - SLA Breach"))))))</f>
        <v/>
      </c>
      <c r="W252" s="25" t="str">
        <f aca="false">IF(G252="","",IF(L252&lt;&gt;"",1,0))</f>
        <v/>
      </c>
      <c r="X252" s="32"/>
      <c r="Y252" s="32"/>
      <c r="Z252" s="32"/>
      <c r="AA252" s="24"/>
      <c r="AB252" s="24"/>
      <c r="AC252" s="33" t="str">
        <f aca="false">IF(AND(G252&lt;&gt;"",L252&lt;&gt;"",X252&lt;&gt;""),(X252-L252)*1440,"")</f>
        <v/>
      </c>
      <c r="AD252" s="33" t="str">
        <f aca="false">IF(AND(G252&lt;&gt;"",X252&lt;&gt;"",Y252&lt;&gt;""),(Y252-X252)*1440,"")</f>
        <v/>
      </c>
      <c r="AE252" s="33" t="str">
        <f aca="false">IF(AND(G252&lt;&gt;"",Y252&lt;&gt;"",Z252&lt;&gt;""),(Z252-Y252)*1440,"")</f>
        <v/>
      </c>
      <c r="AF252" s="33" t="str">
        <f aca="false">IF(AND(G252&lt;&gt;"",L252&lt;&gt;"",Z252&lt;&gt;""),(Z252-L252)*1440,"")</f>
        <v/>
      </c>
      <c r="AG252" s="33" t="str">
        <f aca="false">IF(G252="","",IFERROR(INDEX(Settings!$D$5:$D$8,MATCH(G252,Settings!$A$5:$A$8,0)),""))</f>
        <v/>
      </c>
      <c r="AH252" s="25" t="str">
        <f aca="false">IF(G252="","",IF(AF252="","No",IF(AF252&lt;=AG252,"Yes","No")))</f>
        <v/>
      </c>
      <c r="AI252" s="25" t="str">
        <f aca="false">IF(G252="","",IF(L252="","N/A - Not Detected",IF(AND(X252="",Y252="",Z252=""),"No Containment Action",IF(Z252="",IF(Y252&lt;&gt;"","C2 Persisted","Host Isolation Gap"),IF(AF252&lt;=AG252,"Contained - Within SLA","Contained - SLA Breach")))))</f>
        <v/>
      </c>
      <c r="AJ252" s="25" t="str">
        <f aca="false">IF(G252="","",IF(Z252&lt;&gt;"",1,0))</f>
        <v/>
      </c>
      <c r="AK252" s="34"/>
      <c r="AL252" s="34"/>
      <c r="AM252" s="35"/>
      <c r="AN252" s="34"/>
      <c r="AO252" s="34"/>
      <c r="AP252" s="35"/>
      <c r="AQ252" s="34"/>
      <c r="AR252" s="34"/>
      <c r="AS252" s="34"/>
      <c r="AT252" s="35"/>
      <c r="AU252" s="35"/>
    </row>
    <row r="253" customFormat="false" ht="15" hidden="false" customHeight="false" outlineLevel="0" collapsed="false">
      <c r="A253" s="24"/>
      <c r="B253" s="24"/>
      <c r="C253" s="24"/>
      <c r="D253" s="24"/>
      <c r="E253" s="24"/>
      <c r="F253" s="24"/>
      <c r="G253" s="24"/>
      <c r="H253" s="24"/>
      <c r="I253" s="32"/>
      <c r="J253" s="32"/>
      <c r="K253" s="32"/>
      <c r="L253" s="32"/>
      <c r="M253" s="24"/>
      <c r="N253" s="24"/>
      <c r="O253" s="24"/>
      <c r="P253" s="33" t="str">
        <f aca="false">IF(AND(G253&lt;&gt;"",I253&lt;&gt;"",J253&lt;&gt;""),(J253-I253)*1440,"")</f>
        <v/>
      </c>
      <c r="Q253" s="33" t="str">
        <f aca="false">IF(AND(G253&lt;&gt;"",J253&lt;&gt;"",K253&lt;&gt;""),(K253-J253)*1440,"")</f>
        <v/>
      </c>
      <c r="R253" s="33" t="str">
        <f aca="false">IF(AND(G253&lt;&gt;"",K253&lt;&gt;"",L253&lt;&gt;""),(L253-K253)*1440,"")</f>
        <v/>
      </c>
      <c r="S253" s="33" t="str">
        <f aca="false">IF(AND(G253&lt;&gt;"",I253&lt;&gt;"",L253&lt;&gt;""),(L253-I253)*1440,"")</f>
        <v/>
      </c>
      <c r="T253" s="33" t="str">
        <f aca="false">IF(G253="","",IFERROR(INDEX(Settings!$B$5:$B$8,MATCH(G253,Settings!$A$5:$A$8,0)),""))</f>
        <v/>
      </c>
      <c r="U253" s="25" t="str">
        <f aca="false">IF(G253="","",IF(S253="","No",IF(S253&lt;=T253,"Yes","No")))</f>
        <v/>
      </c>
      <c r="V253" s="25" t="str">
        <f aca="false">IF(G253="","",IF(AND(J253="",K253="",L253=""),"Telemetry Blind Spot",IF(AND(K253="",L253=""),"Missed Alert",IF(L253="","Triage Delay",IF(S253&lt;=T253,"Detected - Within SLA",IF(AND(R253&lt;&gt;"",R253&gt;IFERROR(INDEX(Settings!$C$5:$C$8,MATCH(G253,Settings!$A$5:$A$8,0)),1E+099)),"Triage Delay","Detected - SLA Breach"))))))</f>
        <v/>
      </c>
      <c r="W253" s="25" t="str">
        <f aca="false">IF(G253="","",IF(L253&lt;&gt;"",1,0))</f>
        <v/>
      </c>
      <c r="X253" s="32"/>
      <c r="Y253" s="32"/>
      <c r="Z253" s="32"/>
      <c r="AA253" s="24"/>
      <c r="AB253" s="24"/>
      <c r="AC253" s="33" t="str">
        <f aca="false">IF(AND(G253&lt;&gt;"",L253&lt;&gt;"",X253&lt;&gt;""),(X253-L253)*1440,"")</f>
        <v/>
      </c>
      <c r="AD253" s="33" t="str">
        <f aca="false">IF(AND(G253&lt;&gt;"",X253&lt;&gt;"",Y253&lt;&gt;""),(Y253-X253)*1440,"")</f>
        <v/>
      </c>
      <c r="AE253" s="33" t="str">
        <f aca="false">IF(AND(G253&lt;&gt;"",Y253&lt;&gt;"",Z253&lt;&gt;""),(Z253-Y253)*1440,"")</f>
        <v/>
      </c>
      <c r="AF253" s="33" t="str">
        <f aca="false">IF(AND(G253&lt;&gt;"",L253&lt;&gt;"",Z253&lt;&gt;""),(Z253-L253)*1440,"")</f>
        <v/>
      </c>
      <c r="AG253" s="33" t="str">
        <f aca="false">IF(G253="","",IFERROR(INDEX(Settings!$D$5:$D$8,MATCH(G253,Settings!$A$5:$A$8,0)),""))</f>
        <v/>
      </c>
      <c r="AH253" s="25" t="str">
        <f aca="false">IF(G253="","",IF(AF253="","No",IF(AF253&lt;=AG253,"Yes","No")))</f>
        <v/>
      </c>
      <c r="AI253" s="25" t="str">
        <f aca="false">IF(G253="","",IF(L253="","N/A - Not Detected",IF(AND(X253="",Y253="",Z253=""),"No Containment Action",IF(Z253="",IF(Y253&lt;&gt;"","C2 Persisted","Host Isolation Gap"),IF(AF253&lt;=AG253,"Contained - Within SLA","Contained - SLA Breach")))))</f>
        <v/>
      </c>
      <c r="AJ253" s="25" t="str">
        <f aca="false">IF(G253="","",IF(Z253&lt;&gt;"",1,0))</f>
        <v/>
      </c>
      <c r="AK253" s="34"/>
      <c r="AL253" s="34"/>
      <c r="AM253" s="35"/>
      <c r="AN253" s="34"/>
      <c r="AO253" s="34"/>
      <c r="AP253" s="35"/>
      <c r="AQ253" s="34"/>
      <c r="AR253" s="34"/>
      <c r="AS253" s="34"/>
      <c r="AT253" s="35"/>
      <c r="AU253" s="35"/>
    </row>
    <row r="254" customFormat="false" ht="15" hidden="false" customHeight="false" outlineLevel="0" collapsed="false">
      <c r="A254" s="24"/>
      <c r="B254" s="24"/>
      <c r="C254" s="24"/>
      <c r="D254" s="24"/>
      <c r="E254" s="24"/>
      <c r="F254" s="24"/>
      <c r="G254" s="24"/>
      <c r="H254" s="24"/>
      <c r="I254" s="32"/>
      <c r="J254" s="32"/>
      <c r="K254" s="32"/>
      <c r="L254" s="32"/>
      <c r="M254" s="24"/>
      <c r="N254" s="24"/>
      <c r="O254" s="24"/>
      <c r="P254" s="33" t="str">
        <f aca="false">IF(AND(G254&lt;&gt;"",I254&lt;&gt;"",J254&lt;&gt;""),(J254-I254)*1440,"")</f>
        <v/>
      </c>
      <c r="Q254" s="33" t="str">
        <f aca="false">IF(AND(G254&lt;&gt;"",J254&lt;&gt;"",K254&lt;&gt;""),(K254-J254)*1440,"")</f>
        <v/>
      </c>
      <c r="R254" s="33" t="str">
        <f aca="false">IF(AND(G254&lt;&gt;"",K254&lt;&gt;"",L254&lt;&gt;""),(L254-K254)*1440,"")</f>
        <v/>
      </c>
      <c r="S254" s="33" t="str">
        <f aca="false">IF(AND(G254&lt;&gt;"",I254&lt;&gt;"",L254&lt;&gt;""),(L254-I254)*1440,"")</f>
        <v/>
      </c>
      <c r="T254" s="33" t="str">
        <f aca="false">IF(G254="","",IFERROR(INDEX(Settings!$B$5:$B$8,MATCH(G254,Settings!$A$5:$A$8,0)),""))</f>
        <v/>
      </c>
      <c r="U254" s="25" t="str">
        <f aca="false">IF(G254="","",IF(S254="","No",IF(S254&lt;=T254,"Yes","No")))</f>
        <v/>
      </c>
      <c r="V254" s="25" t="str">
        <f aca="false">IF(G254="","",IF(AND(J254="",K254="",L254=""),"Telemetry Blind Spot",IF(AND(K254="",L254=""),"Missed Alert",IF(L254="","Triage Delay",IF(S254&lt;=T254,"Detected - Within SLA",IF(AND(R254&lt;&gt;"",R254&gt;IFERROR(INDEX(Settings!$C$5:$C$8,MATCH(G254,Settings!$A$5:$A$8,0)),1E+099)),"Triage Delay","Detected - SLA Breach"))))))</f>
        <v/>
      </c>
      <c r="W254" s="25" t="str">
        <f aca="false">IF(G254="","",IF(L254&lt;&gt;"",1,0))</f>
        <v/>
      </c>
      <c r="X254" s="32"/>
      <c r="Y254" s="32"/>
      <c r="Z254" s="32"/>
      <c r="AA254" s="24"/>
      <c r="AB254" s="24"/>
      <c r="AC254" s="33" t="str">
        <f aca="false">IF(AND(G254&lt;&gt;"",L254&lt;&gt;"",X254&lt;&gt;""),(X254-L254)*1440,"")</f>
        <v/>
      </c>
      <c r="AD254" s="33" t="str">
        <f aca="false">IF(AND(G254&lt;&gt;"",X254&lt;&gt;"",Y254&lt;&gt;""),(Y254-X254)*1440,"")</f>
        <v/>
      </c>
      <c r="AE254" s="33" t="str">
        <f aca="false">IF(AND(G254&lt;&gt;"",Y254&lt;&gt;"",Z254&lt;&gt;""),(Z254-Y254)*1440,"")</f>
        <v/>
      </c>
      <c r="AF254" s="33" t="str">
        <f aca="false">IF(AND(G254&lt;&gt;"",L254&lt;&gt;"",Z254&lt;&gt;""),(Z254-L254)*1440,"")</f>
        <v/>
      </c>
      <c r="AG254" s="33" t="str">
        <f aca="false">IF(G254="","",IFERROR(INDEX(Settings!$D$5:$D$8,MATCH(G254,Settings!$A$5:$A$8,0)),""))</f>
        <v/>
      </c>
      <c r="AH254" s="25" t="str">
        <f aca="false">IF(G254="","",IF(AF254="","No",IF(AF254&lt;=AG254,"Yes","No")))</f>
        <v/>
      </c>
      <c r="AI254" s="25" t="str">
        <f aca="false">IF(G254="","",IF(L254="","N/A - Not Detected",IF(AND(X254="",Y254="",Z254=""),"No Containment Action",IF(Z254="",IF(Y254&lt;&gt;"","C2 Persisted","Host Isolation Gap"),IF(AF254&lt;=AG254,"Contained - Within SLA","Contained - SLA Breach")))))</f>
        <v/>
      </c>
      <c r="AJ254" s="25" t="str">
        <f aca="false">IF(G254="","",IF(Z254&lt;&gt;"",1,0))</f>
        <v/>
      </c>
      <c r="AK254" s="34"/>
      <c r="AL254" s="34"/>
      <c r="AM254" s="35"/>
      <c r="AN254" s="34"/>
      <c r="AO254" s="34"/>
      <c r="AP254" s="35"/>
      <c r="AQ254" s="34"/>
      <c r="AR254" s="34"/>
      <c r="AS254" s="34"/>
      <c r="AT254" s="35"/>
      <c r="AU254" s="35"/>
    </row>
    <row r="255" customFormat="false" ht="15" hidden="false" customHeight="false" outlineLevel="0" collapsed="false">
      <c r="A255" s="24"/>
      <c r="B255" s="24"/>
      <c r="C255" s="24"/>
      <c r="D255" s="24"/>
      <c r="E255" s="24"/>
      <c r="F255" s="24"/>
      <c r="G255" s="24"/>
      <c r="H255" s="24"/>
      <c r="I255" s="32"/>
      <c r="J255" s="32"/>
      <c r="K255" s="32"/>
      <c r="L255" s="32"/>
      <c r="M255" s="24"/>
      <c r="N255" s="24"/>
      <c r="O255" s="24"/>
      <c r="P255" s="33" t="str">
        <f aca="false">IF(AND(G255&lt;&gt;"",I255&lt;&gt;"",J255&lt;&gt;""),(J255-I255)*1440,"")</f>
        <v/>
      </c>
      <c r="Q255" s="33" t="str">
        <f aca="false">IF(AND(G255&lt;&gt;"",J255&lt;&gt;"",K255&lt;&gt;""),(K255-J255)*1440,"")</f>
        <v/>
      </c>
      <c r="R255" s="33" t="str">
        <f aca="false">IF(AND(G255&lt;&gt;"",K255&lt;&gt;"",L255&lt;&gt;""),(L255-K255)*1440,"")</f>
        <v/>
      </c>
      <c r="S255" s="33" t="str">
        <f aca="false">IF(AND(G255&lt;&gt;"",I255&lt;&gt;"",L255&lt;&gt;""),(L255-I255)*1440,"")</f>
        <v/>
      </c>
      <c r="T255" s="33" t="str">
        <f aca="false">IF(G255="","",IFERROR(INDEX(Settings!$B$5:$B$8,MATCH(G255,Settings!$A$5:$A$8,0)),""))</f>
        <v/>
      </c>
      <c r="U255" s="25" t="str">
        <f aca="false">IF(G255="","",IF(S255="","No",IF(S255&lt;=T255,"Yes","No")))</f>
        <v/>
      </c>
      <c r="V255" s="25" t="str">
        <f aca="false">IF(G255="","",IF(AND(J255="",K255="",L255=""),"Telemetry Blind Spot",IF(AND(K255="",L255=""),"Missed Alert",IF(L255="","Triage Delay",IF(S255&lt;=T255,"Detected - Within SLA",IF(AND(R255&lt;&gt;"",R255&gt;IFERROR(INDEX(Settings!$C$5:$C$8,MATCH(G255,Settings!$A$5:$A$8,0)),1E+099)),"Triage Delay","Detected - SLA Breach"))))))</f>
        <v/>
      </c>
      <c r="W255" s="25" t="str">
        <f aca="false">IF(G255="","",IF(L255&lt;&gt;"",1,0))</f>
        <v/>
      </c>
      <c r="X255" s="32"/>
      <c r="Y255" s="32"/>
      <c r="Z255" s="32"/>
      <c r="AA255" s="24"/>
      <c r="AB255" s="24"/>
      <c r="AC255" s="33" t="str">
        <f aca="false">IF(AND(G255&lt;&gt;"",L255&lt;&gt;"",X255&lt;&gt;""),(X255-L255)*1440,"")</f>
        <v/>
      </c>
      <c r="AD255" s="33" t="str">
        <f aca="false">IF(AND(G255&lt;&gt;"",X255&lt;&gt;"",Y255&lt;&gt;""),(Y255-X255)*1440,"")</f>
        <v/>
      </c>
      <c r="AE255" s="33" t="str">
        <f aca="false">IF(AND(G255&lt;&gt;"",Y255&lt;&gt;"",Z255&lt;&gt;""),(Z255-Y255)*1440,"")</f>
        <v/>
      </c>
      <c r="AF255" s="33" t="str">
        <f aca="false">IF(AND(G255&lt;&gt;"",L255&lt;&gt;"",Z255&lt;&gt;""),(Z255-L255)*1440,"")</f>
        <v/>
      </c>
      <c r="AG255" s="33" t="str">
        <f aca="false">IF(G255="","",IFERROR(INDEX(Settings!$D$5:$D$8,MATCH(G255,Settings!$A$5:$A$8,0)),""))</f>
        <v/>
      </c>
      <c r="AH255" s="25" t="str">
        <f aca="false">IF(G255="","",IF(AF255="","No",IF(AF255&lt;=AG255,"Yes","No")))</f>
        <v/>
      </c>
      <c r="AI255" s="25" t="str">
        <f aca="false">IF(G255="","",IF(L255="","N/A - Not Detected",IF(AND(X255="",Y255="",Z255=""),"No Containment Action",IF(Z255="",IF(Y255&lt;&gt;"","C2 Persisted","Host Isolation Gap"),IF(AF255&lt;=AG255,"Contained - Within SLA","Contained - SLA Breach")))))</f>
        <v/>
      </c>
      <c r="AJ255" s="25" t="str">
        <f aca="false">IF(G255="","",IF(Z255&lt;&gt;"",1,0))</f>
        <v/>
      </c>
      <c r="AK255" s="34"/>
      <c r="AL255" s="34"/>
      <c r="AM255" s="35"/>
      <c r="AN255" s="34"/>
      <c r="AO255" s="34"/>
      <c r="AP255" s="35"/>
      <c r="AQ255" s="34"/>
      <c r="AR255" s="34"/>
      <c r="AS255" s="34"/>
      <c r="AT255" s="35"/>
      <c r="AU255" s="35"/>
    </row>
    <row r="256" customFormat="false" ht="15" hidden="false" customHeight="false" outlineLevel="0" collapsed="false">
      <c r="A256" s="24"/>
      <c r="B256" s="24"/>
      <c r="C256" s="24"/>
      <c r="D256" s="24"/>
      <c r="E256" s="24"/>
      <c r="F256" s="24"/>
      <c r="G256" s="24"/>
      <c r="H256" s="24"/>
      <c r="I256" s="32"/>
      <c r="J256" s="32"/>
      <c r="K256" s="32"/>
      <c r="L256" s="32"/>
      <c r="M256" s="24"/>
      <c r="N256" s="24"/>
      <c r="O256" s="24"/>
      <c r="P256" s="33" t="str">
        <f aca="false">IF(AND(G256&lt;&gt;"",I256&lt;&gt;"",J256&lt;&gt;""),(J256-I256)*1440,"")</f>
        <v/>
      </c>
      <c r="Q256" s="33" t="str">
        <f aca="false">IF(AND(G256&lt;&gt;"",J256&lt;&gt;"",K256&lt;&gt;""),(K256-J256)*1440,"")</f>
        <v/>
      </c>
      <c r="R256" s="33" t="str">
        <f aca="false">IF(AND(G256&lt;&gt;"",K256&lt;&gt;"",L256&lt;&gt;""),(L256-K256)*1440,"")</f>
        <v/>
      </c>
      <c r="S256" s="33" t="str">
        <f aca="false">IF(AND(G256&lt;&gt;"",I256&lt;&gt;"",L256&lt;&gt;""),(L256-I256)*1440,"")</f>
        <v/>
      </c>
      <c r="T256" s="33" t="str">
        <f aca="false">IF(G256="","",IFERROR(INDEX(Settings!$B$5:$B$8,MATCH(G256,Settings!$A$5:$A$8,0)),""))</f>
        <v/>
      </c>
      <c r="U256" s="25" t="str">
        <f aca="false">IF(G256="","",IF(S256="","No",IF(S256&lt;=T256,"Yes","No")))</f>
        <v/>
      </c>
      <c r="V256" s="25" t="str">
        <f aca="false">IF(G256="","",IF(AND(J256="",K256="",L256=""),"Telemetry Blind Spot",IF(AND(K256="",L256=""),"Missed Alert",IF(L256="","Triage Delay",IF(S256&lt;=T256,"Detected - Within SLA",IF(AND(R256&lt;&gt;"",R256&gt;IFERROR(INDEX(Settings!$C$5:$C$8,MATCH(G256,Settings!$A$5:$A$8,0)),1E+099)),"Triage Delay","Detected - SLA Breach"))))))</f>
        <v/>
      </c>
      <c r="W256" s="25" t="str">
        <f aca="false">IF(G256="","",IF(L256&lt;&gt;"",1,0))</f>
        <v/>
      </c>
      <c r="X256" s="32"/>
      <c r="Y256" s="32"/>
      <c r="Z256" s="32"/>
      <c r="AA256" s="24"/>
      <c r="AB256" s="24"/>
      <c r="AC256" s="33" t="str">
        <f aca="false">IF(AND(G256&lt;&gt;"",L256&lt;&gt;"",X256&lt;&gt;""),(X256-L256)*1440,"")</f>
        <v/>
      </c>
      <c r="AD256" s="33" t="str">
        <f aca="false">IF(AND(G256&lt;&gt;"",X256&lt;&gt;"",Y256&lt;&gt;""),(Y256-X256)*1440,"")</f>
        <v/>
      </c>
      <c r="AE256" s="33" t="str">
        <f aca="false">IF(AND(G256&lt;&gt;"",Y256&lt;&gt;"",Z256&lt;&gt;""),(Z256-Y256)*1440,"")</f>
        <v/>
      </c>
      <c r="AF256" s="33" t="str">
        <f aca="false">IF(AND(G256&lt;&gt;"",L256&lt;&gt;"",Z256&lt;&gt;""),(Z256-L256)*1440,"")</f>
        <v/>
      </c>
      <c r="AG256" s="33" t="str">
        <f aca="false">IF(G256="","",IFERROR(INDEX(Settings!$D$5:$D$8,MATCH(G256,Settings!$A$5:$A$8,0)),""))</f>
        <v/>
      </c>
      <c r="AH256" s="25" t="str">
        <f aca="false">IF(G256="","",IF(AF256="","No",IF(AF256&lt;=AG256,"Yes","No")))</f>
        <v/>
      </c>
      <c r="AI256" s="25" t="str">
        <f aca="false">IF(G256="","",IF(L256="","N/A - Not Detected",IF(AND(X256="",Y256="",Z256=""),"No Containment Action",IF(Z256="",IF(Y256&lt;&gt;"","C2 Persisted","Host Isolation Gap"),IF(AF256&lt;=AG256,"Contained - Within SLA","Contained - SLA Breach")))))</f>
        <v/>
      </c>
      <c r="AJ256" s="25" t="str">
        <f aca="false">IF(G256="","",IF(Z256&lt;&gt;"",1,0))</f>
        <v/>
      </c>
      <c r="AK256" s="34"/>
      <c r="AL256" s="34"/>
      <c r="AM256" s="35"/>
      <c r="AN256" s="34"/>
      <c r="AO256" s="34"/>
      <c r="AP256" s="35"/>
      <c r="AQ256" s="34"/>
      <c r="AR256" s="34"/>
      <c r="AS256" s="34"/>
      <c r="AT256" s="35"/>
      <c r="AU256" s="35"/>
    </row>
    <row r="257" customFormat="false" ht="15" hidden="false" customHeight="false" outlineLevel="0" collapsed="false">
      <c r="A257" s="24"/>
      <c r="B257" s="24"/>
      <c r="C257" s="24"/>
      <c r="D257" s="24"/>
      <c r="E257" s="24"/>
      <c r="F257" s="24"/>
      <c r="G257" s="24"/>
      <c r="H257" s="24"/>
      <c r="I257" s="32"/>
      <c r="J257" s="32"/>
      <c r="K257" s="32"/>
      <c r="L257" s="32"/>
      <c r="M257" s="24"/>
      <c r="N257" s="24"/>
      <c r="O257" s="24"/>
      <c r="P257" s="33" t="str">
        <f aca="false">IF(AND(G257&lt;&gt;"",I257&lt;&gt;"",J257&lt;&gt;""),(J257-I257)*1440,"")</f>
        <v/>
      </c>
      <c r="Q257" s="33" t="str">
        <f aca="false">IF(AND(G257&lt;&gt;"",J257&lt;&gt;"",K257&lt;&gt;""),(K257-J257)*1440,"")</f>
        <v/>
      </c>
      <c r="R257" s="33" t="str">
        <f aca="false">IF(AND(G257&lt;&gt;"",K257&lt;&gt;"",L257&lt;&gt;""),(L257-K257)*1440,"")</f>
        <v/>
      </c>
      <c r="S257" s="33" t="str">
        <f aca="false">IF(AND(G257&lt;&gt;"",I257&lt;&gt;"",L257&lt;&gt;""),(L257-I257)*1440,"")</f>
        <v/>
      </c>
      <c r="T257" s="33" t="str">
        <f aca="false">IF(G257="","",IFERROR(INDEX(Settings!$B$5:$B$8,MATCH(G257,Settings!$A$5:$A$8,0)),""))</f>
        <v/>
      </c>
      <c r="U257" s="25" t="str">
        <f aca="false">IF(G257="","",IF(S257="","No",IF(S257&lt;=T257,"Yes","No")))</f>
        <v/>
      </c>
      <c r="V257" s="25" t="str">
        <f aca="false">IF(G257="","",IF(AND(J257="",K257="",L257=""),"Telemetry Blind Spot",IF(AND(K257="",L257=""),"Missed Alert",IF(L257="","Triage Delay",IF(S257&lt;=T257,"Detected - Within SLA",IF(AND(R257&lt;&gt;"",R257&gt;IFERROR(INDEX(Settings!$C$5:$C$8,MATCH(G257,Settings!$A$5:$A$8,0)),1E+099)),"Triage Delay","Detected - SLA Breach"))))))</f>
        <v/>
      </c>
      <c r="W257" s="25" t="str">
        <f aca="false">IF(G257="","",IF(L257&lt;&gt;"",1,0))</f>
        <v/>
      </c>
      <c r="X257" s="32"/>
      <c r="Y257" s="32"/>
      <c r="Z257" s="32"/>
      <c r="AA257" s="24"/>
      <c r="AB257" s="24"/>
      <c r="AC257" s="33" t="str">
        <f aca="false">IF(AND(G257&lt;&gt;"",L257&lt;&gt;"",X257&lt;&gt;""),(X257-L257)*1440,"")</f>
        <v/>
      </c>
      <c r="AD257" s="33" t="str">
        <f aca="false">IF(AND(G257&lt;&gt;"",X257&lt;&gt;"",Y257&lt;&gt;""),(Y257-X257)*1440,"")</f>
        <v/>
      </c>
      <c r="AE257" s="33" t="str">
        <f aca="false">IF(AND(G257&lt;&gt;"",Y257&lt;&gt;"",Z257&lt;&gt;""),(Z257-Y257)*1440,"")</f>
        <v/>
      </c>
      <c r="AF257" s="33" t="str">
        <f aca="false">IF(AND(G257&lt;&gt;"",L257&lt;&gt;"",Z257&lt;&gt;""),(Z257-L257)*1440,"")</f>
        <v/>
      </c>
      <c r="AG257" s="33" t="str">
        <f aca="false">IF(G257="","",IFERROR(INDEX(Settings!$D$5:$D$8,MATCH(G257,Settings!$A$5:$A$8,0)),""))</f>
        <v/>
      </c>
      <c r="AH257" s="25" t="str">
        <f aca="false">IF(G257="","",IF(AF257="","No",IF(AF257&lt;=AG257,"Yes","No")))</f>
        <v/>
      </c>
      <c r="AI257" s="25" t="str">
        <f aca="false">IF(G257="","",IF(L257="","N/A - Not Detected",IF(AND(X257="",Y257="",Z257=""),"No Containment Action",IF(Z257="",IF(Y257&lt;&gt;"","C2 Persisted","Host Isolation Gap"),IF(AF257&lt;=AG257,"Contained - Within SLA","Contained - SLA Breach")))))</f>
        <v/>
      </c>
      <c r="AJ257" s="25" t="str">
        <f aca="false">IF(G257="","",IF(Z257&lt;&gt;"",1,0))</f>
        <v/>
      </c>
      <c r="AK257" s="34"/>
      <c r="AL257" s="34"/>
      <c r="AM257" s="35"/>
      <c r="AN257" s="34"/>
      <c r="AO257" s="34"/>
      <c r="AP257" s="35"/>
      <c r="AQ257" s="34"/>
      <c r="AR257" s="34"/>
      <c r="AS257" s="34"/>
      <c r="AT257" s="35"/>
      <c r="AU257" s="35"/>
    </row>
    <row r="258" customFormat="false" ht="15" hidden="false" customHeight="false" outlineLevel="0" collapsed="false">
      <c r="A258" s="24"/>
      <c r="B258" s="24"/>
      <c r="C258" s="24"/>
      <c r="D258" s="24"/>
      <c r="E258" s="24"/>
      <c r="F258" s="24"/>
      <c r="G258" s="24"/>
      <c r="H258" s="24"/>
      <c r="I258" s="32"/>
      <c r="J258" s="32"/>
      <c r="K258" s="32"/>
      <c r="L258" s="32"/>
      <c r="M258" s="24"/>
      <c r="N258" s="24"/>
      <c r="O258" s="24"/>
      <c r="P258" s="33" t="str">
        <f aca="false">IF(AND(G258&lt;&gt;"",I258&lt;&gt;"",J258&lt;&gt;""),(J258-I258)*1440,"")</f>
        <v/>
      </c>
      <c r="Q258" s="33" t="str">
        <f aca="false">IF(AND(G258&lt;&gt;"",J258&lt;&gt;"",K258&lt;&gt;""),(K258-J258)*1440,"")</f>
        <v/>
      </c>
      <c r="R258" s="33" t="str">
        <f aca="false">IF(AND(G258&lt;&gt;"",K258&lt;&gt;"",L258&lt;&gt;""),(L258-K258)*1440,"")</f>
        <v/>
      </c>
      <c r="S258" s="33" t="str">
        <f aca="false">IF(AND(G258&lt;&gt;"",I258&lt;&gt;"",L258&lt;&gt;""),(L258-I258)*1440,"")</f>
        <v/>
      </c>
      <c r="T258" s="33" t="str">
        <f aca="false">IF(G258="","",IFERROR(INDEX(Settings!$B$5:$B$8,MATCH(G258,Settings!$A$5:$A$8,0)),""))</f>
        <v/>
      </c>
      <c r="U258" s="25" t="str">
        <f aca="false">IF(G258="","",IF(S258="","No",IF(S258&lt;=T258,"Yes","No")))</f>
        <v/>
      </c>
      <c r="V258" s="25" t="str">
        <f aca="false">IF(G258="","",IF(AND(J258="",K258="",L258=""),"Telemetry Blind Spot",IF(AND(K258="",L258=""),"Missed Alert",IF(L258="","Triage Delay",IF(S258&lt;=T258,"Detected - Within SLA",IF(AND(R258&lt;&gt;"",R258&gt;IFERROR(INDEX(Settings!$C$5:$C$8,MATCH(G258,Settings!$A$5:$A$8,0)),1E+099)),"Triage Delay","Detected - SLA Breach"))))))</f>
        <v/>
      </c>
      <c r="W258" s="25" t="str">
        <f aca="false">IF(G258="","",IF(L258&lt;&gt;"",1,0))</f>
        <v/>
      </c>
      <c r="X258" s="32"/>
      <c r="Y258" s="32"/>
      <c r="Z258" s="32"/>
      <c r="AA258" s="24"/>
      <c r="AB258" s="24"/>
      <c r="AC258" s="33" t="str">
        <f aca="false">IF(AND(G258&lt;&gt;"",L258&lt;&gt;"",X258&lt;&gt;""),(X258-L258)*1440,"")</f>
        <v/>
      </c>
      <c r="AD258" s="33" t="str">
        <f aca="false">IF(AND(G258&lt;&gt;"",X258&lt;&gt;"",Y258&lt;&gt;""),(Y258-X258)*1440,"")</f>
        <v/>
      </c>
      <c r="AE258" s="33" t="str">
        <f aca="false">IF(AND(G258&lt;&gt;"",Y258&lt;&gt;"",Z258&lt;&gt;""),(Z258-Y258)*1440,"")</f>
        <v/>
      </c>
      <c r="AF258" s="33" t="str">
        <f aca="false">IF(AND(G258&lt;&gt;"",L258&lt;&gt;"",Z258&lt;&gt;""),(Z258-L258)*1440,"")</f>
        <v/>
      </c>
      <c r="AG258" s="33" t="str">
        <f aca="false">IF(G258="","",IFERROR(INDEX(Settings!$D$5:$D$8,MATCH(G258,Settings!$A$5:$A$8,0)),""))</f>
        <v/>
      </c>
      <c r="AH258" s="25" t="str">
        <f aca="false">IF(G258="","",IF(AF258="","No",IF(AF258&lt;=AG258,"Yes","No")))</f>
        <v/>
      </c>
      <c r="AI258" s="25" t="str">
        <f aca="false">IF(G258="","",IF(L258="","N/A - Not Detected",IF(AND(X258="",Y258="",Z258=""),"No Containment Action",IF(Z258="",IF(Y258&lt;&gt;"","C2 Persisted","Host Isolation Gap"),IF(AF258&lt;=AG258,"Contained - Within SLA","Contained - SLA Breach")))))</f>
        <v/>
      </c>
      <c r="AJ258" s="25" t="str">
        <f aca="false">IF(G258="","",IF(Z258&lt;&gt;"",1,0))</f>
        <v/>
      </c>
      <c r="AK258" s="34"/>
      <c r="AL258" s="34"/>
      <c r="AM258" s="35"/>
      <c r="AN258" s="34"/>
      <c r="AO258" s="34"/>
      <c r="AP258" s="35"/>
      <c r="AQ258" s="34"/>
      <c r="AR258" s="34"/>
      <c r="AS258" s="34"/>
      <c r="AT258" s="35"/>
      <c r="AU258" s="35"/>
    </row>
    <row r="259" customFormat="false" ht="15" hidden="false" customHeight="false" outlineLevel="0" collapsed="false">
      <c r="A259" s="24"/>
      <c r="B259" s="24"/>
      <c r="C259" s="24"/>
      <c r="D259" s="24"/>
      <c r="E259" s="24"/>
      <c r="F259" s="24"/>
      <c r="G259" s="24"/>
      <c r="H259" s="24"/>
      <c r="I259" s="32"/>
      <c r="J259" s="32"/>
      <c r="K259" s="32"/>
      <c r="L259" s="32"/>
      <c r="M259" s="24"/>
      <c r="N259" s="24"/>
      <c r="O259" s="24"/>
      <c r="P259" s="33" t="str">
        <f aca="false">IF(AND(G259&lt;&gt;"",I259&lt;&gt;"",J259&lt;&gt;""),(J259-I259)*1440,"")</f>
        <v/>
      </c>
      <c r="Q259" s="33" t="str">
        <f aca="false">IF(AND(G259&lt;&gt;"",J259&lt;&gt;"",K259&lt;&gt;""),(K259-J259)*1440,"")</f>
        <v/>
      </c>
      <c r="R259" s="33" t="str">
        <f aca="false">IF(AND(G259&lt;&gt;"",K259&lt;&gt;"",L259&lt;&gt;""),(L259-K259)*1440,"")</f>
        <v/>
      </c>
      <c r="S259" s="33" t="str">
        <f aca="false">IF(AND(G259&lt;&gt;"",I259&lt;&gt;"",L259&lt;&gt;""),(L259-I259)*1440,"")</f>
        <v/>
      </c>
      <c r="T259" s="33" t="str">
        <f aca="false">IF(G259="","",IFERROR(INDEX(Settings!$B$5:$B$8,MATCH(G259,Settings!$A$5:$A$8,0)),""))</f>
        <v/>
      </c>
      <c r="U259" s="25" t="str">
        <f aca="false">IF(G259="","",IF(S259="","No",IF(S259&lt;=T259,"Yes","No")))</f>
        <v/>
      </c>
      <c r="V259" s="25" t="str">
        <f aca="false">IF(G259="","",IF(AND(J259="",K259="",L259=""),"Telemetry Blind Spot",IF(AND(K259="",L259=""),"Missed Alert",IF(L259="","Triage Delay",IF(S259&lt;=T259,"Detected - Within SLA",IF(AND(R259&lt;&gt;"",R259&gt;IFERROR(INDEX(Settings!$C$5:$C$8,MATCH(G259,Settings!$A$5:$A$8,0)),1E+099)),"Triage Delay","Detected - SLA Breach"))))))</f>
        <v/>
      </c>
      <c r="W259" s="25" t="str">
        <f aca="false">IF(G259="","",IF(L259&lt;&gt;"",1,0))</f>
        <v/>
      </c>
      <c r="X259" s="32"/>
      <c r="Y259" s="32"/>
      <c r="Z259" s="32"/>
      <c r="AA259" s="24"/>
      <c r="AB259" s="24"/>
      <c r="AC259" s="33" t="str">
        <f aca="false">IF(AND(G259&lt;&gt;"",L259&lt;&gt;"",X259&lt;&gt;""),(X259-L259)*1440,"")</f>
        <v/>
      </c>
      <c r="AD259" s="33" t="str">
        <f aca="false">IF(AND(G259&lt;&gt;"",X259&lt;&gt;"",Y259&lt;&gt;""),(Y259-X259)*1440,"")</f>
        <v/>
      </c>
      <c r="AE259" s="33" t="str">
        <f aca="false">IF(AND(G259&lt;&gt;"",Y259&lt;&gt;"",Z259&lt;&gt;""),(Z259-Y259)*1440,"")</f>
        <v/>
      </c>
      <c r="AF259" s="33" t="str">
        <f aca="false">IF(AND(G259&lt;&gt;"",L259&lt;&gt;"",Z259&lt;&gt;""),(Z259-L259)*1440,"")</f>
        <v/>
      </c>
      <c r="AG259" s="33" t="str">
        <f aca="false">IF(G259="","",IFERROR(INDEX(Settings!$D$5:$D$8,MATCH(G259,Settings!$A$5:$A$8,0)),""))</f>
        <v/>
      </c>
      <c r="AH259" s="25" t="str">
        <f aca="false">IF(G259="","",IF(AF259="","No",IF(AF259&lt;=AG259,"Yes","No")))</f>
        <v/>
      </c>
      <c r="AI259" s="25" t="str">
        <f aca="false">IF(G259="","",IF(L259="","N/A - Not Detected",IF(AND(X259="",Y259="",Z259=""),"No Containment Action",IF(Z259="",IF(Y259&lt;&gt;"","C2 Persisted","Host Isolation Gap"),IF(AF259&lt;=AG259,"Contained - Within SLA","Contained - SLA Breach")))))</f>
        <v/>
      </c>
      <c r="AJ259" s="25" t="str">
        <f aca="false">IF(G259="","",IF(Z259&lt;&gt;"",1,0))</f>
        <v/>
      </c>
      <c r="AK259" s="34"/>
      <c r="AL259" s="34"/>
      <c r="AM259" s="35"/>
      <c r="AN259" s="34"/>
      <c r="AO259" s="34"/>
      <c r="AP259" s="35"/>
      <c r="AQ259" s="34"/>
      <c r="AR259" s="34"/>
      <c r="AS259" s="34"/>
      <c r="AT259" s="35"/>
      <c r="AU259" s="35"/>
    </row>
    <row r="260" customFormat="false" ht="15" hidden="false" customHeight="false" outlineLevel="0" collapsed="false">
      <c r="A260" s="24"/>
      <c r="B260" s="24"/>
      <c r="C260" s="24"/>
      <c r="D260" s="24"/>
      <c r="E260" s="24"/>
      <c r="F260" s="24"/>
      <c r="G260" s="24"/>
      <c r="H260" s="24"/>
      <c r="I260" s="32"/>
      <c r="J260" s="32"/>
      <c r="K260" s="32"/>
      <c r="L260" s="32"/>
      <c r="M260" s="24"/>
      <c r="N260" s="24"/>
      <c r="O260" s="24"/>
      <c r="P260" s="33" t="str">
        <f aca="false">IF(AND(G260&lt;&gt;"",I260&lt;&gt;"",J260&lt;&gt;""),(J260-I260)*1440,"")</f>
        <v/>
      </c>
      <c r="Q260" s="33" t="str">
        <f aca="false">IF(AND(G260&lt;&gt;"",J260&lt;&gt;"",K260&lt;&gt;""),(K260-J260)*1440,"")</f>
        <v/>
      </c>
      <c r="R260" s="33" t="str">
        <f aca="false">IF(AND(G260&lt;&gt;"",K260&lt;&gt;"",L260&lt;&gt;""),(L260-K260)*1440,"")</f>
        <v/>
      </c>
      <c r="S260" s="33" t="str">
        <f aca="false">IF(AND(G260&lt;&gt;"",I260&lt;&gt;"",L260&lt;&gt;""),(L260-I260)*1440,"")</f>
        <v/>
      </c>
      <c r="T260" s="33" t="str">
        <f aca="false">IF(G260="","",IFERROR(INDEX(Settings!$B$5:$B$8,MATCH(G260,Settings!$A$5:$A$8,0)),""))</f>
        <v/>
      </c>
      <c r="U260" s="25" t="str">
        <f aca="false">IF(G260="","",IF(S260="","No",IF(S260&lt;=T260,"Yes","No")))</f>
        <v/>
      </c>
      <c r="V260" s="25" t="str">
        <f aca="false">IF(G260="","",IF(AND(J260="",K260="",L260=""),"Telemetry Blind Spot",IF(AND(K260="",L260=""),"Missed Alert",IF(L260="","Triage Delay",IF(S260&lt;=T260,"Detected - Within SLA",IF(AND(R260&lt;&gt;"",R260&gt;IFERROR(INDEX(Settings!$C$5:$C$8,MATCH(G260,Settings!$A$5:$A$8,0)),1E+099)),"Triage Delay","Detected - SLA Breach"))))))</f>
        <v/>
      </c>
      <c r="W260" s="25" t="str">
        <f aca="false">IF(G260="","",IF(L260&lt;&gt;"",1,0))</f>
        <v/>
      </c>
      <c r="X260" s="32"/>
      <c r="Y260" s="32"/>
      <c r="Z260" s="32"/>
      <c r="AA260" s="24"/>
      <c r="AB260" s="24"/>
      <c r="AC260" s="33" t="str">
        <f aca="false">IF(AND(G260&lt;&gt;"",L260&lt;&gt;"",X260&lt;&gt;""),(X260-L260)*1440,"")</f>
        <v/>
      </c>
      <c r="AD260" s="33" t="str">
        <f aca="false">IF(AND(G260&lt;&gt;"",X260&lt;&gt;"",Y260&lt;&gt;""),(Y260-X260)*1440,"")</f>
        <v/>
      </c>
      <c r="AE260" s="33" t="str">
        <f aca="false">IF(AND(G260&lt;&gt;"",Y260&lt;&gt;"",Z260&lt;&gt;""),(Z260-Y260)*1440,"")</f>
        <v/>
      </c>
      <c r="AF260" s="33" t="str">
        <f aca="false">IF(AND(G260&lt;&gt;"",L260&lt;&gt;"",Z260&lt;&gt;""),(Z260-L260)*1440,"")</f>
        <v/>
      </c>
      <c r="AG260" s="33" t="str">
        <f aca="false">IF(G260="","",IFERROR(INDEX(Settings!$D$5:$D$8,MATCH(G260,Settings!$A$5:$A$8,0)),""))</f>
        <v/>
      </c>
      <c r="AH260" s="25" t="str">
        <f aca="false">IF(G260="","",IF(AF260="","No",IF(AF260&lt;=AG260,"Yes","No")))</f>
        <v/>
      </c>
      <c r="AI260" s="25" t="str">
        <f aca="false">IF(G260="","",IF(L260="","N/A - Not Detected",IF(AND(X260="",Y260="",Z260=""),"No Containment Action",IF(Z260="",IF(Y260&lt;&gt;"","C2 Persisted","Host Isolation Gap"),IF(AF260&lt;=AG260,"Contained - Within SLA","Contained - SLA Breach")))))</f>
        <v/>
      </c>
      <c r="AJ260" s="25" t="str">
        <f aca="false">IF(G260="","",IF(Z260&lt;&gt;"",1,0))</f>
        <v/>
      </c>
      <c r="AK260" s="34"/>
      <c r="AL260" s="34"/>
      <c r="AM260" s="35"/>
      <c r="AN260" s="34"/>
      <c r="AO260" s="34"/>
      <c r="AP260" s="35"/>
      <c r="AQ260" s="34"/>
      <c r="AR260" s="34"/>
      <c r="AS260" s="34"/>
      <c r="AT260" s="35"/>
      <c r="AU260" s="35"/>
    </row>
    <row r="261" customFormat="false" ht="15" hidden="false" customHeight="false" outlineLevel="0" collapsed="false">
      <c r="A261" s="24"/>
      <c r="B261" s="24"/>
      <c r="C261" s="24"/>
      <c r="D261" s="24"/>
      <c r="E261" s="24"/>
      <c r="F261" s="24"/>
      <c r="G261" s="24"/>
      <c r="H261" s="24"/>
      <c r="I261" s="32"/>
      <c r="J261" s="32"/>
      <c r="K261" s="32"/>
      <c r="L261" s="32"/>
      <c r="M261" s="24"/>
      <c r="N261" s="24"/>
      <c r="O261" s="24"/>
      <c r="P261" s="33" t="str">
        <f aca="false">IF(AND(G261&lt;&gt;"",I261&lt;&gt;"",J261&lt;&gt;""),(J261-I261)*1440,"")</f>
        <v/>
      </c>
      <c r="Q261" s="33" t="str">
        <f aca="false">IF(AND(G261&lt;&gt;"",J261&lt;&gt;"",K261&lt;&gt;""),(K261-J261)*1440,"")</f>
        <v/>
      </c>
      <c r="R261" s="33" t="str">
        <f aca="false">IF(AND(G261&lt;&gt;"",K261&lt;&gt;"",L261&lt;&gt;""),(L261-K261)*1440,"")</f>
        <v/>
      </c>
      <c r="S261" s="33" t="str">
        <f aca="false">IF(AND(G261&lt;&gt;"",I261&lt;&gt;"",L261&lt;&gt;""),(L261-I261)*1440,"")</f>
        <v/>
      </c>
      <c r="T261" s="33" t="str">
        <f aca="false">IF(G261="","",IFERROR(INDEX(Settings!$B$5:$B$8,MATCH(G261,Settings!$A$5:$A$8,0)),""))</f>
        <v/>
      </c>
      <c r="U261" s="25" t="str">
        <f aca="false">IF(G261="","",IF(S261="","No",IF(S261&lt;=T261,"Yes","No")))</f>
        <v/>
      </c>
      <c r="V261" s="25" t="str">
        <f aca="false">IF(G261="","",IF(AND(J261="",K261="",L261=""),"Telemetry Blind Spot",IF(AND(K261="",L261=""),"Missed Alert",IF(L261="","Triage Delay",IF(S261&lt;=T261,"Detected - Within SLA",IF(AND(R261&lt;&gt;"",R261&gt;IFERROR(INDEX(Settings!$C$5:$C$8,MATCH(G261,Settings!$A$5:$A$8,0)),1E+099)),"Triage Delay","Detected - SLA Breach"))))))</f>
        <v/>
      </c>
      <c r="W261" s="25" t="str">
        <f aca="false">IF(G261="","",IF(L261&lt;&gt;"",1,0))</f>
        <v/>
      </c>
      <c r="X261" s="32"/>
      <c r="Y261" s="32"/>
      <c r="Z261" s="32"/>
      <c r="AA261" s="24"/>
      <c r="AB261" s="24"/>
      <c r="AC261" s="33" t="str">
        <f aca="false">IF(AND(G261&lt;&gt;"",L261&lt;&gt;"",X261&lt;&gt;""),(X261-L261)*1440,"")</f>
        <v/>
      </c>
      <c r="AD261" s="33" t="str">
        <f aca="false">IF(AND(G261&lt;&gt;"",X261&lt;&gt;"",Y261&lt;&gt;""),(Y261-X261)*1440,"")</f>
        <v/>
      </c>
      <c r="AE261" s="33" t="str">
        <f aca="false">IF(AND(G261&lt;&gt;"",Y261&lt;&gt;"",Z261&lt;&gt;""),(Z261-Y261)*1440,"")</f>
        <v/>
      </c>
      <c r="AF261" s="33" t="str">
        <f aca="false">IF(AND(G261&lt;&gt;"",L261&lt;&gt;"",Z261&lt;&gt;""),(Z261-L261)*1440,"")</f>
        <v/>
      </c>
      <c r="AG261" s="33" t="str">
        <f aca="false">IF(G261="","",IFERROR(INDEX(Settings!$D$5:$D$8,MATCH(G261,Settings!$A$5:$A$8,0)),""))</f>
        <v/>
      </c>
      <c r="AH261" s="25" t="str">
        <f aca="false">IF(G261="","",IF(AF261="","No",IF(AF261&lt;=AG261,"Yes","No")))</f>
        <v/>
      </c>
      <c r="AI261" s="25" t="str">
        <f aca="false">IF(G261="","",IF(L261="","N/A - Not Detected",IF(AND(X261="",Y261="",Z261=""),"No Containment Action",IF(Z261="",IF(Y261&lt;&gt;"","C2 Persisted","Host Isolation Gap"),IF(AF261&lt;=AG261,"Contained - Within SLA","Contained - SLA Breach")))))</f>
        <v/>
      </c>
      <c r="AJ261" s="25" t="str">
        <f aca="false">IF(G261="","",IF(Z261&lt;&gt;"",1,0))</f>
        <v/>
      </c>
      <c r="AK261" s="34"/>
      <c r="AL261" s="34"/>
      <c r="AM261" s="35"/>
      <c r="AN261" s="34"/>
      <c r="AO261" s="34"/>
      <c r="AP261" s="35"/>
      <c r="AQ261" s="34"/>
      <c r="AR261" s="34"/>
      <c r="AS261" s="34"/>
      <c r="AT261" s="35"/>
      <c r="AU261" s="35"/>
    </row>
    <row r="262" customFormat="false" ht="15" hidden="false" customHeight="false" outlineLevel="0" collapsed="false">
      <c r="A262" s="24"/>
      <c r="B262" s="24"/>
      <c r="C262" s="24"/>
      <c r="D262" s="24"/>
      <c r="E262" s="24"/>
      <c r="F262" s="24"/>
      <c r="G262" s="24"/>
      <c r="H262" s="24"/>
      <c r="I262" s="32"/>
      <c r="J262" s="32"/>
      <c r="K262" s="32"/>
      <c r="L262" s="32"/>
      <c r="M262" s="24"/>
      <c r="N262" s="24"/>
      <c r="O262" s="24"/>
      <c r="P262" s="33" t="str">
        <f aca="false">IF(AND(G262&lt;&gt;"",I262&lt;&gt;"",J262&lt;&gt;""),(J262-I262)*1440,"")</f>
        <v/>
      </c>
      <c r="Q262" s="33" t="str">
        <f aca="false">IF(AND(G262&lt;&gt;"",J262&lt;&gt;"",K262&lt;&gt;""),(K262-J262)*1440,"")</f>
        <v/>
      </c>
      <c r="R262" s="33" t="str">
        <f aca="false">IF(AND(G262&lt;&gt;"",K262&lt;&gt;"",L262&lt;&gt;""),(L262-K262)*1440,"")</f>
        <v/>
      </c>
      <c r="S262" s="33" t="str">
        <f aca="false">IF(AND(G262&lt;&gt;"",I262&lt;&gt;"",L262&lt;&gt;""),(L262-I262)*1440,"")</f>
        <v/>
      </c>
      <c r="T262" s="33" t="str">
        <f aca="false">IF(G262="","",IFERROR(INDEX(Settings!$B$5:$B$8,MATCH(G262,Settings!$A$5:$A$8,0)),""))</f>
        <v/>
      </c>
      <c r="U262" s="25" t="str">
        <f aca="false">IF(G262="","",IF(S262="","No",IF(S262&lt;=T262,"Yes","No")))</f>
        <v/>
      </c>
      <c r="V262" s="25" t="str">
        <f aca="false">IF(G262="","",IF(AND(J262="",K262="",L262=""),"Telemetry Blind Spot",IF(AND(K262="",L262=""),"Missed Alert",IF(L262="","Triage Delay",IF(S262&lt;=T262,"Detected - Within SLA",IF(AND(R262&lt;&gt;"",R262&gt;IFERROR(INDEX(Settings!$C$5:$C$8,MATCH(G262,Settings!$A$5:$A$8,0)),1E+099)),"Triage Delay","Detected - SLA Breach"))))))</f>
        <v/>
      </c>
      <c r="W262" s="25" t="str">
        <f aca="false">IF(G262="","",IF(L262&lt;&gt;"",1,0))</f>
        <v/>
      </c>
      <c r="X262" s="32"/>
      <c r="Y262" s="32"/>
      <c r="Z262" s="32"/>
      <c r="AA262" s="24"/>
      <c r="AB262" s="24"/>
      <c r="AC262" s="33" t="str">
        <f aca="false">IF(AND(G262&lt;&gt;"",L262&lt;&gt;"",X262&lt;&gt;""),(X262-L262)*1440,"")</f>
        <v/>
      </c>
      <c r="AD262" s="33" t="str">
        <f aca="false">IF(AND(G262&lt;&gt;"",X262&lt;&gt;"",Y262&lt;&gt;""),(Y262-X262)*1440,"")</f>
        <v/>
      </c>
      <c r="AE262" s="33" t="str">
        <f aca="false">IF(AND(G262&lt;&gt;"",Y262&lt;&gt;"",Z262&lt;&gt;""),(Z262-Y262)*1440,"")</f>
        <v/>
      </c>
      <c r="AF262" s="33" t="str">
        <f aca="false">IF(AND(G262&lt;&gt;"",L262&lt;&gt;"",Z262&lt;&gt;""),(Z262-L262)*1440,"")</f>
        <v/>
      </c>
      <c r="AG262" s="33" t="str">
        <f aca="false">IF(G262="","",IFERROR(INDEX(Settings!$D$5:$D$8,MATCH(G262,Settings!$A$5:$A$8,0)),""))</f>
        <v/>
      </c>
      <c r="AH262" s="25" t="str">
        <f aca="false">IF(G262="","",IF(AF262="","No",IF(AF262&lt;=AG262,"Yes","No")))</f>
        <v/>
      </c>
      <c r="AI262" s="25" t="str">
        <f aca="false">IF(G262="","",IF(L262="","N/A - Not Detected",IF(AND(X262="",Y262="",Z262=""),"No Containment Action",IF(Z262="",IF(Y262&lt;&gt;"","C2 Persisted","Host Isolation Gap"),IF(AF262&lt;=AG262,"Contained - Within SLA","Contained - SLA Breach")))))</f>
        <v/>
      </c>
      <c r="AJ262" s="25" t="str">
        <f aca="false">IF(G262="","",IF(Z262&lt;&gt;"",1,0))</f>
        <v/>
      </c>
      <c r="AK262" s="34"/>
      <c r="AL262" s="34"/>
      <c r="AM262" s="35"/>
      <c r="AN262" s="34"/>
      <c r="AO262" s="34"/>
      <c r="AP262" s="35"/>
      <c r="AQ262" s="34"/>
      <c r="AR262" s="34"/>
      <c r="AS262" s="34"/>
      <c r="AT262" s="35"/>
      <c r="AU262" s="35"/>
    </row>
    <row r="263" customFormat="false" ht="15" hidden="false" customHeight="false" outlineLevel="0" collapsed="false">
      <c r="A263" s="24"/>
      <c r="B263" s="24"/>
      <c r="C263" s="24"/>
      <c r="D263" s="24"/>
      <c r="E263" s="24"/>
      <c r="F263" s="24"/>
      <c r="G263" s="24"/>
      <c r="H263" s="24"/>
      <c r="I263" s="32"/>
      <c r="J263" s="32"/>
      <c r="K263" s="32"/>
      <c r="L263" s="32"/>
      <c r="M263" s="24"/>
      <c r="N263" s="24"/>
      <c r="O263" s="24"/>
      <c r="P263" s="33" t="str">
        <f aca="false">IF(AND(G263&lt;&gt;"",I263&lt;&gt;"",J263&lt;&gt;""),(J263-I263)*1440,"")</f>
        <v/>
      </c>
      <c r="Q263" s="33" t="str">
        <f aca="false">IF(AND(G263&lt;&gt;"",J263&lt;&gt;"",K263&lt;&gt;""),(K263-J263)*1440,"")</f>
        <v/>
      </c>
      <c r="R263" s="33" t="str">
        <f aca="false">IF(AND(G263&lt;&gt;"",K263&lt;&gt;"",L263&lt;&gt;""),(L263-K263)*1440,"")</f>
        <v/>
      </c>
      <c r="S263" s="33" t="str">
        <f aca="false">IF(AND(G263&lt;&gt;"",I263&lt;&gt;"",L263&lt;&gt;""),(L263-I263)*1440,"")</f>
        <v/>
      </c>
      <c r="T263" s="33" t="str">
        <f aca="false">IF(G263="","",IFERROR(INDEX(Settings!$B$5:$B$8,MATCH(G263,Settings!$A$5:$A$8,0)),""))</f>
        <v/>
      </c>
      <c r="U263" s="25" t="str">
        <f aca="false">IF(G263="","",IF(S263="","No",IF(S263&lt;=T263,"Yes","No")))</f>
        <v/>
      </c>
      <c r="V263" s="25" t="str">
        <f aca="false">IF(G263="","",IF(AND(J263="",K263="",L263=""),"Telemetry Blind Spot",IF(AND(K263="",L263=""),"Missed Alert",IF(L263="","Triage Delay",IF(S263&lt;=T263,"Detected - Within SLA",IF(AND(R263&lt;&gt;"",R263&gt;IFERROR(INDEX(Settings!$C$5:$C$8,MATCH(G263,Settings!$A$5:$A$8,0)),1E+099)),"Triage Delay","Detected - SLA Breach"))))))</f>
        <v/>
      </c>
      <c r="W263" s="25" t="str">
        <f aca="false">IF(G263="","",IF(L263&lt;&gt;"",1,0))</f>
        <v/>
      </c>
      <c r="X263" s="32"/>
      <c r="Y263" s="32"/>
      <c r="Z263" s="32"/>
      <c r="AA263" s="24"/>
      <c r="AB263" s="24"/>
      <c r="AC263" s="33" t="str">
        <f aca="false">IF(AND(G263&lt;&gt;"",L263&lt;&gt;"",X263&lt;&gt;""),(X263-L263)*1440,"")</f>
        <v/>
      </c>
      <c r="AD263" s="33" t="str">
        <f aca="false">IF(AND(G263&lt;&gt;"",X263&lt;&gt;"",Y263&lt;&gt;""),(Y263-X263)*1440,"")</f>
        <v/>
      </c>
      <c r="AE263" s="33" t="str">
        <f aca="false">IF(AND(G263&lt;&gt;"",Y263&lt;&gt;"",Z263&lt;&gt;""),(Z263-Y263)*1440,"")</f>
        <v/>
      </c>
      <c r="AF263" s="33" t="str">
        <f aca="false">IF(AND(G263&lt;&gt;"",L263&lt;&gt;"",Z263&lt;&gt;""),(Z263-L263)*1440,"")</f>
        <v/>
      </c>
      <c r="AG263" s="33" t="str">
        <f aca="false">IF(G263="","",IFERROR(INDEX(Settings!$D$5:$D$8,MATCH(G263,Settings!$A$5:$A$8,0)),""))</f>
        <v/>
      </c>
      <c r="AH263" s="25" t="str">
        <f aca="false">IF(G263="","",IF(AF263="","No",IF(AF263&lt;=AG263,"Yes","No")))</f>
        <v/>
      </c>
      <c r="AI263" s="25" t="str">
        <f aca="false">IF(G263="","",IF(L263="","N/A - Not Detected",IF(AND(X263="",Y263="",Z263=""),"No Containment Action",IF(Z263="",IF(Y263&lt;&gt;"","C2 Persisted","Host Isolation Gap"),IF(AF263&lt;=AG263,"Contained - Within SLA","Contained - SLA Breach")))))</f>
        <v/>
      </c>
      <c r="AJ263" s="25" t="str">
        <f aca="false">IF(G263="","",IF(Z263&lt;&gt;"",1,0))</f>
        <v/>
      </c>
      <c r="AK263" s="34"/>
      <c r="AL263" s="34"/>
      <c r="AM263" s="35"/>
      <c r="AN263" s="34"/>
      <c r="AO263" s="34"/>
      <c r="AP263" s="35"/>
      <c r="AQ263" s="34"/>
      <c r="AR263" s="34"/>
      <c r="AS263" s="34"/>
      <c r="AT263" s="35"/>
      <c r="AU263" s="35"/>
    </row>
    <row r="264" customFormat="false" ht="15" hidden="false" customHeight="false" outlineLevel="0" collapsed="false">
      <c r="A264" s="24"/>
      <c r="B264" s="24"/>
      <c r="C264" s="24"/>
      <c r="D264" s="24"/>
      <c r="E264" s="24"/>
      <c r="F264" s="24"/>
      <c r="G264" s="24"/>
      <c r="H264" s="24"/>
      <c r="I264" s="32"/>
      <c r="J264" s="32"/>
      <c r="K264" s="32"/>
      <c r="L264" s="32"/>
      <c r="M264" s="24"/>
      <c r="N264" s="24"/>
      <c r="O264" s="24"/>
      <c r="P264" s="33" t="str">
        <f aca="false">IF(AND(G264&lt;&gt;"",I264&lt;&gt;"",J264&lt;&gt;""),(J264-I264)*1440,"")</f>
        <v/>
      </c>
      <c r="Q264" s="33" t="str">
        <f aca="false">IF(AND(G264&lt;&gt;"",J264&lt;&gt;"",K264&lt;&gt;""),(K264-J264)*1440,"")</f>
        <v/>
      </c>
      <c r="R264" s="33" t="str">
        <f aca="false">IF(AND(G264&lt;&gt;"",K264&lt;&gt;"",L264&lt;&gt;""),(L264-K264)*1440,"")</f>
        <v/>
      </c>
      <c r="S264" s="33" t="str">
        <f aca="false">IF(AND(G264&lt;&gt;"",I264&lt;&gt;"",L264&lt;&gt;""),(L264-I264)*1440,"")</f>
        <v/>
      </c>
      <c r="T264" s="33" t="str">
        <f aca="false">IF(G264="","",IFERROR(INDEX(Settings!$B$5:$B$8,MATCH(G264,Settings!$A$5:$A$8,0)),""))</f>
        <v/>
      </c>
      <c r="U264" s="25" t="str">
        <f aca="false">IF(G264="","",IF(S264="","No",IF(S264&lt;=T264,"Yes","No")))</f>
        <v/>
      </c>
      <c r="V264" s="25" t="str">
        <f aca="false">IF(G264="","",IF(AND(J264="",K264="",L264=""),"Telemetry Blind Spot",IF(AND(K264="",L264=""),"Missed Alert",IF(L264="","Triage Delay",IF(S264&lt;=T264,"Detected - Within SLA",IF(AND(R264&lt;&gt;"",R264&gt;IFERROR(INDEX(Settings!$C$5:$C$8,MATCH(G264,Settings!$A$5:$A$8,0)),1E+099)),"Triage Delay","Detected - SLA Breach"))))))</f>
        <v/>
      </c>
      <c r="W264" s="25" t="str">
        <f aca="false">IF(G264="","",IF(L264&lt;&gt;"",1,0))</f>
        <v/>
      </c>
      <c r="X264" s="32"/>
      <c r="Y264" s="32"/>
      <c r="Z264" s="32"/>
      <c r="AA264" s="24"/>
      <c r="AB264" s="24"/>
      <c r="AC264" s="33" t="str">
        <f aca="false">IF(AND(G264&lt;&gt;"",L264&lt;&gt;"",X264&lt;&gt;""),(X264-L264)*1440,"")</f>
        <v/>
      </c>
      <c r="AD264" s="33" t="str">
        <f aca="false">IF(AND(G264&lt;&gt;"",X264&lt;&gt;"",Y264&lt;&gt;""),(Y264-X264)*1440,"")</f>
        <v/>
      </c>
      <c r="AE264" s="33" t="str">
        <f aca="false">IF(AND(G264&lt;&gt;"",Y264&lt;&gt;"",Z264&lt;&gt;""),(Z264-Y264)*1440,"")</f>
        <v/>
      </c>
      <c r="AF264" s="33" t="str">
        <f aca="false">IF(AND(G264&lt;&gt;"",L264&lt;&gt;"",Z264&lt;&gt;""),(Z264-L264)*1440,"")</f>
        <v/>
      </c>
      <c r="AG264" s="33" t="str">
        <f aca="false">IF(G264="","",IFERROR(INDEX(Settings!$D$5:$D$8,MATCH(G264,Settings!$A$5:$A$8,0)),""))</f>
        <v/>
      </c>
      <c r="AH264" s="25" t="str">
        <f aca="false">IF(G264="","",IF(AF264="","No",IF(AF264&lt;=AG264,"Yes","No")))</f>
        <v/>
      </c>
      <c r="AI264" s="25" t="str">
        <f aca="false">IF(G264="","",IF(L264="","N/A - Not Detected",IF(AND(X264="",Y264="",Z264=""),"No Containment Action",IF(Z264="",IF(Y264&lt;&gt;"","C2 Persisted","Host Isolation Gap"),IF(AF264&lt;=AG264,"Contained - Within SLA","Contained - SLA Breach")))))</f>
        <v/>
      </c>
      <c r="AJ264" s="25" t="str">
        <f aca="false">IF(G264="","",IF(Z264&lt;&gt;"",1,0))</f>
        <v/>
      </c>
      <c r="AK264" s="34"/>
      <c r="AL264" s="34"/>
      <c r="AM264" s="35"/>
      <c r="AN264" s="34"/>
      <c r="AO264" s="34"/>
      <c r="AP264" s="35"/>
      <c r="AQ264" s="34"/>
      <c r="AR264" s="34"/>
      <c r="AS264" s="34"/>
      <c r="AT264" s="35"/>
      <c r="AU264" s="35"/>
    </row>
    <row r="265" customFormat="false" ht="15" hidden="false" customHeight="false" outlineLevel="0" collapsed="false">
      <c r="A265" s="24"/>
      <c r="B265" s="24"/>
      <c r="C265" s="24"/>
      <c r="D265" s="24"/>
      <c r="E265" s="24"/>
      <c r="F265" s="24"/>
      <c r="G265" s="24"/>
      <c r="H265" s="24"/>
      <c r="I265" s="32"/>
      <c r="J265" s="32"/>
      <c r="K265" s="32"/>
      <c r="L265" s="32"/>
      <c r="M265" s="24"/>
      <c r="N265" s="24"/>
      <c r="O265" s="24"/>
      <c r="P265" s="33" t="str">
        <f aca="false">IF(AND(G265&lt;&gt;"",I265&lt;&gt;"",J265&lt;&gt;""),(J265-I265)*1440,"")</f>
        <v/>
      </c>
      <c r="Q265" s="33" t="str">
        <f aca="false">IF(AND(G265&lt;&gt;"",J265&lt;&gt;"",K265&lt;&gt;""),(K265-J265)*1440,"")</f>
        <v/>
      </c>
      <c r="R265" s="33" t="str">
        <f aca="false">IF(AND(G265&lt;&gt;"",K265&lt;&gt;"",L265&lt;&gt;""),(L265-K265)*1440,"")</f>
        <v/>
      </c>
      <c r="S265" s="33" t="str">
        <f aca="false">IF(AND(G265&lt;&gt;"",I265&lt;&gt;"",L265&lt;&gt;""),(L265-I265)*1440,"")</f>
        <v/>
      </c>
      <c r="T265" s="33" t="str">
        <f aca="false">IF(G265="","",IFERROR(INDEX(Settings!$B$5:$B$8,MATCH(G265,Settings!$A$5:$A$8,0)),""))</f>
        <v/>
      </c>
      <c r="U265" s="25" t="str">
        <f aca="false">IF(G265="","",IF(S265="","No",IF(S265&lt;=T265,"Yes","No")))</f>
        <v/>
      </c>
      <c r="V265" s="25" t="str">
        <f aca="false">IF(G265="","",IF(AND(J265="",K265="",L265=""),"Telemetry Blind Spot",IF(AND(K265="",L265=""),"Missed Alert",IF(L265="","Triage Delay",IF(S265&lt;=T265,"Detected - Within SLA",IF(AND(R265&lt;&gt;"",R265&gt;IFERROR(INDEX(Settings!$C$5:$C$8,MATCH(G265,Settings!$A$5:$A$8,0)),1E+099)),"Triage Delay","Detected - SLA Breach"))))))</f>
        <v/>
      </c>
      <c r="W265" s="25" t="str">
        <f aca="false">IF(G265="","",IF(L265&lt;&gt;"",1,0))</f>
        <v/>
      </c>
      <c r="X265" s="32"/>
      <c r="Y265" s="32"/>
      <c r="Z265" s="32"/>
      <c r="AA265" s="24"/>
      <c r="AB265" s="24"/>
      <c r="AC265" s="33" t="str">
        <f aca="false">IF(AND(G265&lt;&gt;"",L265&lt;&gt;"",X265&lt;&gt;""),(X265-L265)*1440,"")</f>
        <v/>
      </c>
      <c r="AD265" s="33" t="str">
        <f aca="false">IF(AND(G265&lt;&gt;"",X265&lt;&gt;"",Y265&lt;&gt;""),(Y265-X265)*1440,"")</f>
        <v/>
      </c>
      <c r="AE265" s="33" t="str">
        <f aca="false">IF(AND(G265&lt;&gt;"",Y265&lt;&gt;"",Z265&lt;&gt;""),(Z265-Y265)*1440,"")</f>
        <v/>
      </c>
      <c r="AF265" s="33" t="str">
        <f aca="false">IF(AND(G265&lt;&gt;"",L265&lt;&gt;"",Z265&lt;&gt;""),(Z265-L265)*1440,"")</f>
        <v/>
      </c>
      <c r="AG265" s="33" t="str">
        <f aca="false">IF(G265="","",IFERROR(INDEX(Settings!$D$5:$D$8,MATCH(G265,Settings!$A$5:$A$8,0)),""))</f>
        <v/>
      </c>
      <c r="AH265" s="25" t="str">
        <f aca="false">IF(G265="","",IF(AF265="","No",IF(AF265&lt;=AG265,"Yes","No")))</f>
        <v/>
      </c>
      <c r="AI265" s="25" t="str">
        <f aca="false">IF(G265="","",IF(L265="","N/A - Not Detected",IF(AND(X265="",Y265="",Z265=""),"No Containment Action",IF(Z265="",IF(Y265&lt;&gt;"","C2 Persisted","Host Isolation Gap"),IF(AF265&lt;=AG265,"Contained - Within SLA","Contained - SLA Breach")))))</f>
        <v/>
      </c>
      <c r="AJ265" s="25" t="str">
        <f aca="false">IF(G265="","",IF(Z265&lt;&gt;"",1,0))</f>
        <v/>
      </c>
      <c r="AK265" s="34"/>
      <c r="AL265" s="34"/>
      <c r="AM265" s="35"/>
      <c r="AN265" s="34"/>
      <c r="AO265" s="34"/>
      <c r="AP265" s="35"/>
      <c r="AQ265" s="34"/>
      <c r="AR265" s="34"/>
      <c r="AS265" s="34"/>
      <c r="AT265" s="35"/>
      <c r="AU265" s="35"/>
    </row>
    <row r="266" customFormat="false" ht="15" hidden="false" customHeight="false" outlineLevel="0" collapsed="false">
      <c r="A266" s="24"/>
      <c r="B266" s="24"/>
      <c r="C266" s="24"/>
      <c r="D266" s="24"/>
      <c r="E266" s="24"/>
      <c r="F266" s="24"/>
      <c r="G266" s="24"/>
      <c r="H266" s="24"/>
      <c r="I266" s="32"/>
      <c r="J266" s="32"/>
      <c r="K266" s="32"/>
      <c r="L266" s="32"/>
      <c r="M266" s="24"/>
      <c r="N266" s="24"/>
      <c r="O266" s="24"/>
      <c r="P266" s="33" t="str">
        <f aca="false">IF(AND(G266&lt;&gt;"",I266&lt;&gt;"",J266&lt;&gt;""),(J266-I266)*1440,"")</f>
        <v/>
      </c>
      <c r="Q266" s="33" t="str">
        <f aca="false">IF(AND(G266&lt;&gt;"",J266&lt;&gt;"",K266&lt;&gt;""),(K266-J266)*1440,"")</f>
        <v/>
      </c>
      <c r="R266" s="33" t="str">
        <f aca="false">IF(AND(G266&lt;&gt;"",K266&lt;&gt;"",L266&lt;&gt;""),(L266-K266)*1440,"")</f>
        <v/>
      </c>
      <c r="S266" s="33" t="str">
        <f aca="false">IF(AND(G266&lt;&gt;"",I266&lt;&gt;"",L266&lt;&gt;""),(L266-I266)*1440,"")</f>
        <v/>
      </c>
      <c r="T266" s="33" t="str">
        <f aca="false">IF(G266="","",IFERROR(INDEX(Settings!$B$5:$B$8,MATCH(G266,Settings!$A$5:$A$8,0)),""))</f>
        <v/>
      </c>
      <c r="U266" s="25" t="str">
        <f aca="false">IF(G266="","",IF(S266="","No",IF(S266&lt;=T266,"Yes","No")))</f>
        <v/>
      </c>
      <c r="V266" s="25" t="str">
        <f aca="false">IF(G266="","",IF(AND(J266="",K266="",L266=""),"Telemetry Blind Spot",IF(AND(K266="",L266=""),"Missed Alert",IF(L266="","Triage Delay",IF(S266&lt;=T266,"Detected - Within SLA",IF(AND(R266&lt;&gt;"",R266&gt;IFERROR(INDEX(Settings!$C$5:$C$8,MATCH(G266,Settings!$A$5:$A$8,0)),1E+099)),"Triage Delay","Detected - SLA Breach"))))))</f>
        <v/>
      </c>
      <c r="W266" s="25" t="str">
        <f aca="false">IF(G266="","",IF(L266&lt;&gt;"",1,0))</f>
        <v/>
      </c>
      <c r="X266" s="32"/>
      <c r="Y266" s="32"/>
      <c r="Z266" s="32"/>
      <c r="AA266" s="24"/>
      <c r="AB266" s="24"/>
      <c r="AC266" s="33" t="str">
        <f aca="false">IF(AND(G266&lt;&gt;"",L266&lt;&gt;"",X266&lt;&gt;""),(X266-L266)*1440,"")</f>
        <v/>
      </c>
      <c r="AD266" s="33" t="str">
        <f aca="false">IF(AND(G266&lt;&gt;"",X266&lt;&gt;"",Y266&lt;&gt;""),(Y266-X266)*1440,"")</f>
        <v/>
      </c>
      <c r="AE266" s="33" t="str">
        <f aca="false">IF(AND(G266&lt;&gt;"",Y266&lt;&gt;"",Z266&lt;&gt;""),(Z266-Y266)*1440,"")</f>
        <v/>
      </c>
      <c r="AF266" s="33" t="str">
        <f aca="false">IF(AND(G266&lt;&gt;"",L266&lt;&gt;"",Z266&lt;&gt;""),(Z266-L266)*1440,"")</f>
        <v/>
      </c>
      <c r="AG266" s="33" t="str">
        <f aca="false">IF(G266="","",IFERROR(INDEX(Settings!$D$5:$D$8,MATCH(G266,Settings!$A$5:$A$8,0)),""))</f>
        <v/>
      </c>
      <c r="AH266" s="25" t="str">
        <f aca="false">IF(G266="","",IF(AF266="","No",IF(AF266&lt;=AG266,"Yes","No")))</f>
        <v/>
      </c>
      <c r="AI266" s="25" t="str">
        <f aca="false">IF(G266="","",IF(L266="","N/A - Not Detected",IF(AND(X266="",Y266="",Z266=""),"No Containment Action",IF(Z266="",IF(Y266&lt;&gt;"","C2 Persisted","Host Isolation Gap"),IF(AF266&lt;=AG266,"Contained - Within SLA","Contained - SLA Breach")))))</f>
        <v/>
      </c>
      <c r="AJ266" s="25" t="str">
        <f aca="false">IF(G266="","",IF(Z266&lt;&gt;"",1,0))</f>
        <v/>
      </c>
      <c r="AK266" s="34"/>
      <c r="AL266" s="34"/>
      <c r="AM266" s="35"/>
      <c r="AN266" s="34"/>
      <c r="AO266" s="34"/>
      <c r="AP266" s="35"/>
      <c r="AQ266" s="34"/>
      <c r="AR266" s="34"/>
      <c r="AS266" s="34"/>
      <c r="AT266" s="35"/>
      <c r="AU266" s="35"/>
    </row>
    <row r="267" customFormat="false" ht="15" hidden="false" customHeight="false" outlineLevel="0" collapsed="false">
      <c r="A267" s="24"/>
      <c r="B267" s="24"/>
      <c r="C267" s="24"/>
      <c r="D267" s="24"/>
      <c r="E267" s="24"/>
      <c r="F267" s="24"/>
      <c r="G267" s="24"/>
      <c r="H267" s="24"/>
      <c r="I267" s="32"/>
      <c r="J267" s="32"/>
      <c r="K267" s="32"/>
      <c r="L267" s="32"/>
      <c r="M267" s="24"/>
      <c r="N267" s="24"/>
      <c r="O267" s="24"/>
      <c r="P267" s="33" t="str">
        <f aca="false">IF(AND(G267&lt;&gt;"",I267&lt;&gt;"",J267&lt;&gt;""),(J267-I267)*1440,"")</f>
        <v/>
      </c>
      <c r="Q267" s="33" t="str">
        <f aca="false">IF(AND(G267&lt;&gt;"",J267&lt;&gt;"",K267&lt;&gt;""),(K267-J267)*1440,"")</f>
        <v/>
      </c>
      <c r="R267" s="33" t="str">
        <f aca="false">IF(AND(G267&lt;&gt;"",K267&lt;&gt;"",L267&lt;&gt;""),(L267-K267)*1440,"")</f>
        <v/>
      </c>
      <c r="S267" s="33" t="str">
        <f aca="false">IF(AND(G267&lt;&gt;"",I267&lt;&gt;"",L267&lt;&gt;""),(L267-I267)*1440,"")</f>
        <v/>
      </c>
      <c r="T267" s="33" t="str">
        <f aca="false">IF(G267="","",IFERROR(INDEX(Settings!$B$5:$B$8,MATCH(G267,Settings!$A$5:$A$8,0)),""))</f>
        <v/>
      </c>
      <c r="U267" s="25" t="str">
        <f aca="false">IF(G267="","",IF(S267="","No",IF(S267&lt;=T267,"Yes","No")))</f>
        <v/>
      </c>
      <c r="V267" s="25" t="str">
        <f aca="false">IF(G267="","",IF(AND(J267="",K267="",L267=""),"Telemetry Blind Spot",IF(AND(K267="",L267=""),"Missed Alert",IF(L267="","Triage Delay",IF(S267&lt;=T267,"Detected - Within SLA",IF(AND(R267&lt;&gt;"",R267&gt;IFERROR(INDEX(Settings!$C$5:$C$8,MATCH(G267,Settings!$A$5:$A$8,0)),1E+099)),"Triage Delay","Detected - SLA Breach"))))))</f>
        <v/>
      </c>
      <c r="W267" s="25" t="str">
        <f aca="false">IF(G267="","",IF(L267&lt;&gt;"",1,0))</f>
        <v/>
      </c>
      <c r="X267" s="32"/>
      <c r="Y267" s="32"/>
      <c r="Z267" s="32"/>
      <c r="AA267" s="24"/>
      <c r="AB267" s="24"/>
      <c r="AC267" s="33" t="str">
        <f aca="false">IF(AND(G267&lt;&gt;"",L267&lt;&gt;"",X267&lt;&gt;""),(X267-L267)*1440,"")</f>
        <v/>
      </c>
      <c r="AD267" s="33" t="str">
        <f aca="false">IF(AND(G267&lt;&gt;"",X267&lt;&gt;"",Y267&lt;&gt;""),(Y267-X267)*1440,"")</f>
        <v/>
      </c>
      <c r="AE267" s="33" t="str">
        <f aca="false">IF(AND(G267&lt;&gt;"",Y267&lt;&gt;"",Z267&lt;&gt;""),(Z267-Y267)*1440,"")</f>
        <v/>
      </c>
      <c r="AF267" s="33" t="str">
        <f aca="false">IF(AND(G267&lt;&gt;"",L267&lt;&gt;"",Z267&lt;&gt;""),(Z267-L267)*1440,"")</f>
        <v/>
      </c>
      <c r="AG267" s="33" t="str">
        <f aca="false">IF(G267="","",IFERROR(INDEX(Settings!$D$5:$D$8,MATCH(G267,Settings!$A$5:$A$8,0)),""))</f>
        <v/>
      </c>
      <c r="AH267" s="25" t="str">
        <f aca="false">IF(G267="","",IF(AF267="","No",IF(AF267&lt;=AG267,"Yes","No")))</f>
        <v/>
      </c>
      <c r="AI267" s="25" t="str">
        <f aca="false">IF(G267="","",IF(L267="","N/A - Not Detected",IF(AND(X267="",Y267="",Z267=""),"No Containment Action",IF(Z267="",IF(Y267&lt;&gt;"","C2 Persisted","Host Isolation Gap"),IF(AF267&lt;=AG267,"Contained - Within SLA","Contained - SLA Breach")))))</f>
        <v/>
      </c>
      <c r="AJ267" s="25" t="str">
        <f aca="false">IF(G267="","",IF(Z267&lt;&gt;"",1,0))</f>
        <v/>
      </c>
      <c r="AK267" s="34"/>
      <c r="AL267" s="34"/>
      <c r="AM267" s="35"/>
      <c r="AN267" s="34"/>
      <c r="AO267" s="34"/>
      <c r="AP267" s="35"/>
      <c r="AQ267" s="34"/>
      <c r="AR267" s="34"/>
      <c r="AS267" s="34"/>
      <c r="AT267" s="35"/>
      <c r="AU267" s="35"/>
    </row>
    <row r="268" customFormat="false" ht="15" hidden="false" customHeight="false" outlineLevel="0" collapsed="false">
      <c r="A268" s="24"/>
      <c r="B268" s="24"/>
      <c r="C268" s="24"/>
      <c r="D268" s="24"/>
      <c r="E268" s="24"/>
      <c r="F268" s="24"/>
      <c r="G268" s="24"/>
      <c r="H268" s="24"/>
      <c r="I268" s="32"/>
      <c r="J268" s="32"/>
      <c r="K268" s="32"/>
      <c r="L268" s="32"/>
      <c r="M268" s="24"/>
      <c r="N268" s="24"/>
      <c r="O268" s="24"/>
      <c r="P268" s="33" t="str">
        <f aca="false">IF(AND(G268&lt;&gt;"",I268&lt;&gt;"",J268&lt;&gt;""),(J268-I268)*1440,"")</f>
        <v/>
      </c>
      <c r="Q268" s="33" t="str">
        <f aca="false">IF(AND(G268&lt;&gt;"",J268&lt;&gt;"",K268&lt;&gt;""),(K268-J268)*1440,"")</f>
        <v/>
      </c>
      <c r="R268" s="33" t="str">
        <f aca="false">IF(AND(G268&lt;&gt;"",K268&lt;&gt;"",L268&lt;&gt;""),(L268-K268)*1440,"")</f>
        <v/>
      </c>
      <c r="S268" s="33" t="str">
        <f aca="false">IF(AND(G268&lt;&gt;"",I268&lt;&gt;"",L268&lt;&gt;""),(L268-I268)*1440,"")</f>
        <v/>
      </c>
      <c r="T268" s="33" t="str">
        <f aca="false">IF(G268="","",IFERROR(INDEX(Settings!$B$5:$B$8,MATCH(G268,Settings!$A$5:$A$8,0)),""))</f>
        <v/>
      </c>
      <c r="U268" s="25" t="str">
        <f aca="false">IF(G268="","",IF(S268="","No",IF(S268&lt;=T268,"Yes","No")))</f>
        <v/>
      </c>
      <c r="V268" s="25" t="str">
        <f aca="false">IF(G268="","",IF(AND(J268="",K268="",L268=""),"Telemetry Blind Spot",IF(AND(K268="",L268=""),"Missed Alert",IF(L268="","Triage Delay",IF(S268&lt;=T268,"Detected - Within SLA",IF(AND(R268&lt;&gt;"",R268&gt;IFERROR(INDEX(Settings!$C$5:$C$8,MATCH(G268,Settings!$A$5:$A$8,0)),1E+099)),"Triage Delay","Detected - SLA Breach"))))))</f>
        <v/>
      </c>
      <c r="W268" s="25" t="str">
        <f aca="false">IF(G268="","",IF(L268&lt;&gt;"",1,0))</f>
        <v/>
      </c>
      <c r="X268" s="32"/>
      <c r="Y268" s="32"/>
      <c r="Z268" s="32"/>
      <c r="AA268" s="24"/>
      <c r="AB268" s="24"/>
      <c r="AC268" s="33" t="str">
        <f aca="false">IF(AND(G268&lt;&gt;"",L268&lt;&gt;"",X268&lt;&gt;""),(X268-L268)*1440,"")</f>
        <v/>
      </c>
      <c r="AD268" s="33" t="str">
        <f aca="false">IF(AND(G268&lt;&gt;"",X268&lt;&gt;"",Y268&lt;&gt;""),(Y268-X268)*1440,"")</f>
        <v/>
      </c>
      <c r="AE268" s="33" t="str">
        <f aca="false">IF(AND(G268&lt;&gt;"",Y268&lt;&gt;"",Z268&lt;&gt;""),(Z268-Y268)*1440,"")</f>
        <v/>
      </c>
      <c r="AF268" s="33" t="str">
        <f aca="false">IF(AND(G268&lt;&gt;"",L268&lt;&gt;"",Z268&lt;&gt;""),(Z268-L268)*1440,"")</f>
        <v/>
      </c>
      <c r="AG268" s="33" t="str">
        <f aca="false">IF(G268="","",IFERROR(INDEX(Settings!$D$5:$D$8,MATCH(G268,Settings!$A$5:$A$8,0)),""))</f>
        <v/>
      </c>
      <c r="AH268" s="25" t="str">
        <f aca="false">IF(G268="","",IF(AF268="","No",IF(AF268&lt;=AG268,"Yes","No")))</f>
        <v/>
      </c>
      <c r="AI268" s="25" t="str">
        <f aca="false">IF(G268="","",IF(L268="","N/A - Not Detected",IF(AND(X268="",Y268="",Z268=""),"No Containment Action",IF(Z268="",IF(Y268&lt;&gt;"","C2 Persisted","Host Isolation Gap"),IF(AF268&lt;=AG268,"Contained - Within SLA","Contained - SLA Breach")))))</f>
        <v/>
      </c>
      <c r="AJ268" s="25" t="str">
        <f aca="false">IF(G268="","",IF(Z268&lt;&gt;"",1,0))</f>
        <v/>
      </c>
      <c r="AK268" s="34"/>
      <c r="AL268" s="34"/>
      <c r="AM268" s="35"/>
      <c r="AN268" s="34"/>
      <c r="AO268" s="34"/>
      <c r="AP268" s="35"/>
      <c r="AQ268" s="34"/>
      <c r="AR268" s="34"/>
      <c r="AS268" s="34"/>
      <c r="AT268" s="35"/>
      <c r="AU268" s="35"/>
    </row>
    <row r="269" customFormat="false" ht="15" hidden="false" customHeight="false" outlineLevel="0" collapsed="false">
      <c r="A269" s="24"/>
      <c r="B269" s="24"/>
      <c r="C269" s="24"/>
      <c r="D269" s="24"/>
      <c r="E269" s="24"/>
      <c r="F269" s="24"/>
      <c r="G269" s="24"/>
      <c r="H269" s="24"/>
      <c r="I269" s="32"/>
      <c r="J269" s="32"/>
      <c r="K269" s="32"/>
      <c r="L269" s="32"/>
      <c r="M269" s="24"/>
      <c r="N269" s="24"/>
      <c r="O269" s="24"/>
      <c r="P269" s="33" t="str">
        <f aca="false">IF(AND(G269&lt;&gt;"",I269&lt;&gt;"",J269&lt;&gt;""),(J269-I269)*1440,"")</f>
        <v/>
      </c>
      <c r="Q269" s="33" t="str">
        <f aca="false">IF(AND(G269&lt;&gt;"",J269&lt;&gt;"",K269&lt;&gt;""),(K269-J269)*1440,"")</f>
        <v/>
      </c>
      <c r="R269" s="33" t="str">
        <f aca="false">IF(AND(G269&lt;&gt;"",K269&lt;&gt;"",L269&lt;&gt;""),(L269-K269)*1440,"")</f>
        <v/>
      </c>
      <c r="S269" s="33" t="str">
        <f aca="false">IF(AND(G269&lt;&gt;"",I269&lt;&gt;"",L269&lt;&gt;""),(L269-I269)*1440,"")</f>
        <v/>
      </c>
      <c r="T269" s="33" t="str">
        <f aca="false">IF(G269="","",IFERROR(INDEX(Settings!$B$5:$B$8,MATCH(G269,Settings!$A$5:$A$8,0)),""))</f>
        <v/>
      </c>
      <c r="U269" s="25" t="str">
        <f aca="false">IF(G269="","",IF(S269="","No",IF(S269&lt;=T269,"Yes","No")))</f>
        <v/>
      </c>
      <c r="V269" s="25" t="str">
        <f aca="false">IF(G269="","",IF(AND(J269="",K269="",L269=""),"Telemetry Blind Spot",IF(AND(K269="",L269=""),"Missed Alert",IF(L269="","Triage Delay",IF(S269&lt;=T269,"Detected - Within SLA",IF(AND(R269&lt;&gt;"",R269&gt;IFERROR(INDEX(Settings!$C$5:$C$8,MATCH(G269,Settings!$A$5:$A$8,0)),1E+099)),"Triage Delay","Detected - SLA Breach"))))))</f>
        <v/>
      </c>
      <c r="W269" s="25" t="str">
        <f aca="false">IF(G269="","",IF(L269&lt;&gt;"",1,0))</f>
        <v/>
      </c>
      <c r="X269" s="32"/>
      <c r="Y269" s="32"/>
      <c r="Z269" s="32"/>
      <c r="AA269" s="24"/>
      <c r="AB269" s="24"/>
      <c r="AC269" s="33" t="str">
        <f aca="false">IF(AND(G269&lt;&gt;"",L269&lt;&gt;"",X269&lt;&gt;""),(X269-L269)*1440,"")</f>
        <v/>
      </c>
      <c r="AD269" s="33" t="str">
        <f aca="false">IF(AND(G269&lt;&gt;"",X269&lt;&gt;"",Y269&lt;&gt;""),(Y269-X269)*1440,"")</f>
        <v/>
      </c>
      <c r="AE269" s="33" t="str">
        <f aca="false">IF(AND(G269&lt;&gt;"",Y269&lt;&gt;"",Z269&lt;&gt;""),(Z269-Y269)*1440,"")</f>
        <v/>
      </c>
      <c r="AF269" s="33" t="str">
        <f aca="false">IF(AND(G269&lt;&gt;"",L269&lt;&gt;"",Z269&lt;&gt;""),(Z269-L269)*1440,"")</f>
        <v/>
      </c>
      <c r="AG269" s="33" t="str">
        <f aca="false">IF(G269="","",IFERROR(INDEX(Settings!$D$5:$D$8,MATCH(G269,Settings!$A$5:$A$8,0)),""))</f>
        <v/>
      </c>
      <c r="AH269" s="25" t="str">
        <f aca="false">IF(G269="","",IF(AF269="","No",IF(AF269&lt;=AG269,"Yes","No")))</f>
        <v/>
      </c>
      <c r="AI269" s="25" t="str">
        <f aca="false">IF(G269="","",IF(L269="","N/A - Not Detected",IF(AND(X269="",Y269="",Z269=""),"No Containment Action",IF(Z269="",IF(Y269&lt;&gt;"","C2 Persisted","Host Isolation Gap"),IF(AF269&lt;=AG269,"Contained - Within SLA","Contained - SLA Breach")))))</f>
        <v/>
      </c>
      <c r="AJ269" s="25" t="str">
        <f aca="false">IF(G269="","",IF(Z269&lt;&gt;"",1,0))</f>
        <v/>
      </c>
      <c r="AK269" s="34"/>
      <c r="AL269" s="34"/>
      <c r="AM269" s="35"/>
      <c r="AN269" s="34"/>
      <c r="AO269" s="34"/>
      <c r="AP269" s="35"/>
      <c r="AQ269" s="34"/>
      <c r="AR269" s="34"/>
      <c r="AS269" s="34"/>
      <c r="AT269" s="35"/>
      <c r="AU269" s="35"/>
    </row>
    <row r="270" customFormat="false" ht="15" hidden="false" customHeight="false" outlineLevel="0" collapsed="false">
      <c r="A270" s="24"/>
      <c r="B270" s="24"/>
      <c r="C270" s="24"/>
      <c r="D270" s="24"/>
      <c r="E270" s="24"/>
      <c r="F270" s="24"/>
      <c r="G270" s="24"/>
      <c r="H270" s="24"/>
      <c r="I270" s="32"/>
      <c r="J270" s="32"/>
      <c r="K270" s="32"/>
      <c r="L270" s="32"/>
      <c r="M270" s="24"/>
      <c r="N270" s="24"/>
      <c r="O270" s="24"/>
      <c r="P270" s="33" t="str">
        <f aca="false">IF(AND(G270&lt;&gt;"",I270&lt;&gt;"",J270&lt;&gt;""),(J270-I270)*1440,"")</f>
        <v/>
      </c>
      <c r="Q270" s="33" t="str">
        <f aca="false">IF(AND(G270&lt;&gt;"",J270&lt;&gt;"",K270&lt;&gt;""),(K270-J270)*1440,"")</f>
        <v/>
      </c>
      <c r="R270" s="33" t="str">
        <f aca="false">IF(AND(G270&lt;&gt;"",K270&lt;&gt;"",L270&lt;&gt;""),(L270-K270)*1440,"")</f>
        <v/>
      </c>
      <c r="S270" s="33" t="str">
        <f aca="false">IF(AND(G270&lt;&gt;"",I270&lt;&gt;"",L270&lt;&gt;""),(L270-I270)*1440,"")</f>
        <v/>
      </c>
      <c r="T270" s="33" t="str">
        <f aca="false">IF(G270="","",IFERROR(INDEX(Settings!$B$5:$B$8,MATCH(G270,Settings!$A$5:$A$8,0)),""))</f>
        <v/>
      </c>
      <c r="U270" s="25" t="str">
        <f aca="false">IF(G270="","",IF(S270="","No",IF(S270&lt;=T270,"Yes","No")))</f>
        <v/>
      </c>
      <c r="V270" s="25" t="str">
        <f aca="false">IF(G270="","",IF(AND(J270="",K270="",L270=""),"Telemetry Blind Spot",IF(AND(K270="",L270=""),"Missed Alert",IF(L270="","Triage Delay",IF(S270&lt;=T270,"Detected - Within SLA",IF(AND(R270&lt;&gt;"",R270&gt;IFERROR(INDEX(Settings!$C$5:$C$8,MATCH(G270,Settings!$A$5:$A$8,0)),1E+099)),"Triage Delay","Detected - SLA Breach"))))))</f>
        <v/>
      </c>
      <c r="W270" s="25" t="str">
        <f aca="false">IF(G270="","",IF(L270&lt;&gt;"",1,0))</f>
        <v/>
      </c>
      <c r="X270" s="32"/>
      <c r="Y270" s="32"/>
      <c r="Z270" s="32"/>
      <c r="AA270" s="24"/>
      <c r="AB270" s="24"/>
      <c r="AC270" s="33" t="str">
        <f aca="false">IF(AND(G270&lt;&gt;"",L270&lt;&gt;"",X270&lt;&gt;""),(X270-L270)*1440,"")</f>
        <v/>
      </c>
      <c r="AD270" s="33" t="str">
        <f aca="false">IF(AND(G270&lt;&gt;"",X270&lt;&gt;"",Y270&lt;&gt;""),(Y270-X270)*1440,"")</f>
        <v/>
      </c>
      <c r="AE270" s="33" t="str">
        <f aca="false">IF(AND(G270&lt;&gt;"",Y270&lt;&gt;"",Z270&lt;&gt;""),(Z270-Y270)*1440,"")</f>
        <v/>
      </c>
      <c r="AF270" s="33" t="str">
        <f aca="false">IF(AND(G270&lt;&gt;"",L270&lt;&gt;"",Z270&lt;&gt;""),(Z270-L270)*1440,"")</f>
        <v/>
      </c>
      <c r="AG270" s="33" t="str">
        <f aca="false">IF(G270="","",IFERROR(INDEX(Settings!$D$5:$D$8,MATCH(G270,Settings!$A$5:$A$8,0)),""))</f>
        <v/>
      </c>
      <c r="AH270" s="25" t="str">
        <f aca="false">IF(G270="","",IF(AF270="","No",IF(AF270&lt;=AG270,"Yes","No")))</f>
        <v/>
      </c>
      <c r="AI270" s="25" t="str">
        <f aca="false">IF(G270="","",IF(L270="","N/A - Not Detected",IF(AND(X270="",Y270="",Z270=""),"No Containment Action",IF(Z270="",IF(Y270&lt;&gt;"","C2 Persisted","Host Isolation Gap"),IF(AF270&lt;=AG270,"Contained - Within SLA","Contained - SLA Breach")))))</f>
        <v/>
      </c>
      <c r="AJ270" s="25" t="str">
        <f aca="false">IF(G270="","",IF(Z270&lt;&gt;"",1,0))</f>
        <v/>
      </c>
      <c r="AK270" s="34"/>
      <c r="AL270" s="34"/>
      <c r="AM270" s="35"/>
      <c r="AN270" s="34"/>
      <c r="AO270" s="34"/>
      <c r="AP270" s="35"/>
      <c r="AQ270" s="34"/>
      <c r="AR270" s="34"/>
      <c r="AS270" s="34"/>
      <c r="AT270" s="35"/>
      <c r="AU270" s="35"/>
    </row>
    <row r="271" customFormat="false" ht="15" hidden="false" customHeight="false" outlineLevel="0" collapsed="false">
      <c r="A271" s="24"/>
      <c r="B271" s="24"/>
      <c r="C271" s="24"/>
      <c r="D271" s="24"/>
      <c r="E271" s="24"/>
      <c r="F271" s="24"/>
      <c r="G271" s="24"/>
      <c r="H271" s="24"/>
      <c r="I271" s="32"/>
      <c r="J271" s="32"/>
      <c r="K271" s="32"/>
      <c r="L271" s="32"/>
      <c r="M271" s="24"/>
      <c r="N271" s="24"/>
      <c r="O271" s="24"/>
      <c r="P271" s="33" t="str">
        <f aca="false">IF(AND(G271&lt;&gt;"",I271&lt;&gt;"",J271&lt;&gt;""),(J271-I271)*1440,"")</f>
        <v/>
      </c>
      <c r="Q271" s="33" t="str">
        <f aca="false">IF(AND(G271&lt;&gt;"",J271&lt;&gt;"",K271&lt;&gt;""),(K271-J271)*1440,"")</f>
        <v/>
      </c>
      <c r="R271" s="33" t="str">
        <f aca="false">IF(AND(G271&lt;&gt;"",K271&lt;&gt;"",L271&lt;&gt;""),(L271-K271)*1440,"")</f>
        <v/>
      </c>
      <c r="S271" s="33" t="str">
        <f aca="false">IF(AND(G271&lt;&gt;"",I271&lt;&gt;"",L271&lt;&gt;""),(L271-I271)*1440,"")</f>
        <v/>
      </c>
      <c r="T271" s="33" t="str">
        <f aca="false">IF(G271="","",IFERROR(INDEX(Settings!$B$5:$B$8,MATCH(G271,Settings!$A$5:$A$8,0)),""))</f>
        <v/>
      </c>
      <c r="U271" s="25" t="str">
        <f aca="false">IF(G271="","",IF(S271="","No",IF(S271&lt;=T271,"Yes","No")))</f>
        <v/>
      </c>
      <c r="V271" s="25" t="str">
        <f aca="false">IF(G271="","",IF(AND(J271="",K271="",L271=""),"Telemetry Blind Spot",IF(AND(K271="",L271=""),"Missed Alert",IF(L271="","Triage Delay",IF(S271&lt;=T271,"Detected - Within SLA",IF(AND(R271&lt;&gt;"",R271&gt;IFERROR(INDEX(Settings!$C$5:$C$8,MATCH(G271,Settings!$A$5:$A$8,0)),1E+099)),"Triage Delay","Detected - SLA Breach"))))))</f>
        <v/>
      </c>
      <c r="W271" s="25" t="str">
        <f aca="false">IF(G271="","",IF(L271&lt;&gt;"",1,0))</f>
        <v/>
      </c>
      <c r="X271" s="32"/>
      <c r="Y271" s="32"/>
      <c r="Z271" s="32"/>
      <c r="AA271" s="24"/>
      <c r="AB271" s="24"/>
      <c r="AC271" s="33" t="str">
        <f aca="false">IF(AND(G271&lt;&gt;"",L271&lt;&gt;"",X271&lt;&gt;""),(X271-L271)*1440,"")</f>
        <v/>
      </c>
      <c r="AD271" s="33" t="str">
        <f aca="false">IF(AND(G271&lt;&gt;"",X271&lt;&gt;"",Y271&lt;&gt;""),(Y271-X271)*1440,"")</f>
        <v/>
      </c>
      <c r="AE271" s="33" t="str">
        <f aca="false">IF(AND(G271&lt;&gt;"",Y271&lt;&gt;"",Z271&lt;&gt;""),(Z271-Y271)*1440,"")</f>
        <v/>
      </c>
      <c r="AF271" s="33" t="str">
        <f aca="false">IF(AND(G271&lt;&gt;"",L271&lt;&gt;"",Z271&lt;&gt;""),(Z271-L271)*1440,"")</f>
        <v/>
      </c>
      <c r="AG271" s="33" t="str">
        <f aca="false">IF(G271="","",IFERROR(INDEX(Settings!$D$5:$D$8,MATCH(G271,Settings!$A$5:$A$8,0)),""))</f>
        <v/>
      </c>
      <c r="AH271" s="25" t="str">
        <f aca="false">IF(G271="","",IF(AF271="","No",IF(AF271&lt;=AG271,"Yes","No")))</f>
        <v/>
      </c>
      <c r="AI271" s="25" t="str">
        <f aca="false">IF(G271="","",IF(L271="","N/A - Not Detected",IF(AND(X271="",Y271="",Z271=""),"No Containment Action",IF(Z271="",IF(Y271&lt;&gt;"","C2 Persisted","Host Isolation Gap"),IF(AF271&lt;=AG271,"Contained - Within SLA","Contained - SLA Breach")))))</f>
        <v/>
      </c>
      <c r="AJ271" s="25" t="str">
        <f aca="false">IF(G271="","",IF(Z271&lt;&gt;"",1,0))</f>
        <v/>
      </c>
      <c r="AK271" s="34"/>
      <c r="AL271" s="34"/>
      <c r="AM271" s="35"/>
      <c r="AN271" s="34"/>
      <c r="AO271" s="34"/>
      <c r="AP271" s="35"/>
      <c r="AQ271" s="34"/>
      <c r="AR271" s="34"/>
      <c r="AS271" s="34"/>
      <c r="AT271" s="35"/>
      <c r="AU271" s="35"/>
    </row>
    <row r="272" customFormat="false" ht="15" hidden="false" customHeight="false" outlineLevel="0" collapsed="false">
      <c r="A272" s="24"/>
      <c r="B272" s="24"/>
      <c r="C272" s="24"/>
      <c r="D272" s="24"/>
      <c r="E272" s="24"/>
      <c r="F272" s="24"/>
      <c r="G272" s="24"/>
      <c r="H272" s="24"/>
      <c r="I272" s="32"/>
      <c r="J272" s="32"/>
      <c r="K272" s="32"/>
      <c r="L272" s="32"/>
      <c r="M272" s="24"/>
      <c r="N272" s="24"/>
      <c r="O272" s="24"/>
      <c r="P272" s="33" t="str">
        <f aca="false">IF(AND(G272&lt;&gt;"",I272&lt;&gt;"",J272&lt;&gt;""),(J272-I272)*1440,"")</f>
        <v/>
      </c>
      <c r="Q272" s="33" t="str">
        <f aca="false">IF(AND(G272&lt;&gt;"",J272&lt;&gt;"",K272&lt;&gt;""),(K272-J272)*1440,"")</f>
        <v/>
      </c>
      <c r="R272" s="33" t="str">
        <f aca="false">IF(AND(G272&lt;&gt;"",K272&lt;&gt;"",L272&lt;&gt;""),(L272-K272)*1440,"")</f>
        <v/>
      </c>
      <c r="S272" s="33" t="str">
        <f aca="false">IF(AND(G272&lt;&gt;"",I272&lt;&gt;"",L272&lt;&gt;""),(L272-I272)*1440,"")</f>
        <v/>
      </c>
      <c r="T272" s="33" t="str">
        <f aca="false">IF(G272="","",IFERROR(INDEX(Settings!$B$5:$B$8,MATCH(G272,Settings!$A$5:$A$8,0)),""))</f>
        <v/>
      </c>
      <c r="U272" s="25" t="str">
        <f aca="false">IF(G272="","",IF(S272="","No",IF(S272&lt;=T272,"Yes","No")))</f>
        <v/>
      </c>
      <c r="V272" s="25" t="str">
        <f aca="false">IF(G272="","",IF(AND(J272="",K272="",L272=""),"Telemetry Blind Spot",IF(AND(K272="",L272=""),"Missed Alert",IF(L272="","Triage Delay",IF(S272&lt;=T272,"Detected - Within SLA",IF(AND(R272&lt;&gt;"",R272&gt;IFERROR(INDEX(Settings!$C$5:$C$8,MATCH(G272,Settings!$A$5:$A$8,0)),1E+099)),"Triage Delay","Detected - SLA Breach"))))))</f>
        <v/>
      </c>
      <c r="W272" s="25" t="str">
        <f aca="false">IF(G272="","",IF(L272&lt;&gt;"",1,0))</f>
        <v/>
      </c>
      <c r="X272" s="32"/>
      <c r="Y272" s="32"/>
      <c r="Z272" s="32"/>
      <c r="AA272" s="24"/>
      <c r="AB272" s="24"/>
      <c r="AC272" s="33" t="str">
        <f aca="false">IF(AND(G272&lt;&gt;"",L272&lt;&gt;"",X272&lt;&gt;""),(X272-L272)*1440,"")</f>
        <v/>
      </c>
      <c r="AD272" s="33" t="str">
        <f aca="false">IF(AND(G272&lt;&gt;"",X272&lt;&gt;"",Y272&lt;&gt;""),(Y272-X272)*1440,"")</f>
        <v/>
      </c>
      <c r="AE272" s="33" t="str">
        <f aca="false">IF(AND(G272&lt;&gt;"",Y272&lt;&gt;"",Z272&lt;&gt;""),(Z272-Y272)*1440,"")</f>
        <v/>
      </c>
      <c r="AF272" s="33" t="str">
        <f aca="false">IF(AND(G272&lt;&gt;"",L272&lt;&gt;"",Z272&lt;&gt;""),(Z272-L272)*1440,"")</f>
        <v/>
      </c>
      <c r="AG272" s="33" t="str">
        <f aca="false">IF(G272="","",IFERROR(INDEX(Settings!$D$5:$D$8,MATCH(G272,Settings!$A$5:$A$8,0)),""))</f>
        <v/>
      </c>
      <c r="AH272" s="25" t="str">
        <f aca="false">IF(G272="","",IF(AF272="","No",IF(AF272&lt;=AG272,"Yes","No")))</f>
        <v/>
      </c>
      <c r="AI272" s="25" t="str">
        <f aca="false">IF(G272="","",IF(L272="","N/A - Not Detected",IF(AND(X272="",Y272="",Z272=""),"No Containment Action",IF(Z272="",IF(Y272&lt;&gt;"","C2 Persisted","Host Isolation Gap"),IF(AF272&lt;=AG272,"Contained - Within SLA","Contained - SLA Breach")))))</f>
        <v/>
      </c>
      <c r="AJ272" s="25" t="str">
        <f aca="false">IF(G272="","",IF(Z272&lt;&gt;"",1,0))</f>
        <v/>
      </c>
      <c r="AK272" s="34"/>
      <c r="AL272" s="34"/>
      <c r="AM272" s="35"/>
      <c r="AN272" s="34"/>
      <c r="AO272" s="34"/>
      <c r="AP272" s="35"/>
      <c r="AQ272" s="34"/>
      <c r="AR272" s="34"/>
      <c r="AS272" s="34"/>
      <c r="AT272" s="35"/>
      <c r="AU272" s="35"/>
    </row>
    <row r="273" customFormat="false" ht="15" hidden="false" customHeight="false" outlineLevel="0" collapsed="false">
      <c r="A273" s="24"/>
      <c r="B273" s="24"/>
      <c r="C273" s="24"/>
      <c r="D273" s="24"/>
      <c r="E273" s="24"/>
      <c r="F273" s="24"/>
      <c r="G273" s="24"/>
      <c r="H273" s="24"/>
      <c r="I273" s="32"/>
      <c r="J273" s="32"/>
      <c r="K273" s="32"/>
      <c r="L273" s="32"/>
      <c r="M273" s="24"/>
      <c r="N273" s="24"/>
      <c r="O273" s="24"/>
      <c r="P273" s="33" t="str">
        <f aca="false">IF(AND(G273&lt;&gt;"",I273&lt;&gt;"",J273&lt;&gt;""),(J273-I273)*1440,"")</f>
        <v/>
      </c>
      <c r="Q273" s="33" t="str">
        <f aca="false">IF(AND(G273&lt;&gt;"",J273&lt;&gt;"",K273&lt;&gt;""),(K273-J273)*1440,"")</f>
        <v/>
      </c>
      <c r="R273" s="33" t="str">
        <f aca="false">IF(AND(G273&lt;&gt;"",K273&lt;&gt;"",L273&lt;&gt;""),(L273-K273)*1440,"")</f>
        <v/>
      </c>
      <c r="S273" s="33" t="str">
        <f aca="false">IF(AND(G273&lt;&gt;"",I273&lt;&gt;"",L273&lt;&gt;""),(L273-I273)*1440,"")</f>
        <v/>
      </c>
      <c r="T273" s="33" t="str">
        <f aca="false">IF(G273="","",IFERROR(INDEX(Settings!$B$5:$B$8,MATCH(G273,Settings!$A$5:$A$8,0)),""))</f>
        <v/>
      </c>
      <c r="U273" s="25" t="str">
        <f aca="false">IF(G273="","",IF(S273="","No",IF(S273&lt;=T273,"Yes","No")))</f>
        <v/>
      </c>
      <c r="V273" s="25" t="str">
        <f aca="false">IF(G273="","",IF(AND(J273="",K273="",L273=""),"Telemetry Blind Spot",IF(AND(K273="",L273=""),"Missed Alert",IF(L273="","Triage Delay",IF(S273&lt;=T273,"Detected - Within SLA",IF(AND(R273&lt;&gt;"",R273&gt;IFERROR(INDEX(Settings!$C$5:$C$8,MATCH(G273,Settings!$A$5:$A$8,0)),1E+099)),"Triage Delay","Detected - SLA Breach"))))))</f>
        <v/>
      </c>
      <c r="W273" s="25" t="str">
        <f aca="false">IF(G273="","",IF(L273&lt;&gt;"",1,0))</f>
        <v/>
      </c>
      <c r="X273" s="32"/>
      <c r="Y273" s="32"/>
      <c r="Z273" s="32"/>
      <c r="AA273" s="24"/>
      <c r="AB273" s="24"/>
      <c r="AC273" s="33" t="str">
        <f aca="false">IF(AND(G273&lt;&gt;"",L273&lt;&gt;"",X273&lt;&gt;""),(X273-L273)*1440,"")</f>
        <v/>
      </c>
      <c r="AD273" s="33" t="str">
        <f aca="false">IF(AND(G273&lt;&gt;"",X273&lt;&gt;"",Y273&lt;&gt;""),(Y273-X273)*1440,"")</f>
        <v/>
      </c>
      <c r="AE273" s="33" t="str">
        <f aca="false">IF(AND(G273&lt;&gt;"",Y273&lt;&gt;"",Z273&lt;&gt;""),(Z273-Y273)*1440,"")</f>
        <v/>
      </c>
      <c r="AF273" s="33" t="str">
        <f aca="false">IF(AND(G273&lt;&gt;"",L273&lt;&gt;"",Z273&lt;&gt;""),(Z273-L273)*1440,"")</f>
        <v/>
      </c>
      <c r="AG273" s="33" t="str">
        <f aca="false">IF(G273="","",IFERROR(INDEX(Settings!$D$5:$D$8,MATCH(G273,Settings!$A$5:$A$8,0)),""))</f>
        <v/>
      </c>
      <c r="AH273" s="25" t="str">
        <f aca="false">IF(G273="","",IF(AF273="","No",IF(AF273&lt;=AG273,"Yes","No")))</f>
        <v/>
      </c>
      <c r="AI273" s="25" t="str">
        <f aca="false">IF(G273="","",IF(L273="","N/A - Not Detected",IF(AND(X273="",Y273="",Z273=""),"No Containment Action",IF(Z273="",IF(Y273&lt;&gt;"","C2 Persisted","Host Isolation Gap"),IF(AF273&lt;=AG273,"Contained - Within SLA","Contained - SLA Breach")))))</f>
        <v/>
      </c>
      <c r="AJ273" s="25" t="str">
        <f aca="false">IF(G273="","",IF(Z273&lt;&gt;"",1,0))</f>
        <v/>
      </c>
      <c r="AK273" s="34"/>
      <c r="AL273" s="34"/>
      <c r="AM273" s="35"/>
      <c r="AN273" s="34"/>
      <c r="AO273" s="34"/>
      <c r="AP273" s="35"/>
      <c r="AQ273" s="34"/>
      <c r="AR273" s="34"/>
      <c r="AS273" s="34"/>
      <c r="AT273" s="35"/>
      <c r="AU273" s="35"/>
    </row>
    <row r="274" customFormat="false" ht="15" hidden="false" customHeight="false" outlineLevel="0" collapsed="false">
      <c r="A274" s="24"/>
      <c r="B274" s="24"/>
      <c r="C274" s="24"/>
      <c r="D274" s="24"/>
      <c r="E274" s="24"/>
      <c r="F274" s="24"/>
      <c r="G274" s="24"/>
      <c r="H274" s="24"/>
      <c r="I274" s="32"/>
      <c r="J274" s="32"/>
      <c r="K274" s="32"/>
      <c r="L274" s="32"/>
      <c r="M274" s="24"/>
      <c r="N274" s="24"/>
      <c r="O274" s="24"/>
      <c r="P274" s="33" t="str">
        <f aca="false">IF(AND(G274&lt;&gt;"",I274&lt;&gt;"",J274&lt;&gt;""),(J274-I274)*1440,"")</f>
        <v/>
      </c>
      <c r="Q274" s="33" t="str">
        <f aca="false">IF(AND(G274&lt;&gt;"",J274&lt;&gt;"",K274&lt;&gt;""),(K274-J274)*1440,"")</f>
        <v/>
      </c>
      <c r="R274" s="33" t="str">
        <f aca="false">IF(AND(G274&lt;&gt;"",K274&lt;&gt;"",L274&lt;&gt;""),(L274-K274)*1440,"")</f>
        <v/>
      </c>
      <c r="S274" s="33" t="str">
        <f aca="false">IF(AND(G274&lt;&gt;"",I274&lt;&gt;"",L274&lt;&gt;""),(L274-I274)*1440,"")</f>
        <v/>
      </c>
      <c r="T274" s="33" t="str">
        <f aca="false">IF(G274="","",IFERROR(INDEX(Settings!$B$5:$B$8,MATCH(G274,Settings!$A$5:$A$8,0)),""))</f>
        <v/>
      </c>
      <c r="U274" s="25" t="str">
        <f aca="false">IF(G274="","",IF(S274="","No",IF(S274&lt;=T274,"Yes","No")))</f>
        <v/>
      </c>
      <c r="V274" s="25" t="str">
        <f aca="false">IF(G274="","",IF(AND(J274="",K274="",L274=""),"Telemetry Blind Spot",IF(AND(K274="",L274=""),"Missed Alert",IF(L274="","Triage Delay",IF(S274&lt;=T274,"Detected - Within SLA",IF(AND(R274&lt;&gt;"",R274&gt;IFERROR(INDEX(Settings!$C$5:$C$8,MATCH(G274,Settings!$A$5:$A$8,0)),1E+099)),"Triage Delay","Detected - SLA Breach"))))))</f>
        <v/>
      </c>
      <c r="W274" s="25" t="str">
        <f aca="false">IF(G274="","",IF(L274&lt;&gt;"",1,0))</f>
        <v/>
      </c>
      <c r="X274" s="32"/>
      <c r="Y274" s="32"/>
      <c r="Z274" s="32"/>
      <c r="AA274" s="24"/>
      <c r="AB274" s="24"/>
      <c r="AC274" s="33" t="str">
        <f aca="false">IF(AND(G274&lt;&gt;"",L274&lt;&gt;"",X274&lt;&gt;""),(X274-L274)*1440,"")</f>
        <v/>
      </c>
      <c r="AD274" s="33" t="str">
        <f aca="false">IF(AND(G274&lt;&gt;"",X274&lt;&gt;"",Y274&lt;&gt;""),(Y274-X274)*1440,"")</f>
        <v/>
      </c>
      <c r="AE274" s="33" t="str">
        <f aca="false">IF(AND(G274&lt;&gt;"",Y274&lt;&gt;"",Z274&lt;&gt;""),(Z274-Y274)*1440,"")</f>
        <v/>
      </c>
      <c r="AF274" s="33" t="str">
        <f aca="false">IF(AND(G274&lt;&gt;"",L274&lt;&gt;"",Z274&lt;&gt;""),(Z274-L274)*1440,"")</f>
        <v/>
      </c>
      <c r="AG274" s="33" t="str">
        <f aca="false">IF(G274="","",IFERROR(INDEX(Settings!$D$5:$D$8,MATCH(G274,Settings!$A$5:$A$8,0)),""))</f>
        <v/>
      </c>
      <c r="AH274" s="25" t="str">
        <f aca="false">IF(G274="","",IF(AF274="","No",IF(AF274&lt;=AG274,"Yes","No")))</f>
        <v/>
      </c>
      <c r="AI274" s="25" t="str">
        <f aca="false">IF(G274="","",IF(L274="","N/A - Not Detected",IF(AND(X274="",Y274="",Z274=""),"No Containment Action",IF(Z274="",IF(Y274&lt;&gt;"","C2 Persisted","Host Isolation Gap"),IF(AF274&lt;=AG274,"Contained - Within SLA","Contained - SLA Breach")))))</f>
        <v/>
      </c>
      <c r="AJ274" s="25" t="str">
        <f aca="false">IF(G274="","",IF(Z274&lt;&gt;"",1,0))</f>
        <v/>
      </c>
      <c r="AK274" s="34"/>
      <c r="AL274" s="34"/>
      <c r="AM274" s="35"/>
      <c r="AN274" s="34"/>
      <c r="AO274" s="34"/>
      <c r="AP274" s="35"/>
      <c r="AQ274" s="34"/>
      <c r="AR274" s="34"/>
      <c r="AS274" s="34"/>
      <c r="AT274" s="35"/>
      <c r="AU274" s="35"/>
    </row>
    <row r="275" customFormat="false" ht="15" hidden="false" customHeight="false" outlineLevel="0" collapsed="false">
      <c r="A275" s="24"/>
      <c r="B275" s="24"/>
      <c r="C275" s="24"/>
      <c r="D275" s="24"/>
      <c r="E275" s="24"/>
      <c r="F275" s="24"/>
      <c r="G275" s="24"/>
      <c r="H275" s="24"/>
      <c r="I275" s="32"/>
      <c r="J275" s="32"/>
      <c r="K275" s="32"/>
      <c r="L275" s="32"/>
      <c r="M275" s="24"/>
      <c r="N275" s="24"/>
      <c r="O275" s="24"/>
      <c r="P275" s="33" t="str">
        <f aca="false">IF(AND(G275&lt;&gt;"",I275&lt;&gt;"",J275&lt;&gt;""),(J275-I275)*1440,"")</f>
        <v/>
      </c>
      <c r="Q275" s="33" t="str">
        <f aca="false">IF(AND(G275&lt;&gt;"",J275&lt;&gt;"",K275&lt;&gt;""),(K275-J275)*1440,"")</f>
        <v/>
      </c>
      <c r="R275" s="33" t="str">
        <f aca="false">IF(AND(G275&lt;&gt;"",K275&lt;&gt;"",L275&lt;&gt;""),(L275-K275)*1440,"")</f>
        <v/>
      </c>
      <c r="S275" s="33" t="str">
        <f aca="false">IF(AND(G275&lt;&gt;"",I275&lt;&gt;"",L275&lt;&gt;""),(L275-I275)*1440,"")</f>
        <v/>
      </c>
      <c r="T275" s="33" t="str">
        <f aca="false">IF(G275="","",IFERROR(INDEX(Settings!$B$5:$B$8,MATCH(G275,Settings!$A$5:$A$8,0)),""))</f>
        <v/>
      </c>
      <c r="U275" s="25" t="str">
        <f aca="false">IF(G275="","",IF(S275="","No",IF(S275&lt;=T275,"Yes","No")))</f>
        <v/>
      </c>
      <c r="V275" s="25" t="str">
        <f aca="false">IF(G275="","",IF(AND(J275="",K275="",L275=""),"Telemetry Blind Spot",IF(AND(K275="",L275=""),"Missed Alert",IF(L275="","Triage Delay",IF(S275&lt;=T275,"Detected - Within SLA",IF(AND(R275&lt;&gt;"",R275&gt;IFERROR(INDEX(Settings!$C$5:$C$8,MATCH(G275,Settings!$A$5:$A$8,0)),1E+099)),"Triage Delay","Detected - SLA Breach"))))))</f>
        <v/>
      </c>
      <c r="W275" s="25" t="str">
        <f aca="false">IF(G275="","",IF(L275&lt;&gt;"",1,0))</f>
        <v/>
      </c>
      <c r="X275" s="32"/>
      <c r="Y275" s="32"/>
      <c r="Z275" s="32"/>
      <c r="AA275" s="24"/>
      <c r="AB275" s="24"/>
      <c r="AC275" s="33" t="str">
        <f aca="false">IF(AND(G275&lt;&gt;"",L275&lt;&gt;"",X275&lt;&gt;""),(X275-L275)*1440,"")</f>
        <v/>
      </c>
      <c r="AD275" s="33" t="str">
        <f aca="false">IF(AND(G275&lt;&gt;"",X275&lt;&gt;"",Y275&lt;&gt;""),(Y275-X275)*1440,"")</f>
        <v/>
      </c>
      <c r="AE275" s="33" t="str">
        <f aca="false">IF(AND(G275&lt;&gt;"",Y275&lt;&gt;"",Z275&lt;&gt;""),(Z275-Y275)*1440,"")</f>
        <v/>
      </c>
      <c r="AF275" s="33" t="str">
        <f aca="false">IF(AND(G275&lt;&gt;"",L275&lt;&gt;"",Z275&lt;&gt;""),(Z275-L275)*1440,"")</f>
        <v/>
      </c>
      <c r="AG275" s="33" t="str">
        <f aca="false">IF(G275="","",IFERROR(INDEX(Settings!$D$5:$D$8,MATCH(G275,Settings!$A$5:$A$8,0)),""))</f>
        <v/>
      </c>
      <c r="AH275" s="25" t="str">
        <f aca="false">IF(G275="","",IF(AF275="","No",IF(AF275&lt;=AG275,"Yes","No")))</f>
        <v/>
      </c>
      <c r="AI275" s="25" t="str">
        <f aca="false">IF(G275="","",IF(L275="","N/A - Not Detected",IF(AND(X275="",Y275="",Z275=""),"No Containment Action",IF(Z275="",IF(Y275&lt;&gt;"","C2 Persisted","Host Isolation Gap"),IF(AF275&lt;=AG275,"Contained - Within SLA","Contained - SLA Breach")))))</f>
        <v/>
      </c>
      <c r="AJ275" s="25" t="str">
        <f aca="false">IF(G275="","",IF(Z275&lt;&gt;"",1,0))</f>
        <v/>
      </c>
      <c r="AK275" s="34"/>
      <c r="AL275" s="34"/>
      <c r="AM275" s="35"/>
      <c r="AN275" s="34"/>
      <c r="AO275" s="34"/>
      <c r="AP275" s="35"/>
      <c r="AQ275" s="34"/>
      <c r="AR275" s="34"/>
      <c r="AS275" s="34"/>
      <c r="AT275" s="35"/>
      <c r="AU275" s="35"/>
    </row>
    <row r="276" customFormat="false" ht="15" hidden="false" customHeight="false" outlineLevel="0" collapsed="false">
      <c r="A276" s="24"/>
      <c r="B276" s="24"/>
      <c r="C276" s="24"/>
      <c r="D276" s="24"/>
      <c r="E276" s="24"/>
      <c r="F276" s="24"/>
      <c r="G276" s="24"/>
      <c r="H276" s="24"/>
      <c r="I276" s="32"/>
      <c r="J276" s="32"/>
      <c r="K276" s="32"/>
      <c r="L276" s="32"/>
      <c r="M276" s="24"/>
      <c r="N276" s="24"/>
      <c r="O276" s="24"/>
      <c r="P276" s="33" t="str">
        <f aca="false">IF(AND(G276&lt;&gt;"",I276&lt;&gt;"",J276&lt;&gt;""),(J276-I276)*1440,"")</f>
        <v/>
      </c>
      <c r="Q276" s="33" t="str">
        <f aca="false">IF(AND(G276&lt;&gt;"",J276&lt;&gt;"",K276&lt;&gt;""),(K276-J276)*1440,"")</f>
        <v/>
      </c>
      <c r="R276" s="33" t="str">
        <f aca="false">IF(AND(G276&lt;&gt;"",K276&lt;&gt;"",L276&lt;&gt;""),(L276-K276)*1440,"")</f>
        <v/>
      </c>
      <c r="S276" s="33" t="str">
        <f aca="false">IF(AND(G276&lt;&gt;"",I276&lt;&gt;"",L276&lt;&gt;""),(L276-I276)*1440,"")</f>
        <v/>
      </c>
      <c r="T276" s="33" t="str">
        <f aca="false">IF(G276="","",IFERROR(INDEX(Settings!$B$5:$B$8,MATCH(G276,Settings!$A$5:$A$8,0)),""))</f>
        <v/>
      </c>
      <c r="U276" s="25" t="str">
        <f aca="false">IF(G276="","",IF(S276="","No",IF(S276&lt;=T276,"Yes","No")))</f>
        <v/>
      </c>
      <c r="V276" s="25" t="str">
        <f aca="false">IF(G276="","",IF(AND(J276="",K276="",L276=""),"Telemetry Blind Spot",IF(AND(K276="",L276=""),"Missed Alert",IF(L276="","Triage Delay",IF(S276&lt;=T276,"Detected - Within SLA",IF(AND(R276&lt;&gt;"",R276&gt;IFERROR(INDEX(Settings!$C$5:$C$8,MATCH(G276,Settings!$A$5:$A$8,0)),1E+099)),"Triage Delay","Detected - SLA Breach"))))))</f>
        <v/>
      </c>
      <c r="W276" s="25" t="str">
        <f aca="false">IF(G276="","",IF(L276&lt;&gt;"",1,0))</f>
        <v/>
      </c>
      <c r="X276" s="32"/>
      <c r="Y276" s="32"/>
      <c r="Z276" s="32"/>
      <c r="AA276" s="24"/>
      <c r="AB276" s="24"/>
      <c r="AC276" s="33" t="str">
        <f aca="false">IF(AND(G276&lt;&gt;"",L276&lt;&gt;"",X276&lt;&gt;""),(X276-L276)*1440,"")</f>
        <v/>
      </c>
      <c r="AD276" s="33" t="str">
        <f aca="false">IF(AND(G276&lt;&gt;"",X276&lt;&gt;"",Y276&lt;&gt;""),(Y276-X276)*1440,"")</f>
        <v/>
      </c>
      <c r="AE276" s="33" t="str">
        <f aca="false">IF(AND(G276&lt;&gt;"",Y276&lt;&gt;"",Z276&lt;&gt;""),(Z276-Y276)*1440,"")</f>
        <v/>
      </c>
      <c r="AF276" s="33" t="str">
        <f aca="false">IF(AND(G276&lt;&gt;"",L276&lt;&gt;"",Z276&lt;&gt;""),(Z276-L276)*1440,"")</f>
        <v/>
      </c>
      <c r="AG276" s="33" t="str">
        <f aca="false">IF(G276="","",IFERROR(INDEX(Settings!$D$5:$D$8,MATCH(G276,Settings!$A$5:$A$8,0)),""))</f>
        <v/>
      </c>
      <c r="AH276" s="25" t="str">
        <f aca="false">IF(G276="","",IF(AF276="","No",IF(AF276&lt;=AG276,"Yes","No")))</f>
        <v/>
      </c>
      <c r="AI276" s="25" t="str">
        <f aca="false">IF(G276="","",IF(L276="","N/A - Not Detected",IF(AND(X276="",Y276="",Z276=""),"No Containment Action",IF(Z276="",IF(Y276&lt;&gt;"","C2 Persisted","Host Isolation Gap"),IF(AF276&lt;=AG276,"Contained - Within SLA","Contained - SLA Breach")))))</f>
        <v/>
      </c>
      <c r="AJ276" s="25" t="str">
        <f aca="false">IF(G276="","",IF(Z276&lt;&gt;"",1,0))</f>
        <v/>
      </c>
      <c r="AK276" s="34"/>
      <c r="AL276" s="34"/>
      <c r="AM276" s="35"/>
      <c r="AN276" s="34"/>
      <c r="AO276" s="34"/>
      <c r="AP276" s="35"/>
      <c r="AQ276" s="34"/>
      <c r="AR276" s="34"/>
      <c r="AS276" s="34"/>
      <c r="AT276" s="35"/>
      <c r="AU276" s="35"/>
    </row>
    <row r="277" customFormat="false" ht="15" hidden="false" customHeight="false" outlineLevel="0" collapsed="false">
      <c r="A277" s="24"/>
      <c r="B277" s="24"/>
      <c r="C277" s="24"/>
      <c r="D277" s="24"/>
      <c r="E277" s="24"/>
      <c r="F277" s="24"/>
      <c r="G277" s="24"/>
      <c r="H277" s="24"/>
      <c r="I277" s="32"/>
      <c r="J277" s="32"/>
      <c r="K277" s="32"/>
      <c r="L277" s="32"/>
      <c r="M277" s="24"/>
      <c r="N277" s="24"/>
      <c r="O277" s="24"/>
      <c r="P277" s="33" t="str">
        <f aca="false">IF(AND(G277&lt;&gt;"",I277&lt;&gt;"",J277&lt;&gt;""),(J277-I277)*1440,"")</f>
        <v/>
      </c>
      <c r="Q277" s="33" t="str">
        <f aca="false">IF(AND(G277&lt;&gt;"",J277&lt;&gt;"",K277&lt;&gt;""),(K277-J277)*1440,"")</f>
        <v/>
      </c>
      <c r="R277" s="33" t="str">
        <f aca="false">IF(AND(G277&lt;&gt;"",K277&lt;&gt;"",L277&lt;&gt;""),(L277-K277)*1440,"")</f>
        <v/>
      </c>
      <c r="S277" s="33" t="str">
        <f aca="false">IF(AND(G277&lt;&gt;"",I277&lt;&gt;"",L277&lt;&gt;""),(L277-I277)*1440,"")</f>
        <v/>
      </c>
      <c r="T277" s="33" t="str">
        <f aca="false">IF(G277="","",IFERROR(INDEX(Settings!$B$5:$B$8,MATCH(G277,Settings!$A$5:$A$8,0)),""))</f>
        <v/>
      </c>
      <c r="U277" s="25" t="str">
        <f aca="false">IF(G277="","",IF(S277="","No",IF(S277&lt;=T277,"Yes","No")))</f>
        <v/>
      </c>
      <c r="V277" s="25" t="str">
        <f aca="false">IF(G277="","",IF(AND(J277="",K277="",L277=""),"Telemetry Blind Spot",IF(AND(K277="",L277=""),"Missed Alert",IF(L277="","Triage Delay",IF(S277&lt;=T277,"Detected - Within SLA",IF(AND(R277&lt;&gt;"",R277&gt;IFERROR(INDEX(Settings!$C$5:$C$8,MATCH(G277,Settings!$A$5:$A$8,0)),1E+099)),"Triage Delay","Detected - SLA Breach"))))))</f>
        <v/>
      </c>
      <c r="W277" s="25" t="str">
        <f aca="false">IF(G277="","",IF(L277&lt;&gt;"",1,0))</f>
        <v/>
      </c>
      <c r="X277" s="32"/>
      <c r="Y277" s="32"/>
      <c r="Z277" s="32"/>
      <c r="AA277" s="24"/>
      <c r="AB277" s="24"/>
      <c r="AC277" s="33" t="str">
        <f aca="false">IF(AND(G277&lt;&gt;"",L277&lt;&gt;"",X277&lt;&gt;""),(X277-L277)*1440,"")</f>
        <v/>
      </c>
      <c r="AD277" s="33" t="str">
        <f aca="false">IF(AND(G277&lt;&gt;"",X277&lt;&gt;"",Y277&lt;&gt;""),(Y277-X277)*1440,"")</f>
        <v/>
      </c>
      <c r="AE277" s="33" t="str">
        <f aca="false">IF(AND(G277&lt;&gt;"",Y277&lt;&gt;"",Z277&lt;&gt;""),(Z277-Y277)*1440,"")</f>
        <v/>
      </c>
      <c r="AF277" s="33" t="str">
        <f aca="false">IF(AND(G277&lt;&gt;"",L277&lt;&gt;"",Z277&lt;&gt;""),(Z277-L277)*1440,"")</f>
        <v/>
      </c>
      <c r="AG277" s="33" t="str">
        <f aca="false">IF(G277="","",IFERROR(INDEX(Settings!$D$5:$D$8,MATCH(G277,Settings!$A$5:$A$8,0)),""))</f>
        <v/>
      </c>
      <c r="AH277" s="25" t="str">
        <f aca="false">IF(G277="","",IF(AF277="","No",IF(AF277&lt;=AG277,"Yes","No")))</f>
        <v/>
      </c>
      <c r="AI277" s="25" t="str">
        <f aca="false">IF(G277="","",IF(L277="","N/A - Not Detected",IF(AND(X277="",Y277="",Z277=""),"No Containment Action",IF(Z277="",IF(Y277&lt;&gt;"","C2 Persisted","Host Isolation Gap"),IF(AF277&lt;=AG277,"Contained - Within SLA","Contained - SLA Breach")))))</f>
        <v/>
      </c>
      <c r="AJ277" s="25" t="str">
        <f aca="false">IF(G277="","",IF(Z277&lt;&gt;"",1,0))</f>
        <v/>
      </c>
      <c r="AK277" s="34"/>
      <c r="AL277" s="34"/>
      <c r="AM277" s="35"/>
      <c r="AN277" s="34"/>
      <c r="AO277" s="34"/>
      <c r="AP277" s="35"/>
      <c r="AQ277" s="34"/>
      <c r="AR277" s="34"/>
      <c r="AS277" s="34"/>
      <c r="AT277" s="35"/>
      <c r="AU277" s="35"/>
    </row>
    <row r="278" customFormat="false" ht="15" hidden="false" customHeight="false" outlineLevel="0" collapsed="false">
      <c r="A278" s="24"/>
      <c r="B278" s="24"/>
      <c r="C278" s="24"/>
      <c r="D278" s="24"/>
      <c r="E278" s="24"/>
      <c r="F278" s="24"/>
      <c r="G278" s="24"/>
      <c r="H278" s="24"/>
      <c r="I278" s="32"/>
      <c r="J278" s="32"/>
      <c r="K278" s="32"/>
      <c r="L278" s="32"/>
      <c r="M278" s="24"/>
      <c r="N278" s="24"/>
      <c r="O278" s="24"/>
      <c r="P278" s="33" t="str">
        <f aca="false">IF(AND(G278&lt;&gt;"",I278&lt;&gt;"",J278&lt;&gt;""),(J278-I278)*1440,"")</f>
        <v/>
      </c>
      <c r="Q278" s="33" t="str">
        <f aca="false">IF(AND(G278&lt;&gt;"",J278&lt;&gt;"",K278&lt;&gt;""),(K278-J278)*1440,"")</f>
        <v/>
      </c>
      <c r="R278" s="33" t="str">
        <f aca="false">IF(AND(G278&lt;&gt;"",K278&lt;&gt;"",L278&lt;&gt;""),(L278-K278)*1440,"")</f>
        <v/>
      </c>
      <c r="S278" s="33" t="str">
        <f aca="false">IF(AND(G278&lt;&gt;"",I278&lt;&gt;"",L278&lt;&gt;""),(L278-I278)*1440,"")</f>
        <v/>
      </c>
      <c r="T278" s="33" t="str">
        <f aca="false">IF(G278="","",IFERROR(INDEX(Settings!$B$5:$B$8,MATCH(G278,Settings!$A$5:$A$8,0)),""))</f>
        <v/>
      </c>
      <c r="U278" s="25" t="str">
        <f aca="false">IF(G278="","",IF(S278="","No",IF(S278&lt;=T278,"Yes","No")))</f>
        <v/>
      </c>
      <c r="V278" s="25" t="str">
        <f aca="false">IF(G278="","",IF(AND(J278="",K278="",L278=""),"Telemetry Blind Spot",IF(AND(K278="",L278=""),"Missed Alert",IF(L278="","Triage Delay",IF(S278&lt;=T278,"Detected - Within SLA",IF(AND(R278&lt;&gt;"",R278&gt;IFERROR(INDEX(Settings!$C$5:$C$8,MATCH(G278,Settings!$A$5:$A$8,0)),1E+099)),"Triage Delay","Detected - SLA Breach"))))))</f>
        <v/>
      </c>
      <c r="W278" s="25" t="str">
        <f aca="false">IF(G278="","",IF(L278&lt;&gt;"",1,0))</f>
        <v/>
      </c>
      <c r="X278" s="32"/>
      <c r="Y278" s="32"/>
      <c r="Z278" s="32"/>
      <c r="AA278" s="24"/>
      <c r="AB278" s="24"/>
      <c r="AC278" s="33" t="str">
        <f aca="false">IF(AND(G278&lt;&gt;"",L278&lt;&gt;"",X278&lt;&gt;""),(X278-L278)*1440,"")</f>
        <v/>
      </c>
      <c r="AD278" s="33" t="str">
        <f aca="false">IF(AND(G278&lt;&gt;"",X278&lt;&gt;"",Y278&lt;&gt;""),(Y278-X278)*1440,"")</f>
        <v/>
      </c>
      <c r="AE278" s="33" t="str">
        <f aca="false">IF(AND(G278&lt;&gt;"",Y278&lt;&gt;"",Z278&lt;&gt;""),(Z278-Y278)*1440,"")</f>
        <v/>
      </c>
      <c r="AF278" s="33" t="str">
        <f aca="false">IF(AND(G278&lt;&gt;"",L278&lt;&gt;"",Z278&lt;&gt;""),(Z278-L278)*1440,"")</f>
        <v/>
      </c>
      <c r="AG278" s="33" t="str">
        <f aca="false">IF(G278="","",IFERROR(INDEX(Settings!$D$5:$D$8,MATCH(G278,Settings!$A$5:$A$8,0)),""))</f>
        <v/>
      </c>
      <c r="AH278" s="25" t="str">
        <f aca="false">IF(G278="","",IF(AF278="","No",IF(AF278&lt;=AG278,"Yes","No")))</f>
        <v/>
      </c>
      <c r="AI278" s="25" t="str">
        <f aca="false">IF(G278="","",IF(L278="","N/A - Not Detected",IF(AND(X278="",Y278="",Z278=""),"No Containment Action",IF(Z278="",IF(Y278&lt;&gt;"","C2 Persisted","Host Isolation Gap"),IF(AF278&lt;=AG278,"Contained - Within SLA","Contained - SLA Breach")))))</f>
        <v/>
      </c>
      <c r="AJ278" s="25" t="str">
        <f aca="false">IF(G278="","",IF(Z278&lt;&gt;"",1,0))</f>
        <v/>
      </c>
      <c r="AK278" s="34"/>
      <c r="AL278" s="34"/>
      <c r="AM278" s="35"/>
      <c r="AN278" s="34"/>
      <c r="AO278" s="34"/>
      <c r="AP278" s="35"/>
      <c r="AQ278" s="34"/>
      <c r="AR278" s="34"/>
      <c r="AS278" s="34"/>
      <c r="AT278" s="35"/>
      <c r="AU278" s="35"/>
    </row>
    <row r="279" customFormat="false" ht="15" hidden="false" customHeight="false" outlineLevel="0" collapsed="false">
      <c r="A279" s="24"/>
      <c r="B279" s="24"/>
      <c r="C279" s="24"/>
      <c r="D279" s="24"/>
      <c r="E279" s="24"/>
      <c r="F279" s="24"/>
      <c r="G279" s="24"/>
      <c r="H279" s="24"/>
      <c r="I279" s="32"/>
      <c r="J279" s="32"/>
      <c r="K279" s="32"/>
      <c r="L279" s="32"/>
      <c r="M279" s="24"/>
      <c r="N279" s="24"/>
      <c r="O279" s="24"/>
      <c r="P279" s="33" t="str">
        <f aca="false">IF(AND(G279&lt;&gt;"",I279&lt;&gt;"",J279&lt;&gt;""),(J279-I279)*1440,"")</f>
        <v/>
      </c>
      <c r="Q279" s="33" t="str">
        <f aca="false">IF(AND(G279&lt;&gt;"",J279&lt;&gt;"",K279&lt;&gt;""),(K279-J279)*1440,"")</f>
        <v/>
      </c>
      <c r="R279" s="33" t="str">
        <f aca="false">IF(AND(G279&lt;&gt;"",K279&lt;&gt;"",L279&lt;&gt;""),(L279-K279)*1440,"")</f>
        <v/>
      </c>
      <c r="S279" s="33" t="str">
        <f aca="false">IF(AND(G279&lt;&gt;"",I279&lt;&gt;"",L279&lt;&gt;""),(L279-I279)*1440,"")</f>
        <v/>
      </c>
      <c r="T279" s="33" t="str">
        <f aca="false">IF(G279="","",IFERROR(INDEX(Settings!$B$5:$B$8,MATCH(G279,Settings!$A$5:$A$8,0)),""))</f>
        <v/>
      </c>
      <c r="U279" s="25" t="str">
        <f aca="false">IF(G279="","",IF(S279="","No",IF(S279&lt;=T279,"Yes","No")))</f>
        <v/>
      </c>
      <c r="V279" s="25" t="str">
        <f aca="false">IF(G279="","",IF(AND(J279="",K279="",L279=""),"Telemetry Blind Spot",IF(AND(K279="",L279=""),"Missed Alert",IF(L279="","Triage Delay",IF(S279&lt;=T279,"Detected - Within SLA",IF(AND(R279&lt;&gt;"",R279&gt;IFERROR(INDEX(Settings!$C$5:$C$8,MATCH(G279,Settings!$A$5:$A$8,0)),1E+099)),"Triage Delay","Detected - SLA Breach"))))))</f>
        <v/>
      </c>
      <c r="W279" s="25" t="str">
        <f aca="false">IF(G279="","",IF(L279&lt;&gt;"",1,0))</f>
        <v/>
      </c>
      <c r="X279" s="32"/>
      <c r="Y279" s="32"/>
      <c r="Z279" s="32"/>
      <c r="AA279" s="24"/>
      <c r="AB279" s="24"/>
      <c r="AC279" s="33" t="str">
        <f aca="false">IF(AND(G279&lt;&gt;"",L279&lt;&gt;"",X279&lt;&gt;""),(X279-L279)*1440,"")</f>
        <v/>
      </c>
      <c r="AD279" s="33" t="str">
        <f aca="false">IF(AND(G279&lt;&gt;"",X279&lt;&gt;"",Y279&lt;&gt;""),(Y279-X279)*1440,"")</f>
        <v/>
      </c>
      <c r="AE279" s="33" t="str">
        <f aca="false">IF(AND(G279&lt;&gt;"",Y279&lt;&gt;"",Z279&lt;&gt;""),(Z279-Y279)*1440,"")</f>
        <v/>
      </c>
      <c r="AF279" s="33" t="str">
        <f aca="false">IF(AND(G279&lt;&gt;"",L279&lt;&gt;"",Z279&lt;&gt;""),(Z279-L279)*1440,"")</f>
        <v/>
      </c>
      <c r="AG279" s="33" t="str">
        <f aca="false">IF(G279="","",IFERROR(INDEX(Settings!$D$5:$D$8,MATCH(G279,Settings!$A$5:$A$8,0)),""))</f>
        <v/>
      </c>
      <c r="AH279" s="25" t="str">
        <f aca="false">IF(G279="","",IF(AF279="","No",IF(AF279&lt;=AG279,"Yes","No")))</f>
        <v/>
      </c>
      <c r="AI279" s="25" t="str">
        <f aca="false">IF(G279="","",IF(L279="","N/A - Not Detected",IF(AND(X279="",Y279="",Z279=""),"No Containment Action",IF(Z279="",IF(Y279&lt;&gt;"","C2 Persisted","Host Isolation Gap"),IF(AF279&lt;=AG279,"Contained - Within SLA","Contained - SLA Breach")))))</f>
        <v/>
      </c>
      <c r="AJ279" s="25" t="str">
        <f aca="false">IF(G279="","",IF(Z279&lt;&gt;"",1,0))</f>
        <v/>
      </c>
      <c r="AK279" s="34"/>
      <c r="AL279" s="34"/>
      <c r="AM279" s="35"/>
      <c r="AN279" s="34"/>
      <c r="AO279" s="34"/>
      <c r="AP279" s="35"/>
      <c r="AQ279" s="34"/>
      <c r="AR279" s="34"/>
      <c r="AS279" s="34"/>
      <c r="AT279" s="35"/>
      <c r="AU279" s="35"/>
    </row>
    <row r="280" customFormat="false" ht="15" hidden="false" customHeight="false" outlineLevel="0" collapsed="false">
      <c r="A280" s="24"/>
      <c r="B280" s="24"/>
      <c r="C280" s="24"/>
      <c r="D280" s="24"/>
      <c r="E280" s="24"/>
      <c r="F280" s="24"/>
      <c r="G280" s="24"/>
      <c r="H280" s="24"/>
      <c r="I280" s="32"/>
      <c r="J280" s="32"/>
      <c r="K280" s="32"/>
      <c r="L280" s="32"/>
      <c r="M280" s="24"/>
      <c r="N280" s="24"/>
      <c r="O280" s="24"/>
      <c r="P280" s="33" t="str">
        <f aca="false">IF(AND(G280&lt;&gt;"",I280&lt;&gt;"",J280&lt;&gt;""),(J280-I280)*1440,"")</f>
        <v/>
      </c>
      <c r="Q280" s="33" t="str">
        <f aca="false">IF(AND(G280&lt;&gt;"",J280&lt;&gt;"",K280&lt;&gt;""),(K280-J280)*1440,"")</f>
        <v/>
      </c>
      <c r="R280" s="33" t="str">
        <f aca="false">IF(AND(G280&lt;&gt;"",K280&lt;&gt;"",L280&lt;&gt;""),(L280-K280)*1440,"")</f>
        <v/>
      </c>
      <c r="S280" s="33" t="str">
        <f aca="false">IF(AND(G280&lt;&gt;"",I280&lt;&gt;"",L280&lt;&gt;""),(L280-I280)*1440,"")</f>
        <v/>
      </c>
      <c r="T280" s="33" t="str">
        <f aca="false">IF(G280="","",IFERROR(INDEX(Settings!$B$5:$B$8,MATCH(G280,Settings!$A$5:$A$8,0)),""))</f>
        <v/>
      </c>
      <c r="U280" s="25" t="str">
        <f aca="false">IF(G280="","",IF(S280="","No",IF(S280&lt;=T280,"Yes","No")))</f>
        <v/>
      </c>
      <c r="V280" s="25" t="str">
        <f aca="false">IF(G280="","",IF(AND(J280="",K280="",L280=""),"Telemetry Blind Spot",IF(AND(K280="",L280=""),"Missed Alert",IF(L280="","Triage Delay",IF(S280&lt;=T280,"Detected - Within SLA",IF(AND(R280&lt;&gt;"",R280&gt;IFERROR(INDEX(Settings!$C$5:$C$8,MATCH(G280,Settings!$A$5:$A$8,0)),1E+099)),"Triage Delay","Detected - SLA Breach"))))))</f>
        <v/>
      </c>
      <c r="W280" s="25" t="str">
        <f aca="false">IF(G280="","",IF(L280&lt;&gt;"",1,0))</f>
        <v/>
      </c>
      <c r="X280" s="32"/>
      <c r="Y280" s="32"/>
      <c r="Z280" s="32"/>
      <c r="AA280" s="24"/>
      <c r="AB280" s="24"/>
      <c r="AC280" s="33" t="str">
        <f aca="false">IF(AND(G280&lt;&gt;"",L280&lt;&gt;"",X280&lt;&gt;""),(X280-L280)*1440,"")</f>
        <v/>
      </c>
      <c r="AD280" s="33" t="str">
        <f aca="false">IF(AND(G280&lt;&gt;"",X280&lt;&gt;"",Y280&lt;&gt;""),(Y280-X280)*1440,"")</f>
        <v/>
      </c>
      <c r="AE280" s="33" t="str">
        <f aca="false">IF(AND(G280&lt;&gt;"",Y280&lt;&gt;"",Z280&lt;&gt;""),(Z280-Y280)*1440,"")</f>
        <v/>
      </c>
      <c r="AF280" s="33" t="str">
        <f aca="false">IF(AND(G280&lt;&gt;"",L280&lt;&gt;"",Z280&lt;&gt;""),(Z280-L280)*1440,"")</f>
        <v/>
      </c>
      <c r="AG280" s="33" t="str">
        <f aca="false">IF(G280="","",IFERROR(INDEX(Settings!$D$5:$D$8,MATCH(G280,Settings!$A$5:$A$8,0)),""))</f>
        <v/>
      </c>
      <c r="AH280" s="25" t="str">
        <f aca="false">IF(G280="","",IF(AF280="","No",IF(AF280&lt;=AG280,"Yes","No")))</f>
        <v/>
      </c>
      <c r="AI280" s="25" t="str">
        <f aca="false">IF(G280="","",IF(L280="","N/A - Not Detected",IF(AND(X280="",Y280="",Z280=""),"No Containment Action",IF(Z280="",IF(Y280&lt;&gt;"","C2 Persisted","Host Isolation Gap"),IF(AF280&lt;=AG280,"Contained - Within SLA","Contained - SLA Breach")))))</f>
        <v/>
      </c>
      <c r="AJ280" s="25" t="str">
        <f aca="false">IF(G280="","",IF(Z280&lt;&gt;"",1,0))</f>
        <v/>
      </c>
      <c r="AK280" s="34"/>
      <c r="AL280" s="34"/>
      <c r="AM280" s="35"/>
      <c r="AN280" s="34"/>
      <c r="AO280" s="34"/>
      <c r="AP280" s="35"/>
      <c r="AQ280" s="34"/>
      <c r="AR280" s="34"/>
      <c r="AS280" s="34"/>
      <c r="AT280" s="35"/>
      <c r="AU280" s="35"/>
    </row>
    <row r="281" customFormat="false" ht="15" hidden="false" customHeight="false" outlineLevel="0" collapsed="false">
      <c r="A281" s="24"/>
      <c r="B281" s="24"/>
      <c r="C281" s="24"/>
      <c r="D281" s="24"/>
      <c r="E281" s="24"/>
      <c r="F281" s="24"/>
      <c r="G281" s="24"/>
      <c r="H281" s="24"/>
      <c r="I281" s="32"/>
      <c r="J281" s="32"/>
      <c r="K281" s="32"/>
      <c r="L281" s="32"/>
      <c r="M281" s="24"/>
      <c r="N281" s="24"/>
      <c r="O281" s="24"/>
      <c r="P281" s="33" t="str">
        <f aca="false">IF(AND(G281&lt;&gt;"",I281&lt;&gt;"",J281&lt;&gt;""),(J281-I281)*1440,"")</f>
        <v/>
      </c>
      <c r="Q281" s="33" t="str">
        <f aca="false">IF(AND(G281&lt;&gt;"",J281&lt;&gt;"",K281&lt;&gt;""),(K281-J281)*1440,"")</f>
        <v/>
      </c>
      <c r="R281" s="33" t="str">
        <f aca="false">IF(AND(G281&lt;&gt;"",K281&lt;&gt;"",L281&lt;&gt;""),(L281-K281)*1440,"")</f>
        <v/>
      </c>
      <c r="S281" s="33" t="str">
        <f aca="false">IF(AND(G281&lt;&gt;"",I281&lt;&gt;"",L281&lt;&gt;""),(L281-I281)*1440,"")</f>
        <v/>
      </c>
      <c r="T281" s="33" t="str">
        <f aca="false">IF(G281="","",IFERROR(INDEX(Settings!$B$5:$B$8,MATCH(G281,Settings!$A$5:$A$8,0)),""))</f>
        <v/>
      </c>
      <c r="U281" s="25" t="str">
        <f aca="false">IF(G281="","",IF(S281="","No",IF(S281&lt;=T281,"Yes","No")))</f>
        <v/>
      </c>
      <c r="V281" s="25" t="str">
        <f aca="false">IF(G281="","",IF(AND(J281="",K281="",L281=""),"Telemetry Blind Spot",IF(AND(K281="",L281=""),"Missed Alert",IF(L281="","Triage Delay",IF(S281&lt;=T281,"Detected - Within SLA",IF(AND(R281&lt;&gt;"",R281&gt;IFERROR(INDEX(Settings!$C$5:$C$8,MATCH(G281,Settings!$A$5:$A$8,0)),1E+099)),"Triage Delay","Detected - SLA Breach"))))))</f>
        <v/>
      </c>
      <c r="W281" s="25" t="str">
        <f aca="false">IF(G281="","",IF(L281&lt;&gt;"",1,0))</f>
        <v/>
      </c>
      <c r="X281" s="32"/>
      <c r="Y281" s="32"/>
      <c r="Z281" s="32"/>
      <c r="AA281" s="24"/>
      <c r="AB281" s="24"/>
      <c r="AC281" s="33" t="str">
        <f aca="false">IF(AND(G281&lt;&gt;"",L281&lt;&gt;"",X281&lt;&gt;""),(X281-L281)*1440,"")</f>
        <v/>
      </c>
      <c r="AD281" s="33" t="str">
        <f aca="false">IF(AND(G281&lt;&gt;"",X281&lt;&gt;"",Y281&lt;&gt;""),(Y281-X281)*1440,"")</f>
        <v/>
      </c>
      <c r="AE281" s="33" t="str">
        <f aca="false">IF(AND(G281&lt;&gt;"",Y281&lt;&gt;"",Z281&lt;&gt;""),(Z281-Y281)*1440,"")</f>
        <v/>
      </c>
      <c r="AF281" s="33" t="str">
        <f aca="false">IF(AND(G281&lt;&gt;"",L281&lt;&gt;"",Z281&lt;&gt;""),(Z281-L281)*1440,"")</f>
        <v/>
      </c>
      <c r="AG281" s="33" t="str">
        <f aca="false">IF(G281="","",IFERROR(INDEX(Settings!$D$5:$D$8,MATCH(G281,Settings!$A$5:$A$8,0)),""))</f>
        <v/>
      </c>
      <c r="AH281" s="25" t="str">
        <f aca="false">IF(G281="","",IF(AF281="","No",IF(AF281&lt;=AG281,"Yes","No")))</f>
        <v/>
      </c>
      <c r="AI281" s="25" t="str">
        <f aca="false">IF(G281="","",IF(L281="","N/A - Not Detected",IF(AND(X281="",Y281="",Z281=""),"No Containment Action",IF(Z281="",IF(Y281&lt;&gt;"","C2 Persisted","Host Isolation Gap"),IF(AF281&lt;=AG281,"Contained - Within SLA","Contained - SLA Breach")))))</f>
        <v/>
      </c>
      <c r="AJ281" s="25" t="str">
        <f aca="false">IF(G281="","",IF(Z281&lt;&gt;"",1,0))</f>
        <v/>
      </c>
      <c r="AK281" s="34"/>
      <c r="AL281" s="34"/>
      <c r="AM281" s="35"/>
      <c r="AN281" s="34"/>
      <c r="AO281" s="34"/>
      <c r="AP281" s="35"/>
      <c r="AQ281" s="34"/>
      <c r="AR281" s="34"/>
      <c r="AS281" s="34"/>
      <c r="AT281" s="35"/>
      <c r="AU281" s="35"/>
    </row>
    <row r="282" customFormat="false" ht="15" hidden="false" customHeight="false" outlineLevel="0" collapsed="false">
      <c r="A282" s="24"/>
      <c r="B282" s="24"/>
      <c r="C282" s="24"/>
      <c r="D282" s="24"/>
      <c r="E282" s="24"/>
      <c r="F282" s="24"/>
      <c r="G282" s="24"/>
      <c r="H282" s="24"/>
      <c r="I282" s="32"/>
      <c r="J282" s="32"/>
      <c r="K282" s="32"/>
      <c r="L282" s="32"/>
      <c r="M282" s="24"/>
      <c r="N282" s="24"/>
      <c r="O282" s="24"/>
      <c r="P282" s="33" t="str">
        <f aca="false">IF(AND(G282&lt;&gt;"",I282&lt;&gt;"",J282&lt;&gt;""),(J282-I282)*1440,"")</f>
        <v/>
      </c>
      <c r="Q282" s="33" t="str">
        <f aca="false">IF(AND(G282&lt;&gt;"",J282&lt;&gt;"",K282&lt;&gt;""),(K282-J282)*1440,"")</f>
        <v/>
      </c>
      <c r="R282" s="33" t="str">
        <f aca="false">IF(AND(G282&lt;&gt;"",K282&lt;&gt;"",L282&lt;&gt;""),(L282-K282)*1440,"")</f>
        <v/>
      </c>
      <c r="S282" s="33" t="str">
        <f aca="false">IF(AND(G282&lt;&gt;"",I282&lt;&gt;"",L282&lt;&gt;""),(L282-I282)*1440,"")</f>
        <v/>
      </c>
      <c r="T282" s="33" t="str">
        <f aca="false">IF(G282="","",IFERROR(INDEX(Settings!$B$5:$B$8,MATCH(G282,Settings!$A$5:$A$8,0)),""))</f>
        <v/>
      </c>
      <c r="U282" s="25" t="str">
        <f aca="false">IF(G282="","",IF(S282="","No",IF(S282&lt;=T282,"Yes","No")))</f>
        <v/>
      </c>
      <c r="V282" s="25" t="str">
        <f aca="false">IF(G282="","",IF(AND(J282="",K282="",L282=""),"Telemetry Blind Spot",IF(AND(K282="",L282=""),"Missed Alert",IF(L282="","Triage Delay",IF(S282&lt;=T282,"Detected - Within SLA",IF(AND(R282&lt;&gt;"",R282&gt;IFERROR(INDEX(Settings!$C$5:$C$8,MATCH(G282,Settings!$A$5:$A$8,0)),1E+099)),"Triage Delay","Detected - SLA Breach"))))))</f>
        <v/>
      </c>
      <c r="W282" s="25" t="str">
        <f aca="false">IF(G282="","",IF(L282&lt;&gt;"",1,0))</f>
        <v/>
      </c>
      <c r="X282" s="32"/>
      <c r="Y282" s="32"/>
      <c r="Z282" s="32"/>
      <c r="AA282" s="24"/>
      <c r="AB282" s="24"/>
      <c r="AC282" s="33" t="str">
        <f aca="false">IF(AND(G282&lt;&gt;"",L282&lt;&gt;"",X282&lt;&gt;""),(X282-L282)*1440,"")</f>
        <v/>
      </c>
      <c r="AD282" s="33" t="str">
        <f aca="false">IF(AND(G282&lt;&gt;"",X282&lt;&gt;"",Y282&lt;&gt;""),(Y282-X282)*1440,"")</f>
        <v/>
      </c>
      <c r="AE282" s="33" t="str">
        <f aca="false">IF(AND(G282&lt;&gt;"",Y282&lt;&gt;"",Z282&lt;&gt;""),(Z282-Y282)*1440,"")</f>
        <v/>
      </c>
      <c r="AF282" s="33" t="str">
        <f aca="false">IF(AND(G282&lt;&gt;"",L282&lt;&gt;"",Z282&lt;&gt;""),(Z282-L282)*1440,"")</f>
        <v/>
      </c>
      <c r="AG282" s="33" t="str">
        <f aca="false">IF(G282="","",IFERROR(INDEX(Settings!$D$5:$D$8,MATCH(G282,Settings!$A$5:$A$8,0)),""))</f>
        <v/>
      </c>
      <c r="AH282" s="25" t="str">
        <f aca="false">IF(G282="","",IF(AF282="","No",IF(AF282&lt;=AG282,"Yes","No")))</f>
        <v/>
      </c>
      <c r="AI282" s="25" t="str">
        <f aca="false">IF(G282="","",IF(L282="","N/A - Not Detected",IF(AND(X282="",Y282="",Z282=""),"No Containment Action",IF(Z282="",IF(Y282&lt;&gt;"","C2 Persisted","Host Isolation Gap"),IF(AF282&lt;=AG282,"Contained - Within SLA","Contained - SLA Breach")))))</f>
        <v/>
      </c>
      <c r="AJ282" s="25" t="str">
        <f aca="false">IF(G282="","",IF(Z282&lt;&gt;"",1,0))</f>
        <v/>
      </c>
      <c r="AK282" s="34"/>
      <c r="AL282" s="34"/>
      <c r="AM282" s="35"/>
      <c r="AN282" s="34"/>
      <c r="AO282" s="34"/>
      <c r="AP282" s="35"/>
      <c r="AQ282" s="34"/>
      <c r="AR282" s="34"/>
      <c r="AS282" s="34"/>
      <c r="AT282" s="35"/>
      <c r="AU282" s="35"/>
    </row>
    <row r="283" customFormat="false" ht="15" hidden="false" customHeight="false" outlineLevel="0" collapsed="false">
      <c r="A283" s="24"/>
      <c r="B283" s="24"/>
      <c r="C283" s="24"/>
      <c r="D283" s="24"/>
      <c r="E283" s="24"/>
      <c r="F283" s="24"/>
      <c r="G283" s="24"/>
      <c r="H283" s="24"/>
      <c r="I283" s="32"/>
      <c r="J283" s="32"/>
      <c r="K283" s="32"/>
      <c r="L283" s="32"/>
      <c r="M283" s="24"/>
      <c r="N283" s="24"/>
      <c r="O283" s="24"/>
      <c r="P283" s="33" t="str">
        <f aca="false">IF(AND(G283&lt;&gt;"",I283&lt;&gt;"",J283&lt;&gt;""),(J283-I283)*1440,"")</f>
        <v/>
      </c>
      <c r="Q283" s="33" t="str">
        <f aca="false">IF(AND(G283&lt;&gt;"",J283&lt;&gt;"",K283&lt;&gt;""),(K283-J283)*1440,"")</f>
        <v/>
      </c>
      <c r="R283" s="33" t="str">
        <f aca="false">IF(AND(G283&lt;&gt;"",K283&lt;&gt;"",L283&lt;&gt;""),(L283-K283)*1440,"")</f>
        <v/>
      </c>
      <c r="S283" s="33" t="str">
        <f aca="false">IF(AND(G283&lt;&gt;"",I283&lt;&gt;"",L283&lt;&gt;""),(L283-I283)*1440,"")</f>
        <v/>
      </c>
      <c r="T283" s="33" t="str">
        <f aca="false">IF(G283="","",IFERROR(INDEX(Settings!$B$5:$B$8,MATCH(G283,Settings!$A$5:$A$8,0)),""))</f>
        <v/>
      </c>
      <c r="U283" s="25" t="str">
        <f aca="false">IF(G283="","",IF(S283="","No",IF(S283&lt;=T283,"Yes","No")))</f>
        <v/>
      </c>
      <c r="V283" s="25" t="str">
        <f aca="false">IF(G283="","",IF(AND(J283="",K283="",L283=""),"Telemetry Blind Spot",IF(AND(K283="",L283=""),"Missed Alert",IF(L283="","Triage Delay",IF(S283&lt;=T283,"Detected - Within SLA",IF(AND(R283&lt;&gt;"",R283&gt;IFERROR(INDEX(Settings!$C$5:$C$8,MATCH(G283,Settings!$A$5:$A$8,0)),1E+099)),"Triage Delay","Detected - SLA Breach"))))))</f>
        <v/>
      </c>
      <c r="W283" s="25" t="str">
        <f aca="false">IF(G283="","",IF(L283&lt;&gt;"",1,0))</f>
        <v/>
      </c>
      <c r="X283" s="32"/>
      <c r="Y283" s="32"/>
      <c r="Z283" s="32"/>
      <c r="AA283" s="24"/>
      <c r="AB283" s="24"/>
      <c r="AC283" s="33" t="str">
        <f aca="false">IF(AND(G283&lt;&gt;"",L283&lt;&gt;"",X283&lt;&gt;""),(X283-L283)*1440,"")</f>
        <v/>
      </c>
      <c r="AD283" s="33" t="str">
        <f aca="false">IF(AND(G283&lt;&gt;"",X283&lt;&gt;"",Y283&lt;&gt;""),(Y283-X283)*1440,"")</f>
        <v/>
      </c>
      <c r="AE283" s="33" t="str">
        <f aca="false">IF(AND(G283&lt;&gt;"",Y283&lt;&gt;"",Z283&lt;&gt;""),(Z283-Y283)*1440,"")</f>
        <v/>
      </c>
      <c r="AF283" s="33" t="str">
        <f aca="false">IF(AND(G283&lt;&gt;"",L283&lt;&gt;"",Z283&lt;&gt;""),(Z283-L283)*1440,"")</f>
        <v/>
      </c>
      <c r="AG283" s="33" t="str">
        <f aca="false">IF(G283="","",IFERROR(INDEX(Settings!$D$5:$D$8,MATCH(G283,Settings!$A$5:$A$8,0)),""))</f>
        <v/>
      </c>
      <c r="AH283" s="25" t="str">
        <f aca="false">IF(G283="","",IF(AF283="","No",IF(AF283&lt;=AG283,"Yes","No")))</f>
        <v/>
      </c>
      <c r="AI283" s="25" t="str">
        <f aca="false">IF(G283="","",IF(L283="","N/A - Not Detected",IF(AND(X283="",Y283="",Z283=""),"No Containment Action",IF(Z283="",IF(Y283&lt;&gt;"","C2 Persisted","Host Isolation Gap"),IF(AF283&lt;=AG283,"Contained - Within SLA","Contained - SLA Breach")))))</f>
        <v/>
      </c>
      <c r="AJ283" s="25" t="str">
        <f aca="false">IF(G283="","",IF(Z283&lt;&gt;"",1,0))</f>
        <v/>
      </c>
      <c r="AK283" s="34"/>
      <c r="AL283" s="34"/>
      <c r="AM283" s="35"/>
      <c r="AN283" s="34"/>
      <c r="AO283" s="34"/>
      <c r="AP283" s="35"/>
      <c r="AQ283" s="34"/>
      <c r="AR283" s="34"/>
      <c r="AS283" s="34"/>
      <c r="AT283" s="35"/>
      <c r="AU283" s="35"/>
    </row>
    <row r="284" customFormat="false" ht="15" hidden="false" customHeight="false" outlineLevel="0" collapsed="false">
      <c r="A284" s="24"/>
      <c r="B284" s="24"/>
      <c r="C284" s="24"/>
      <c r="D284" s="24"/>
      <c r="E284" s="24"/>
      <c r="F284" s="24"/>
      <c r="G284" s="24"/>
      <c r="H284" s="24"/>
      <c r="I284" s="32"/>
      <c r="J284" s="32"/>
      <c r="K284" s="32"/>
      <c r="L284" s="32"/>
      <c r="M284" s="24"/>
      <c r="N284" s="24"/>
      <c r="O284" s="24"/>
      <c r="P284" s="33" t="str">
        <f aca="false">IF(AND(G284&lt;&gt;"",I284&lt;&gt;"",J284&lt;&gt;""),(J284-I284)*1440,"")</f>
        <v/>
      </c>
      <c r="Q284" s="33" t="str">
        <f aca="false">IF(AND(G284&lt;&gt;"",J284&lt;&gt;"",K284&lt;&gt;""),(K284-J284)*1440,"")</f>
        <v/>
      </c>
      <c r="R284" s="33" t="str">
        <f aca="false">IF(AND(G284&lt;&gt;"",K284&lt;&gt;"",L284&lt;&gt;""),(L284-K284)*1440,"")</f>
        <v/>
      </c>
      <c r="S284" s="33" t="str">
        <f aca="false">IF(AND(G284&lt;&gt;"",I284&lt;&gt;"",L284&lt;&gt;""),(L284-I284)*1440,"")</f>
        <v/>
      </c>
      <c r="T284" s="33" t="str">
        <f aca="false">IF(G284="","",IFERROR(INDEX(Settings!$B$5:$B$8,MATCH(G284,Settings!$A$5:$A$8,0)),""))</f>
        <v/>
      </c>
      <c r="U284" s="25" t="str">
        <f aca="false">IF(G284="","",IF(S284="","No",IF(S284&lt;=T284,"Yes","No")))</f>
        <v/>
      </c>
      <c r="V284" s="25" t="str">
        <f aca="false">IF(G284="","",IF(AND(J284="",K284="",L284=""),"Telemetry Blind Spot",IF(AND(K284="",L284=""),"Missed Alert",IF(L284="","Triage Delay",IF(S284&lt;=T284,"Detected - Within SLA",IF(AND(R284&lt;&gt;"",R284&gt;IFERROR(INDEX(Settings!$C$5:$C$8,MATCH(G284,Settings!$A$5:$A$8,0)),1E+099)),"Triage Delay","Detected - SLA Breach"))))))</f>
        <v/>
      </c>
      <c r="W284" s="25" t="str">
        <f aca="false">IF(G284="","",IF(L284&lt;&gt;"",1,0))</f>
        <v/>
      </c>
      <c r="X284" s="32"/>
      <c r="Y284" s="32"/>
      <c r="Z284" s="32"/>
      <c r="AA284" s="24"/>
      <c r="AB284" s="24"/>
      <c r="AC284" s="33" t="str">
        <f aca="false">IF(AND(G284&lt;&gt;"",L284&lt;&gt;"",X284&lt;&gt;""),(X284-L284)*1440,"")</f>
        <v/>
      </c>
      <c r="AD284" s="33" t="str">
        <f aca="false">IF(AND(G284&lt;&gt;"",X284&lt;&gt;"",Y284&lt;&gt;""),(Y284-X284)*1440,"")</f>
        <v/>
      </c>
      <c r="AE284" s="33" t="str">
        <f aca="false">IF(AND(G284&lt;&gt;"",Y284&lt;&gt;"",Z284&lt;&gt;""),(Z284-Y284)*1440,"")</f>
        <v/>
      </c>
      <c r="AF284" s="33" t="str">
        <f aca="false">IF(AND(G284&lt;&gt;"",L284&lt;&gt;"",Z284&lt;&gt;""),(Z284-L284)*1440,"")</f>
        <v/>
      </c>
      <c r="AG284" s="33" t="str">
        <f aca="false">IF(G284="","",IFERROR(INDEX(Settings!$D$5:$D$8,MATCH(G284,Settings!$A$5:$A$8,0)),""))</f>
        <v/>
      </c>
      <c r="AH284" s="25" t="str">
        <f aca="false">IF(G284="","",IF(AF284="","No",IF(AF284&lt;=AG284,"Yes","No")))</f>
        <v/>
      </c>
      <c r="AI284" s="25" t="str">
        <f aca="false">IF(G284="","",IF(L284="","N/A - Not Detected",IF(AND(X284="",Y284="",Z284=""),"No Containment Action",IF(Z284="",IF(Y284&lt;&gt;"","C2 Persisted","Host Isolation Gap"),IF(AF284&lt;=AG284,"Contained - Within SLA","Contained - SLA Breach")))))</f>
        <v/>
      </c>
      <c r="AJ284" s="25" t="str">
        <f aca="false">IF(G284="","",IF(Z284&lt;&gt;"",1,0))</f>
        <v/>
      </c>
      <c r="AK284" s="34"/>
      <c r="AL284" s="34"/>
      <c r="AM284" s="35"/>
      <c r="AN284" s="34"/>
      <c r="AO284" s="34"/>
      <c r="AP284" s="35"/>
      <c r="AQ284" s="34"/>
      <c r="AR284" s="34"/>
      <c r="AS284" s="34"/>
      <c r="AT284" s="35"/>
      <c r="AU284" s="35"/>
    </row>
    <row r="285" customFormat="false" ht="15" hidden="false" customHeight="false" outlineLevel="0" collapsed="false">
      <c r="A285" s="24"/>
      <c r="B285" s="24"/>
      <c r="C285" s="24"/>
      <c r="D285" s="24"/>
      <c r="E285" s="24"/>
      <c r="F285" s="24"/>
      <c r="G285" s="24"/>
      <c r="H285" s="24"/>
      <c r="I285" s="32"/>
      <c r="J285" s="32"/>
      <c r="K285" s="32"/>
      <c r="L285" s="32"/>
      <c r="M285" s="24"/>
      <c r="N285" s="24"/>
      <c r="O285" s="24"/>
      <c r="P285" s="33" t="str">
        <f aca="false">IF(AND(G285&lt;&gt;"",I285&lt;&gt;"",J285&lt;&gt;""),(J285-I285)*1440,"")</f>
        <v/>
      </c>
      <c r="Q285" s="33" t="str">
        <f aca="false">IF(AND(G285&lt;&gt;"",J285&lt;&gt;"",K285&lt;&gt;""),(K285-J285)*1440,"")</f>
        <v/>
      </c>
      <c r="R285" s="33" t="str">
        <f aca="false">IF(AND(G285&lt;&gt;"",K285&lt;&gt;"",L285&lt;&gt;""),(L285-K285)*1440,"")</f>
        <v/>
      </c>
      <c r="S285" s="33" t="str">
        <f aca="false">IF(AND(G285&lt;&gt;"",I285&lt;&gt;"",L285&lt;&gt;""),(L285-I285)*1440,"")</f>
        <v/>
      </c>
      <c r="T285" s="33" t="str">
        <f aca="false">IF(G285="","",IFERROR(INDEX(Settings!$B$5:$B$8,MATCH(G285,Settings!$A$5:$A$8,0)),""))</f>
        <v/>
      </c>
      <c r="U285" s="25" t="str">
        <f aca="false">IF(G285="","",IF(S285="","No",IF(S285&lt;=T285,"Yes","No")))</f>
        <v/>
      </c>
      <c r="V285" s="25" t="str">
        <f aca="false">IF(G285="","",IF(AND(J285="",K285="",L285=""),"Telemetry Blind Spot",IF(AND(K285="",L285=""),"Missed Alert",IF(L285="","Triage Delay",IF(S285&lt;=T285,"Detected - Within SLA",IF(AND(R285&lt;&gt;"",R285&gt;IFERROR(INDEX(Settings!$C$5:$C$8,MATCH(G285,Settings!$A$5:$A$8,0)),1E+099)),"Triage Delay","Detected - SLA Breach"))))))</f>
        <v/>
      </c>
      <c r="W285" s="25" t="str">
        <f aca="false">IF(G285="","",IF(L285&lt;&gt;"",1,0))</f>
        <v/>
      </c>
      <c r="X285" s="32"/>
      <c r="Y285" s="32"/>
      <c r="Z285" s="32"/>
      <c r="AA285" s="24"/>
      <c r="AB285" s="24"/>
      <c r="AC285" s="33" t="str">
        <f aca="false">IF(AND(G285&lt;&gt;"",L285&lt;&gt;"",X285&lt;&gt;""),(X285-L285)*1440,"")</f>
        <v/>
      </c>
      <c r="AD285" s="33" t="str">
        <f aca="false">IF(AND(G285&lt;&gt;"",X285&lt;&gt;"",Y285&lt;&gt;""),(Y285-X285)*1440,"")</f>
        <v/>
      </c>
      <c r="AE285" s="33" t="str">
        <f aca="false">IF(AND(G285&lt;&gt;"",Y285&lt;&gt;"",Z285&lt;&gt;""),(Z285-Y285)*1440,"")</f>
        <v/>
      </c>
      <c r="AF285" s="33" t="str">
        <f aca="false">IF(AND(G285&lt;&gt;"",L285&lt;&gt;"",Z285&lt;&gt;""),(Z285-L285)*1440,"")</f>
        <v/>
      </c>
      <c r="AG285" s="33" t="str">
        <f aca="false">IF(G285="","",IFERROR(INDEX(Settings!$D$5:$D$8,MATCH(G285,Settings!$A$5:$A$8,0)),""))</f>
        <v/>
      </c>
      <c r="AH285" s="25" t="str">
        <f aca="false">IF(G285="","",IF(AF285="","No",IF(AF285&lt;=AG285,"Yes","No")))</f>
        <v/>
      </c>
      <c r="AI285" s="25" t="str">
        <f aca="false">IF(G285="","",IF(L285="","N/A - Not Detected",IF(AND(X285="",Y285="",Z285=""),"No Containment Action",IF(Z285="",IF(Y285&lt;&gt;"","C2 Persisted","Host Isolation Gap"),IF(AF285&lt;=AG285,"Contained - Within SLA","Contained - SLA Breach")))))</f>
        <v/>
      </c>
      <c r="AJ285" s="25" t="str">
        <f aca="false">IF(G285="","",IF(Z285&lt;&gt;"",1,0))</f>
        <v/>
      </c>
      <c r="AK285" s="34"/>
      <c r="AL285" s="34"/>
      <c r="AM285" s="35"/>
      <c r="AN285" s="34"/>
      <c r="AO285" s="34"/>
      <c r="AP285" s="35"/>
      <c r="AQ285" s="34"/>
      <c r="AR285" s="34"/>
      <c r="AS285" s="34"/>
      <c r="AT285" s="35"/>
      <c r="AU285" s="35"/>
    </row>
    <row r="286" customFormat="false" ht="15" hidden="false" customHeight="false" outlineLevel="0" collapsed="false">
      <c r="A286" s="24"/>
      <c r="B286" s="24"/>
      <c r="C286" s="24"/>
      <c r="D286" s="24"/>
      <c r="E286" s="24"/>
      <c r="F286" s="24"/>
      <c r="G286" s="24"/>
      <c r="H286" s="24"/>
      <c r="I286" s="32"/>
      <c r="J286" s="32"/>
      <c r="K286" s="32"/>
      <c r="L286" s="32"/>
      <c r="M286" s="24"/>
      <c r="N286" s="24"/>
      <c r="O286" s="24"/>
      <c r="P286" s="33" t="str">
        <f aca="false">IF(AND(G286&lt;&gt;"",I286&lt;&gt;"",J286&lt;&gt;""),(J286-I286)*1440,"")</f>
        <v/>
      </c>
      <c r="Q286" s="33" t="str">
        <f aca="false">IF(AND(G286&lt;&gt;"",J286&lt;&gt;"",K286&lt;&gt;""),(K286-J286)*1440,"")</f>
        <v/>
      </c>
      <c r="R286" s="33" t="str">
        <f aca="false">IF(AND(G286&lt;&gt;"",K286&lt;&gt;"",L286&lt;&gt;""),(L286-K286)*1440,"")</f>
        <v/>
      </c>
      <c r="S286" s="33" t="str">
        <f aca="false">IF(AND(G286&lt;&gt;"",I286&lt;&gt;"",L286&lt;&gt;""),(L286-I286)*1440,"")</f>
        <v/>
      </c>
      <c r="T286" s="33" t="str">
        <f aca="false">IF(G286="","",IFERROR(INDEX(Settings!$B$5:$B$8,MATCH(G286,Settings!$A$5:$A$8,0)),""))</f>
        <v/>
      </c>
      <c r="U286" s="25" t="str">
        <f aca="false">IF(G286="","",IF(S286="","No",IF(S286&lt;=T286,"Yes","No")))</f>
        <v/>
      </c>
      <c r="V286" s="25" t="str">
        <f aca="false">IF(G286="","",IF(AND(J286="",K286="",L286=""),"Telemetry Blind Spot",IF(AND(K286="",L286=""),"Missed Alert",IF(L286="","Triage Delay",IF(S286&lt;=T286,"Detected - Within SLA",IF(AND(R286&lt;&gt;"",R286&gt;IFERROR(INDEX(Settings!$C$5:$C$8,MATCH(G286,Settings!$A$5:$A$8,0)),1E+099)),"Triage Delay","Detected - SLA Breach"))))))</f>
        <v/>
      </c>
      <c r="W286" s="25" t="str">
        <f aca="false">IF(G286="","",IF(L286&lt;&gt;"",1,0))</f>
        <v/>
      </c>
      <c r="X286" s="32"/>
      <c r="Y286" s="32"/>
      <c r="Z286" s="32"/>
      <c r="AA286" s="24"/>
      <c r="AB286" s="24"/>
      <c r="AC286" s="33" t="str">
        <f aca="false">IF(AND(G286&lt;&gt;"",L286&lt;&gt;"",X286&lt;&gt;""),(X286-L286)*1440,"")</f>
        <v/>
      </c>
      <c r="AD286" s="33" t="str">
        <f aca="false">IF(AND(G286&lt;&gt;"",X286&lt;&gt;"",Y286&lt;&gt;""),(Y286-X286)*1440,"")</f>
        <v/>
      </c>
      <c r="AE286" s="33" t="str">
        <f aca="false">IF(AND(G286&lt;&gt;"",Y286&lt;&gt;"",Z286&lt;&gt;""),(Z286-Y286)*1440,"")</f>
        <v/>
      </c>
      <c r="AF286" s="33" t="str">
        <f aca="false">IF(AND(G286&lt;&gt;"",L286&lt;&gt;"",Z286&lt;&gt;""),(Z286-L286)*1440,"")</f>
        <v/>
      </c>
      <c r="AG286" s="33" t="str">
        <f aca="false">IF(G286="","",IFERROR(INDEX(Settings!$D$5:$D$8,MATCH(G286,Settings!$A$5:$A$8,0)),""))</f>
        <v/>
      </c>
      <c r="AH286" s="25" t="str">
        <f aca="false">IF(G286="","",IF(AF286="","No",IF(AF286&lt;=AG286,"Yes","No")))</f>
        <v/>
      </c>
      <c r="AI286" s="25" t="str">
        <f aca="false">IF(G286="","",IF(L286="","N/A - Not Detected",IF(AND(X286="",Y286="",Z286=""),"No Containment Action",IF(Z286="",IF(Y286&lt;&gt;"","C2 Persisted","Host Isolation Gap"),IF(AF286&lt;=AG286,"Contained - Within SLA","Contained - SLA Breach")))))</f>
        <v/>
      </c>
      <c r="AJ286" s="25" t="str">
        <f aca="false">IF(G286="","",IF(Z286&lt;&gt;"",1,0))</f>
        <v/>
      </c>
      <c r="AK286" s="34"/>
      <c r="AL286" s="34"/>
      <c r="AM286" s="35"/>
      <c r="AN286" s="34"/>
      <c r="AO286" s="34"/>
      <c r="AP286" s="35"/>
      <c r="AQ286" s="34"/>
      <c r="AR286" s="34"/>
      <c r="AS286" s="34"/>
      <c r="AT286" s="35"/>
      <c r="AU286" s="35"/>
    </row>
    <row r="287" customFormat="false" ht="15" hidden="false" customHeight="false" outlineLevel="0" collapsed="false">
      <c r="A287" s="24"/>
      <c r="B287" s="24"/>
      <c r="C287" s="24"/>
      <c r="D287" s="24"/>
      <c r="E287" s="24"/>
      <c r="F287" s="24"/>
      <c r="G287" s="24"/>
      <c r="H287" s="24"/>
      <c r="I287" s="32"/>
      <c r="J287" s="32"/>
      <c r="K287" s="32"/>
      <c r="L287" s="32"/>
      <c r="M287" s="24"/>
      <c r="N287" s="24"/>
      <c r="O287" s="24"/>
      <c r="P287" s="33" t="str">
        <f aca="false">IF(AND(G287&lt;&gt;"",I287&lt;&gt;"",J287&lt;&gt;""),(J287-I287)*1440,"")</f>
        <v/>
      </c>
      <c r="Q287" s="33" t="str">
        <f aca="false">IF(AND(G287&lt;&gt;"",J287&lt;&gt;"",K287&lt;&gt;""),(K287-J287)*1440,"")</f>
        <v/>
      </c>
      <c r="R287" s="33" t="str">
        <f aca="false">IF(AND(G287&lt;&gt;"",K287&lt;&gt;"",L287&lt;&gt;""),(L287-K287)*1440,"")</f>
        <v/>
      </c>
      <c r="S287" s="33" t="str">
        <f aca="false">IF(AND(G287&lt;&gt;"",I287&lt;&gt;"",L287&lt;&gt;""),(L287-I287)*1440,"")</f>
        <v/>
      </c>
      <c r="T287" s="33" t="str">
        <f aca="false">IF(G287="","",IFERROR(INDEX(Settings!$B$5:$B$8,MATCH(G287,Settings!$A$5:$A$8,0)),""))</f>
        <v/>
      </c>
      <c r="U287" s="25" t="str">
        <f aca="false">IF(G287="","",IF(S287="","No",IF(S287&lt;=T287,"Yes","No")))</f>
        <v/>
      </c>
      <c r="V287" s="25" t="str">
        <f aca="false">IF(G287="","",IF(AND(J287="",K287="",L287=""),"Telemetry Blind Spot",IF(AND(K287="",L287=""),"Missed Alert",IF(L287="","Triage Delay",IF(S287&lt;=T287,"Detected - Within SLA",IF(AND(R287&lt;&gt;"",R287&gt;IFERROR(INDEX(Settings!$C$5:$C$8,MATCH(G287,Settings!$A$5:$A$8,0)),1E+099)),"Triage Delay","Detected - SLA Breach"))))))</f>
        <v/>
      </c>
      <c r="W287" s="25" t="str">
        <f aca="false">IF(G287="","",IF(L287&lt;&gt;"",1,0))</f>
        <v/>
      </c>
      <c r="X287" s="32"/>
      <c r="Y287" s="32"/>
      <c r="Z287" s="32"/>
      <c r="AA287" s="24"/>
      <c r="AB287" s="24"/>
      <c r="AC287" s="33" t="str">
        <f aca="false">IF(AND(G287&lt;&gt;"",L287&lt;&gt;"",X287&lt;&gt;""),(X287-L287)*1440,"")</f>
        <v/>
      </c>
      <c r="AD287" s="33" t="str">
        <f aca="false">IF(AND(G287&lt;&gt;"",X287&lt;&gt;"",Y287&lt;&gt;""),(Y287-X287)*1440,"")</f>
        <v/>
      </c>
      <c r="AE287" s="33" t="str">
        <f aca="false">IF(AND(G287&lt;&gt;"",Y287&lt;&gt;"",Z287&lt;&gt;""),(Z287-Y287)*1440,"")</f>
        <v/>
      </c>
      <c r="AF287" s="33" t="str">
        <f aca="false">IF(AND(G287&lt;&gt;"",L287&lt;&gt;"",Z287&lt;&gt;""),(Z287-L287)*1440,"")</f>
        <v/>
      </c>
      <c r="AG287" s="33" t="str">
        <f aca="false">IF(G287="","",IFERROR(INDEX(Settings!$D$5:$D$8,MATCH(G287,Settings!$A$5:$A$8,0)),""))</f>
        <v/>
      </c>
      <c r="AH287" s="25" t="str">
        <f aca="false">IF(G287="","",IF(AF287="","No",IF(AF287&lt;=AG287,"Yes","No")))</f>
        <v/>
      </c>
      <c r="AI287" s="25" t="str">
        <f aca="false">IF(G287="","",IF(L287="","N/A - Not Detected",IF(AND(X287="",Y287="",Z287=""),"No Containment Action",IF(Z287="",IF(Y287&lt;&gt;"","C2 Persisted","Host Isolation Gap"),IF(AF287&lt;=AG287,"Contained - Within SLA","Contained - SLA Breach")))))</f>
        <v/>
      </c>
      <c r="AJ287" s="25" t="str">
        <f aca="false">IF(G287="","",IF(Z287&lt;&gt;"",1,0))</f>
        <v/>
      </c>
      <c r="AK287" s="34"/>
      <c r="AL287" s="34"/>
      <c r="AM287" s="35"/>
      <c r="AN287" s="34"/>
      <c r="AO287" s="34"/>
      <c r="AP287" s="35"/>
      <c r="AQ287" s="34"/>
      <c r="AR287" s="34"/>
      <c r="AS287" s="34"/>
      <c r="AT287" s="35"/>
      <c r="AU287" s="35"/>
    </row>
    <row r="288" customFormat="false" ht="15" hidden="false" customHeight="false" outlineLevel="0" collapsed="false">
      <c r="A288" s="24"/>
      <c r="B288" s="24"/>
      <c r="C288" s="24"/>
      <c r="D288" s="24"/>
      <c r="E288" s="24"/>
      <c r="F288" s="24"/>
      <c r="G288" s="24"/>
      <c r="H288" s="24"/>
      <c r="I288" s="32"/>
      <c r="J288" s="32"/>
      <c r="K288" s="32"/>
      <c r="L288" s="32"/>
      <c r="M288" s="24"/>
      <c r="N288" s="24"/>
      <c r="O288" s="24"/>
      <c r="P288" s="33" t="str">
        <f aca="false">IF(AND(G288&lt;&gt;"",I288&lt;&gt;"",J288&lt;&gt;""),(J288-I288)*1440,"")</f>
        <v/>
      </c>
      <c r="Q288" s="33" t="str">
        <f aca="false">IF(AND(G288&lt;&gt;"",J288&lt;&gt;"",K288&lt;&gt;""),(K288-J288)*1440,"")</f>
        <v/>
      </c>
      <c r="R288" s="33" t="str">
        <f aca="false">IF(AND(G288&lt;&gt;"",K288&lt;&gt;"",L288&lt;&gt;""),(L288-K288)*1440,"")</f>
        <v/>
      </c>
      <c r="S288" s="33" t="str">
        <f aca="false">IF(AND(G288&lt;&gt;"",I288&lt;&gt;"",L288&lt;&gt;""),(L288-I288)*1440,"")</f>
        <v/>
      </c>
      <c r="T288" s="33" t="str">
        <f aca="false">IF(G288="","",IFERROR(INDEX(Settings!$B$5:$B$8,MATCH(G288,Settings!$A$5:$A$8,0)),""))</f>
        <v/>
      </c>
      <c r="U288" s="25" t="str">
        <f aca="false">IF(G288="","",IF(S288="","No",IF(S288&lt;=T288,"Yes","No")))</f>
        <v/>
      </c>
      <c r="V288" s="25" t="str">
        <f aca="false">IF(G288="","",IF(AND(J288="",K288="",L288=""),"Telemetry Blind Spot",IF(AND(K288="",L288=""),"Missed Alert",IF(L288="","Triage Delay",IF(S288&lt;=T288,"Detected - Within SLA",IF(AND(R288&lt;&gt;"",R288&gt;IFERROR(INDEX(Settings!$C$5:$C$8,MATCH(G288,Settings!$A$5:$A$8,0)),1E+099)),"Triage Delay","Detected - SLA Breach"))))))</f>
        <v/>
      </c>
      <c r="W288" s="25" t="str">
        <f aca="false">IF(G288="","",IF(L288&lt;&gt;"",1,0))</f>
        <v/>
      </c>
      <c r="X288" s="32"/>
      <c r="Y288" s="32"/>
      <c r="Z288" s="32"/>
      <c r="AA288" s="24"/>
      <c r="AB288" s="24"/>
      <c r="AC288" s="33" t="str">
        <f aca="false">IF(AND(G288&lt;&gt;"",L288&lt;&gt;"",X288&lt;&gt;""),(X288-L288)*1440,"")</f>
        <v/>
      </c>
      <c r="AD288" s="33" t="str">
        <f aca="false">IF(AND(G288&lt;&gt;"",X288&lt;&gt;"",Y288&lt;&gt;""),(Y288-X288)*1440,"")</f>
        <v/>
      </c>
      <c r="AE288" s="33" t="str">
        <f aca="false">IF(AND(G288&lt;&gt;"",Y288&lt;&gt;"",Z288&lt;&gt;""),(Z288-Y288)*1440,"")</f>
        <v/>
      </c>
      <c r="AF288" s="33" t="str">
        <f aca="false">IF(AND(G288&lt;&gt;"",L288&lt;&gt;"",Z288&lt;&gt;""),(Z288-L288)*1440,"")</f>
        <v/>
      </c>
      <c r="AG288" s="33" t="str">
        <f aca="false">IF(G288="","",IFERROR(INDEX(Settings!$D$5:$D$8,MATCH(G288,Settings!$A$5:$A$8,0)),""))</f>
        <v/>
      </c>
      <c r="AH288" s="25" t="str">
        <f aca="false">IF(G288="","",IF(AF288="","No",IF(AF288&lt;=AG288,"Yes","No")))</f>
        <v/>
      </c>
      <c r="AI288" s="25" t="str">
        <f aca="false">IF(G288="","",IF(L288="","N/A - Not Detected",IF(AND(X288="",Y288="",Z288=""),"No Containment Action",IF(Z288="",IF(Y288&lt;&gt;"","C2 Persisted","Host Isolation Gap"),IF(AF288&lt;=AG288,"Contained - Within SLA","Contained - SLA Breach")))))</f>
        <v/>
      </c>
      <c r="AJ288" s="25" t="str">
        <f aca="false">IF(G288="","",IF(Z288&lt;&gt;"",1,0))</f>
        <v/>
      </c>
      <c r="AK288" s="34"/>
      <c r="AL288" s="34"/>
      <c r="AM288" s="35"/>
      <c r="AN288" s="34"/>
      <c r="AO288" s="34"/>
      <c r="AP288" s="35"/>
      <c r="AQ288" s="34"/>
      <c r="AR288" s="34"/>
      <c r="AS288" s="34"/>
      <c r="AT288" s="35"/>
      <c r="AU288" s="35"/>
    </row>
    <row r="289" customFormat="false" ht="15" hidden="false" customHeight="false" outlineLevel="0" collapsed="false">
      <c r="A289" s="24"/>
      <c r="B289" s="24"/>
      <c r="C289" s="24"/>
      <c r="D289" s="24"/>
      <c r="E289" s="24"/>
      <c r="F289" s="24"/>
      <c r="G289" s="24"/>
      <c r="H289" s="24"/>
      <c r="I289" s="32"/>
      <c r="J289" s="32"/>
      <c r="K289" s="32"/>
      <c r="L289" s="32"/>
      <c r="M289" s="24"/>
      <c r="N289" s="24"/>
      <c r="O289" s="24"/>
      <c r="P289" s="33" t="str">
        <f aca="false">IF(AND(G289&lt;&gt;"",I289&lt;&gt;"",J289&lt;&gt;""),(J289-I289)*1440,"")</f>
        <v/>
      </c>
      <c r="Q289" s="33" t="str">
        <f aca="false">IF(AND(G289&lt;&gt;"",J289&lt;&gt;"",K289&lt;&gt;""),(K289-J289)*1440,"")</f>
        <v/>
      </c>
      <c r="R289" s="33" t="str">
        <f aca="false">IF(AND(G289&lt;&gt;"",K289&lt;&gt;"",L289&lt;&gt;""),(L289-K289)*1440,"")</f>
        <v/>
      </c>
      <c r="S289" s="33" t="str">
        <f aca="false">IF(AND(G289&lt;&gt;"",I289&lt;&gt;"",L289&lt;&gt;""),(L289-I289)*1440,"")</f>
        <v/>
      </c>
      <c r="T289" s="33" t="str">
        <f aca="false">IF(G289="","",IFERROR(INDEX(Settings!$B$5:$B$8,MATCH(G289,Settings!$A$5:$A$8,0)),""))</f>
        <v/>
      </c>
      <c r="U289" s="25" t="str">
        <f aca="false">IF(G289="","",IF(S289="","No",IF(S289&lt;=T289,"Yes","No")))</f>
        <v/>
      </c>
      <c r="V289" s="25" t="str">
        <f aca="false">IF(G289="","",IF(AND(J289="",K289="",L289=""),"Telemetry Blind Spot",IF(AND(K289="",L289=""),"Missed Alert",IF(L289="","Triage Delay",IF(S289&lt;=T289,"Detected - Within SLA",IF(AND(R289&lt;&gt;"",R289&gt;IFERROR(INDEX(Settings!$C$5:$C$8,MATCH(G289,Settings!$A$5:$A$8,0)),1E+099)),"Triage Delay","Detected - SLA Breach"))))))</f>
        <v/>
      </c>
      <c r="W289" s="25" t="str">
        <f aca="false">IF(G289="","",IF(L289&lt;&gt;"",1,0))</f>
        <v/>
      </c>
      <c r="X289" s="32"/>
      <c r="Y289" s="32"/>
      <c r="Z289" s="32"/>
      <c r="AA289" s="24"/>
      <c r="AB289" s="24"/>
      <c r="AC289" s="33" t="str">
        <f aca="false">IF(AND(G289&lt;&gt;"",L289&lt;&gt;"",X289&lt;&gt;""),(X289-L289)*1440,"")</f>
        <v/>
      </c>
      <c r="AD289" s="33" t="str">
        <f aca="false">IF(AND(G289&lt;&gt;"",X289&lt;&gt;"",Y289&lt;&gt;""),(Y289-X289)*1440,"")</f>
        <v/>
      </c>
      <c r="AE289" s="33" t="str">
        <f aca="false">IF(AND(G289&lt;&gt;"",Y289&lt;&gt;"",Z289&lt;&gt;""),(Z289-Y289)*1440,"")</f>
        <v/>
      </c>
      <c r="AF289" s="33" t="str">
        <f aca="false">IF(AND(G289&lt;&gt;"",L289&lt;&gt;"",Z289&lt;&gt;""),(Z289-L289)*1440,"")</f>
        <v/>
      </c>
      <c r="AG289" s="33" t="str">
        <f aca="false">IF(G289="","",IFERROR(INDEX(Settings!$D$5:$D$8,MATCH(G289,Settings!$A$5:$A$8,0)),""))</f>
        <v/>
      </c>
      <c r="AH289" s="25" t="str">
        <f aca="false">IF(G289="","",IF(AF289="","No",IF(AF289&lt;=AG289,"Yes","No")))</f>
        <v/>
      </c>
      <c r="AI289" s="25" t="str">
        <f aca="false">IF(G289="","",IF(L289="","N/A - Not Detected",IF(AND(X289="",Y289="",Z289=""),"No Containment Action",IF(Z289="",IF(Y289&lt;&gt;"","C2 Persisted","Host Isolation Gap"),IF(AF289&lt;=AG289,"Contained - Within SLA","Contained - SLA Breach")))))</f>
        <v/>
      </c>
      <c r="AJ289" s="25" t="str">
        <f aca="false">IF(G289="","",IF(Z289&lt;&gt;"",1,0))</f>
        <v/>
      </c>
      <c r="AK289" s="34"/>
      <c r="AL289" s="34"/>
      <c r="AM289" s="35"/>
      <c r="AN289" s="34"/>
      <c r="AO289" s="34"/>
      <c r="AP289" s="35"/>
      <c r="AQ289" s="34"/>
      <c r="AR289" s="34"/>
      <c r="AS289" s="34"/>
      <c r="AT289" s="35"/>
      <c r="AU289" s="35"/>
    </row>
    <row r="290" customFormat="false" ht="15" hidden="false" customHeight="false" outlineLevel="0" collapsed="false">
      <c r="A290" s="24"/>
      <c r="B290" s="24"/>
      <c r="C290" s="24"/>
      <c r="D290" s="24"/>
      <c r="E290" s="24"/>
      <c r="F290" s="24"/>
      <c r="G290" s="24"/>
      <c r="H290" s="24"/>
      <c r="I290" s="32"/>
      <c r="J290" s="32"/>
      <c r="K290" s="32"/>
      <c r="L290" s="32"/>
      <c r="M290" s="24"/>
      <c r="N290" s="24"/>
      <c r="O290" s="24"/>
      <c r="P290" s="33" t="str">
        <f aca="false">IF(AND(G290&lt;&gt;"",I290&lt;&gt;"",J290&lt;&gt;""),(J290-I290)*1440,"")</f>
        <v/>
      </c>
      <c r="Q290" s="33" t="str">
        <f aca="false">IF(AND(G290&lt;&gt;"",J290&lt;&gt;"",K290&lt;&gt;""),(K290-J290)*1440,"")</f>
        <v/>
      </c>
      <c r="R290" s="33" t="str">
        <f aca="false">IF(AND(G290&lt;&gt;"",K290&lt;&gt;"",L290&lt;&gt;""),(L290-K290)*1440,"")</f>
        <v/>
      </c>
      <c r="S290" s="33" t="str">
        <f aca="false">IF(AND(G290&lt;&gt;"",I290&lt;&gt;"",L290&lt;&gt;""),(L290-I290)*1440,"")</f>
        <v/>
      </c>
      <c r="T290" s="33" t="str">
        <f aca="false">IF(G290="","",IFERROR(INDEX(Settings!$B$5:$B$8,MATCH(G290,Settings!$A$5:$A$8,0)),""))</f>
        <v/>
      </c>
      <c r="U290" s="25" t="str">
        <f aca="false">IF(G290="","",IF(S290="","No",IF(S290&lt;=T290,"Yes","No")))</f>
        <v/>
      </c>
      <c r="V290" s="25" t="str">
        <f aca="false">IF(G290="","",IF(AND(J290="",K290="",L290=""),"Telemetry Blind Spot",IF(AND(K290="",L290=""),"Missed Alert",IF(L290="","Triage Delay",IF(S290&lt;=T290,"Detected - Within SLA",IF(AND(R290&lt;&gt;"",R290&gt;IFERROR(INDEX(Settings!$C$5:$C$8,MATCH(G290,Settings!$A$5:$A$8,0)),1E+099)),"Triage Delay","Detected - SLA Breach"))))))</f>
        <v/>
      </c>
      <c r="W290" s="25" t="str">
        <f aca="false">IF(G290="","",IF(L290&lt;&gt;"",1,0))</f>
        <v/>
      </c>
      <c r="X290" s="32"/>
      <c r="Y290" s="32"/>
      <c r="Z290" s="32"/>
      <c r="AA290" s="24"/>
      <c r="AB290" s="24"/>
      <c r="AC290" s="33" t="str">
        <f aca="false">IF(AND(G290&lt;&gt;"",L290&lt;&gt;"",X290&lt;&gt;""),(X290-L290)*1440,"")</f>
        <v/>
      </c>
      <c r="AD290" s="33" t="str">
        <f aca="false">IF(AND(G290&lt;&gt;"",X290&lt;&gt;"",Y290&lt;&gt;""),(Y290-X290)*1440,"")</f>
        <v/>
      </c>
      <c r="AE290" s="33" t="str">
        <f aca="false">IF(AND(G290&lt;&gt;"",Y290&lt;&gt;"",Z290&lt;&gt;""),(Z290-Y290)*1440,"")</f>
        <v/>
      </c>
      <c r="AF290" s="33" t="str">
        <f aca="false">IF(AND(G290&lt;&gt;"",L290&lt;&gt;"",Z290&lt;&gt;""),(Z290-L290)*1440,"")</f>
        <v/>
      </c>
      <c r="AG290" s="33" t="str">
        <f aca="false">IF(G290="","",IFERROR(INDEX(Settings!$D$5:$D$8,MATCH(G290,Settings!$A$5:$A$8,0)),""))</f>
        <v/>
      </c>
      <c r="AH290" s="25" t="str">
        <f aca="false">IF(G290="","",IF(AF290="","No",IF(AF290&lt;=AG290,"Yes","No")))</f>
        <v/>
      </c>
      <c r="AI290" s="25" t="str">
        <f aca="false">IF(G290="","",IF(L290="","N/A - Not Detected",IF(AND(X290="",Y290="",Z290=""),"No Containment Action",IF(Z290="",IF(Y290&lt;&gt;"","C2 Persisted","Host Isolation Gap"),IF(AF290&lt;=AG290,"Contained - Within SLA","Contained - SLA Breach")))))</f>
        <v/>
      </c>
      <c r="AJ290" s="25" t="str">
        <f aca="false">IF(G290="","",IF(Z290&lt;&gt;"",1,0))</f>
        <v/>
      </c>
      <c r="AK290" s="34"/>
      <c r="AL290" s="34"/>
      <c r="AM290" s="35"/>
      <c r="AN290" s="34"/>
      <c r="AO290" s="34"/>
      <c r="AP290" s="35"/>
      <c r="AQ290" s="34"/>
      <c r="AR290" s="34"/>
      <c r="AS290" s="34"/>
      <c r="AT290" s="35"/>
      <c r="AU290" s="35"/>
    </row>
    <row r="291" customFormat="false" ht="15" hidden="false" customHeight="false" outlineLevel="0" collapsed="false">
      <c r="A291" s="24"/>
      <c r="B291" s="24"/>
      <c r="C291" s="24"/>
      <c r="D291" s="24"/>
      <c r="E291" s="24"/>
      <c r="F291" s="24"/>
      <c r="G291" s="24"/>
      <c r="H291" s="24"/>
      <c r="I291" s="32"/>
      <c r="J291" s="32"/>
      <c r="K291" s="32"/>
      <c r="L291" s="32"/>
      <c r="M291" s="24"/>
      <c r="N291" s="24"/>
      <c r="O291" s="24"/>
      <c r="P291" s="33" t="str">
        <f aca="false">IF(AND(G291&lt;&gt;"",I291&lt;&gt;"",J291&lt;&gt;""),(J291-I291)*1440,"")</f>
        <v/>
      </c>
      <c r="Q291" s="33" t="str">
        <f aca="false">IF(AND(G291&lt;&gt;"",J291&lt;&gt;"",K291&lt;&gt;""),(K291-J291)*1440,"")</f>
        <v/>
      </c>
      <c r="R291" s="33" t="str">
        <f aca="false">IF(AND(G291&lt;&gt;"",K291&lt;&gt;"",L291&lt;&gt;""),(L291-K291)*1440,"")</f>
        <v/>
      </c>
      <c r="S291" s="33" t="str">
        <f aca="false">IF(AND(G291&lt;&gt;"",I291&lt;&gt;"",L291&lt;&gt;""),(L291-I291)*1440,"")</f>
        <v/>
      </c>
      <c r="T291" s="33" t="str">
        <f aca="false">IF(G291="","",IFERROR(INDEX(Settings!$B$5:$B$8,MATCH(G291,Settings!$A$5:$A$8,0)),""))</f>
        <v/>
      </c>
      <c r="U291" s="25" t="str">
        <f aca="false">IF(G291="","",IF(S291="","No",IF(S291&lt;=T291,"Yes","No")))</f>
        <v/>
      </c>
      <c r="V291" s="25" t="str">
        <f aca="false">IF(G291="","",IF(AND(J291="",K291="",L291=""),"Telemetry Blind Spot",IF(AND(K291="",L291=""),"Missed Alert",IF(L291="","Triage Delay",IF(S291&lt;=T291,"Detected - Within SLA",IF(AND(R291&lt;&gt;"",R291&gt;IFERROR(INDEX(Settings!$C$5:$C$8,MATCH(G291,Settings!$A$5:$A$8,0)),1E+099)),"Triage Delay","Detected - SLA Breach"))))))</f>
        <v/>
      </c>
      <c r="W291" s="25" t="str">
        <f aca="false">IF(G291="","",IF(L291&lt;&gt;"",1,0))</f>
        <v/>
      </c>
      <c r="X291" s="32"/>
      <c r="Y291" s="32"/>
      <c r="Z291" s="32"/>
      <c r="AA291" s="24"/>
      <c r="AB291" s="24"/>
      <c r="AC291" s="33" t="str">
        <f aca="false">IF(AND(G291&lt;&gt;"",L291&lt;&gt;"",X291&lt;&gt;""),(X291-L291)*1440,"")</f>
        <v/>
      </c>
      <c r="AD291" s="33" t="str">
        <f aca="false">IF(AND(G291&lt;&gt;"",X291&lt;&gt;"",Y291&lt;&gt;""),(Y291-X291)*1440,"")</f>
        <v/>
      </c>
      <c r="AE291" s="33" t="str">
        <f aca="false">IF(AND(G291&lt;&gt;"",Y291&lt;&gt;"",Z291&lt;&gt;""),(Z291-Y291)*1440,"")</f>
        <v/>
      </c>
      <c r="AF291" s="33" t="str">
        <f aca="false">IF(AND(G291&lt;&gt;"",L291&lt;&gt;"",Z291&lt;&gt;""),(Z291-L291)*1440,"")</f>
        <v/>
      </c>
      <c r="AG291" s="33" t="str">
        <f aca="false">IF(G291="","",IFERROR(INDEX(Settings!$D$5:$D$8,MATCH(G291,Settings!$A$5:$A$8,0)),""))</f>
        <v/>
      </c>
      <c r="AH291" s="25" t="str">
        <f aca="false">IF(G291="","",IF(AF291="","No",IF(AF291&lt;=AG291,"Yes","No")))</f>
        <v/>
      </c>
      <c r="AI291" s="25" t="str">
        <f aca="false">IF(G291="","",IF(L291="","N/A - Not Detected",IF(AND(X291="",Y291="",Z291=""),"No Containment Action",IF(Z291="",IF(Y291&lt;&gt;"","C2 Persisted","Host Isolation Gap"),IF(AF291&lt;=AG291,"Contained - Within SLA","Contained - SLA Breach")))))</f>
        <v/>
      </c>
      <c r="AJ291" s="25" t="str">
        <f aca="false">IF(G291="","",IF(Z291&lt;&gt;"",1,0))</f>
        <v/>
      </c>
      <c r="AK291" s="34"/>
      <c r="AL291" s="34"/>
      <c r="AM291" s="35"/>
      <c r="AN291" s="34"/>
      <c r="AO291" s="34"/>
      <c r="AP291" s="35"/>
      <c r="AQ291" s="34"/>
      <c r="AR291" s="34"/>
      <c r="AS291" s="34"/>
      <c r="AT291" s="35"/>
      <c r="AU291" s="35"/>
    </row>
    <row r="292" customFormat="false" ht="15" hidden="false" customHeight="false" outlineLevel="0" collapsed="false">
      <c r="A292" s="24"/>
      <c r="B292" s="24"/>
      <c r="C292" s="24"/>
      <c r="D292" s="24"/>
      <c r="E292" s="24"/>
      <c r="F292" s="24"/>
      <c r="G292" s="24"/>
      <c r="H292" s="24"/>
      <c r="I292" s="32"/>
      <c r="J292" s="32"/>
      <c r="K292" s="32"/>
      <c r="L292" s="32"/>
      <c r="M292" s="24"/>
      <c r="N292" s="24"/>
      <c r="O292" s="24"/>
      <c r="P292" s="33" t="str">
        <f aca="false">IF(AND(G292&lt;&gt;"",I292&lt;&gt;"",J292&lt;&gt;""),(J292-I292)*1440,"")</f>
        <v/>
      </c>
      <c r="Q292" s="33" t="str">
        <f aca="false">IF(AND(G292&lt;&gt;"",J292&lt;&gt;"",K292&lt;&gt;""),(K292-J292)*1440,"")</f>
        <v/>
      </c>
      <c r="R292" s="33" t="str">
        <f aca="false">IF(AND(G292&lt;&gt;"",K292&lt;&gt;"",L292&lt;&gt;""),(L292-K292)*1440,"")</f>
        <v/>
      </c>
      <c r="S292" s="33" t="str">
        <f aca="false">IF(AND(G292&lt;&gt;"",I292&lt;&gt;"",L292&lt;&gt;""),(L292-I292)*1440,"")</f>
        <v/>
      </c>
      <c r="T292" s="33" t="str">
        <f aca="false">IF(G292="","",IFERROR(INDEX(Settings!$B$5:$B$8,MATCH(G292,Settings!$A$5:$A$8,0)),""))</f>
        <v/>
      </c>
      <c r="U292" s="25" t="str">
        <f aca="false">IF(G292="","",IF(S292="","No",IF(S292&lt;=T292,"Yes","No")))</f>
        <v/>
      </c>
      <c r="V292" s="25" t="str">
        <f aca="false">IF(G292="","",IF(AND(J292="",K292="",L292=""),"Telemetry Blind Spot",IF(AND(K292="",L292=""),"Missed Alert",IF(L292="","Triage Delay",IF(S292&lt;=T292,"Detected - Within SLA",IF(AND(R292&lt;&gt;"",R292&gt;IFERROR(INDEX(Settings!$C$5:$C$8,MATCH(G292,Settings!$A$5:$A$8,0)),1E+099)),"Triage Delay","Detected - SLA Breach"))))))</f>
        <v/>
      </c>
      <c r="W292" s="25" t="str">
        <f aca="false">IF(G292="","",IF(L292&lt;&gt;"",1,0))</f>
        <v/>
      </c>
      <c r="X292" s="32"/>
      <c r="Y292" s="32"/>
      <c r="Z292" s="32"/>
      <c r="AA292" s="24"/>
      <c r="AB292" s="24"/>
      <c r="AC292" s="33" t="str">
        <f aca="false">IF(AND(G292&lt;&gt;"",L292&lt;&gt;"",X292&lt;&gt;""),(X292-L292)*1440,"")</f>
        <v/>
      </c>
      <c r="AD292" s="33" t="str">
        <f aca="false">IF(AND(G292&lt;&gt;"",X292&lt;&gt;"",Y292&lt;&gt;""),(Y292-X292)*1440,"")</f>
        <v/>
      </c>
      <c r="AE292" s="33" t="str">
        <f aca="false">IF(AND(G292&lt;&gt;"",Y292&lt;&gt;"",Z292&lt;&gt;""),(Z292-Y292)*1440,"")</f>
        <v/>
      </c>
      <c r="AF292" s="33" t="str">
        <f aca="false">IF(AND(G292&lt;&gt;"",L292&lt;&gt;"",Z292&lt;&gt;""),(Z292-L292)*1440,"")</f>
        <v/>
      </c>
      <c r="AG292" s="33" t="str">
        <f aca="false">IF(G292="","",IFERROR(INDEX(Settings!$D$5:$D$8,MATCH(G292,Settings!$A$5:$A$8,0)),""))</f>
        <v/>
      </c>
      <c r="AH292" s="25" t="str">
        <f aca="false">IF(G292="","",IF(AF292="","No",IF(AF292&lt;=AG292,"Yes","No")))</f>
        <v/>
      </c>
      <c r="AI292" s="25" t="str">
        <f aca="false">IF(G292="","",IF(L292="","N/A - Not Detected",IF(AND(X292="",Y292="",Z292=""),"No Containment Action",IF(Z292="",IF(Y292&lt;&gt;"","C2 Persisted","Host Isolation Gap"),IF(AF292&lt;=AG292,"Contained - Within SLA","Contained - SLA Breach")))))</f>
        <v/>
      </c>
      <c r="AJ292" s="25" t="str">
        <f aca="false">IF(G292="","",IF(Z292&lt;&gt;"",1,0))</f>
        <v/>
      </c>
      <c r="AK292" s="34"/>
      <c r="AL292" s="34"/>
      <c r="AM292" s="35"/>
      <c r="AN292" s="34"/>
      <c r="AO292" s="34"/>
      <c r="AP292" s="35"/>
      <c r="AQ292" s="34"/>
      <c r="AR292" s="34"/>
      <c r="AS292" s="34"/>
      <c r="AT292" s="35"/>
      <c r="AU292" s="35"/>
    </row>
    <row r="293" customFormat="false" ht="15" hidden="false" customHeight="false" outlineLevel="0" collapsed="false">
      <c r="A293" s="24"/>
      <c r="B293" s="24"/>
      <c r="C293" s="24"/>
      <c r="D293" s="24"/>
      <c r="E293" s="24"/>
      <c r="F293" s="24"/>
      <c r="G293" s="24"/>
      <c r="H293" s="24"/>
      <c r="I293" s="32"/>
      <c r="J293" s="32"/>
      <c r="K293" s="32"/>
      <c r="L293" s="32"/>
      <c r="M293" s="24"/>
      <c r="N293" s="24"/>
      <c r="O293" s="24"/>
      <c r="P293" s="33" t="str">
        <f aca="false">IF(AND(G293&lt;&gt;"",I293&lt;&gt;"",J293&lt;&gt;""),(J293-I293)*1440,"")</f>
        <v/>
      </c>
      <c r="Q293" s="33" t="str">
        <f aca="false">IF(AND(G293&lt;&gt;"",J293&lt;&gt;"",K293&lt;&gt;""),(K293-J293)*1440,"")</f>
        <v/>
      </c>
      <c r="R293" s="33" t="str">
        <f aca="false">IF(AND(G293&lt;&gt;"",K293&lt;&gt;"",L293&lt;&gt;""),(L293-K293)*1440,"")</f>
        <v/>
      </c>
      <c r="S293" s="33" t="str">
        <f aca="false">IF(AND(G293&lt;&gt;"",I293&lt;&gt;"",L293&lt;&gt;""),(L293-I293)*1440,"")</f>
        <v/>
      </c>
      <c r="T293" s="33" t="str">
        <f aca="false">IF(G293="","",IFERROR(INDEX(Settings!$B$5:$B$8,MATCH(G293,Settings!$A$5:$A$8,0)),""))</f>
        <v/>
      </c>
      <c r="U293" s="25" t="str">
        <f aca="false">IF(G293="","",IF(S293="","No",IF(S293&lt;=T293,"Yes","No")))</f>
        <v/>
      </c>
      <c r="V293" s="25" t="str">
        <f aca="false">IF(G293="","",IF(AND(J293="",K293="",L293=""),"Telemetry Blind Spot",IF(AND(K293="",L293=""),"Missed Alert",IF(L293="","Triage Delay",IF(S293&lt;=T293,"Detected - Within SLA",IF(AND(R293&lt;&gt;"",R293&gt;IFERROR(INDEX(Settings!$C$5:$C$8,MATCH(G293,Settings!$A$5:$A$8,0)),1E+099)),"Triage Delay","Detected - SLA Breach"))))))</f>
        <v/>
      </c>
      <c r="W293" s="25" t="str">
        <f aca="false">IF(G293="","",IF(L293&lt;&gt;"",1,0))</f>
        <v/>
      </c>
      <c r="X293" s="32"/>
      <c r="Y293" s="32"/>
      <c r="Z293" s="32"/>
      <c r="AA293" s="24"/>
      <c r="AB293" s="24"/>
      <c r="AC293" s="33" t="str">
        <f aca="false">IF(AND(G293&lt;&gt;"",L293&lt;&gt;"",X293&lt;&gt;""),(X293-L293)*1440,"")</f>
        <v/>
      </c>
      <c r="AD293" s="33" t="str">
        <f aca="false">IF(AND(G293&lt;&gt;"",X293&lt;&gt;"",Y293&lt;&gt;""),(Y293-X293)*1440,"")</f>
        <v/>
      </c>
      <c r="AE293" s="33" t="str">
        <f aca="false">IF(AND(G293&lt;&gt;"",Y293&lt;&gt;"",Z293&lt;&gt;""),(Z293-Y293)*1440,"")</f>
        <v/>
      </c>
      <c r="AF293" s="33" t="str">
        <f aca="false">IF(AND(G293&lt;&gt;"",L293&lt;&gt;"",Z293&lt;&gt;""),(Z293-L293)*1440,"")</f>
        <v/>
      </c>
      <c r="AG293" s="33" t="str">
        <f aca="false">IF(G293="","",IFERROR(INDEX(Settings!$D$5:$D$8,MATCH(G293,Settings!$A$5:$A$8,0)),""))</f>
        <v/>
      </c>
      <c r="AH293" s="25" t="str">
        <f aca="false">IF(G293="","",IF(AF293="","No",IF(AF293&lt;=AG293,"Yes","No")))</f>
        <v/>
      </c>
      <c r="AI293" s="25" t="str">
        <f aca="false">IF(G293="","",IF(L293="","N/A - Not Detected",IF(AND(X293="",Y293="",Z293=""),"No Containment Action",IF(Z293="",IF(Y293&lt;&gt;"","C2 Persisted","Host Isolation Gap"),IF(AF293&lt;=AG293,"Contained - Within SLA","Contained - SLA Breach")))))</f>
        <v/>
      </c>
      <c r="AJ293" s="25" t="str">
        <f aca="false">IF(G293="","",IF(Z293&lt;&gt;"",1,0))</f>
        <v/>
      </c>
      <c r="AK293" s="34"/>
      <c r="AL293" s="34"/>
      <c r="AM293" s="35"/>
      <c r="AN293" s="34"/>
      <c r="AO293" s="34"/>
      <c r="AP293" s="35"/>
      <c r="AQ293" s="34"/>
      <c r="AR293" s="34"/>
      <c r="AS293" s="34"/>
      <c r="AT293" s="35"/>
      <c r="AU293" s="35"/>
    </row>
    <row r="294" customFormat="false" ht="15" hidden="false" customHeight="false" outlineLevel="0" collapsed="false">
      <c r="A294" s="24"/>
      <c r="B294" s="24"/>
      <c r="C294" s="24"/>
      <c r="D294" s="24"/>
      <c r="E294" s="24"/>
      <c r="F294" s="24"/>
      <c r="G294" s="24"/>
      <c r="H294" s="24"/>
      <c r="I294" s="32"/>
      <c r="J294" s="32"/>
      <c r="K294" s="32"/>
      <c r="L294" s="32"/>
      <c r="M294" s="24"/>
      <c r="N294" s="24"/>
      <c r="O294" s="24"/>
      <c r="P294" s="33" t="str">
        <f aca="false">IF(AND(G294&lt;&gt;"",I294&lt;&gt;"",J294&lt;&gt;""),(J294-I294)*1440,"")</f>
        <v/>
      </c>
      <c r="Q294" s="33" t="str">
        <f aca="false">IF(AND(G294&lt;&gt;"",J294&lt;&gt;"",K294&lt;&gt;""),(K294-J294)*1440,"")</f>
        <v/>
      </c>
      <c r="R294" s="33" t="str">
        <f aca="false">IF(AND(G294&lt;&gt;"",K294&lt;&gt;"",L294&lt;&gt;""),(L294-K294)*1440,"")</f>
        <v/>
      </c>
      <c r="S294" s="33" t="str">
        <f aca="false">IF(AND(G294&lt;&gt;"",I294&lt;&gt;"",L294&lt;&gt;""),(L294-I294)*1440,"")</f>
        <v/>
      </c>
      <c r="T294" s="33" t="str">
        <f aca="false">IF(G294="","",IFERROR(INDEX(Settings!$B$5:$B$8,MATCH(G294,Settings!$A$5:$A$8,0)),""))</f>
        <v/>
      </c>
      <c r="U294" s="25" t="str">
        <f aca="false">IF(G294="","",IF(S294="","No",IF(S294&lt;=T294,"Yes","No")))</f>
        <v/>
      </c>
      <c r="V294" s="25" t="str">
        <f aca="false">IF(G294="","",IF(AND(J294="",K294="",L294=""),"Telemetry Blind Spot",IF(AND(K294="",L294=""),"Missed Alert",IF(L294="","Triage Delay",IF(S294&lt;=T294,"Detected - Within SLA",IF(AND(R294&lt;&gt;"",R294&gt;IFERROR(INDEX(Settings!$C$5:$C$8,MATCH(G294,Settings!$A$5:$A$8,0)),1E+099)),"Triage Delay","Detected - SLA Breach"))))))</f>
        <v/>
      </c>
      <c r="W294" s="25" t="str">
        <f aca="false">IF(G294="","",IF(L294&lt;&gt;"",1,0))</f>
        <v/>
      </c>
      <c r="X294" s="32"/>
      <c r="Y294" s="32"/>
      <c r="Z294" s="32"/>
      <c r="AA294" s="24"/>
      <c r="AB294" s="24"/>
      <c r="AC294" s="33" t="str">
        <f aca="false">IF(AND(G294&lt;&gt;"",L294&lt;&gt;"",X294&lt;&gt;""),(X294-L294)*1440,"")</f>
        <v/>
      </c>
      <c r="AD294" s="33" t="str">
        <f aca="false">IF(AND(G294&lt;&gt;"",X294&lt;&gt;"",Y294&lt;&gt;""),(Y294-X294)*1440,"")</f>
        <v/>
      </c>
      <c r="AE294" s="33" t="str">
        <f aca="false">IF(AND(G294&lt;&gt;"",Y294&lt;&gt;"",Z294&lt;&gt;""),(Z294-Y294)*1440,"")</f>
        <v/>
      </c>
      <c r="AF294" s="33" t="str">
        <f aca="false">IF(AND(G294&lt;&gt;"",L294&lt;&gt;"",Z294&lt;&gt;""),(Z294-L294)*1440,"")</f>
        <v/>
      </c>
      <c r="AG294" s="33" t="str">
        <f aca="false">IF(G294="","",IFERROR(INDEX(Settings!$D$5:$D$8,MATCH(G294,Settings!$A$5:$A$8,0)),""))</f>
        <v/>
      </c>
      <c r="AH294" s="25" t="str">
        <f aca="false">IF(G294="","",IF(AF294="","No",IF(AF294&lt;=AG294,"Yes","No")))</f>
        <v/>
      </c>
      <c r="AI294" s="25" t="str">
        <f aca="false">IF(G294="","",IF(L294="","N/A - Not Detected",IF(AND(X294="",Y294="",Z294=""),"No Containment Action",IF(Z294="",IF(Y294&lt;&gt;"","C2 Persisted","Host Isolation Gap"),IF(AF294&lt;=AG294,"Contained - Within SLA","Contained - SLA Breach")))))</f>
        <v/>
      </c>
      <c r="AJ294" s="25" t="str">
        <f aca="false">IF(G294="","",IF(Z294&lt;&gt;"",1,0))</f>
        <v/>
      </c>
      <c r="AK294" s="34"/>
      <c r="AL294" s="34"/>
      <c r="AM294" s="35"/>
      <c r="AN294" s="34"/>
      <c r="AO294" s="34"/>
      <c r="AP294" s="35"/>
      <c r="AQ294" s="34"/>
      <c r="AR294" s="34"/>
      <c r="AS294" s="34"/>
      <c r="AT294" s="35"/>
      <c r="AU294" s="35"/>
    </row>
    <row r="295" customFormat="false" ht="15" hidden="false" customHeight="false" outlineLevel="0" collapsed="false">
      <c r="A295" s="24"/>
      <c r="B295" s="24"/>
      <c r="C295" s="24"/>
      <c r="D295" s="24"/>
      <c r="E295" s="24"/>
      <c r="F295" s="24"/>
      <c r="G295" s="24"/>
      <c r="H295" s="24"/>
      <c r="I295" s="32"/>
      <c r="J295" s="32"/>
      <c r="K295" s="32"/>
      <c r="L295" s="32"/>
      <c r="M295" s="24"/>
      <c r="N295" s="24"/>
      <c r="O295" s="24"/>
      <c r="P295" s="33" t="str">
        <f aca="false">IF(AND(G295&lt;&gt;"",I295&lt;&gt;"",J295&lt;&gt;""),(J295-I295)*1440,"")</f>
        <v/>
      </c>
      <c r="Q295" s="33" t="str">
        <f aca="false">IF(AND(G295&lt;&gt;"",J295&lt;&gt;"",K295&lt;&gt;""),(K295-J295)*1440,"")</f>
        <v/>
      </c>
      <c r="R295" s="33" t="str">
        <f aca="false">IF(AND(G295&lt;&gt;"",K295&lt;&gt;"",L295&lt;&gt;""),(L295-K295)*1440,"")</f>
        <v/>
      </c>
      <c r="S295" s="33" t="str">
        <f aca="false">IF(AND(G295&lt;&gt;"",I295&lt;&gt;"",L295&lt;&gt;""),(L295-I295)*1440,"")</f>
        <v/>
      </c>
      <c r="T295" s="33" t="str">
        <f aca="false">IF(G295="","",IFERROR(INDEX(Settings!$B$5:$B$8,MATCH(G295,Settings!$A$5:$A$8,0)),""))</f>
        <v/>
      </c>
      <c r="U295" s="25" t="str">
        <f aca="false">IF(G295="","",IF(S295="","No",IF(S295&lt;=T295,"Yes","No")))</f>
        <v/>
      </c>
      <c r="V295" s="25" t="str">
        <f aca="false">IF(G295="","",IF(AND(J295="",K295="",L295=""),"Telemetry Blind Spot",IF(AND(K295="",L295=""),"Missed Alert",IF(L295="","Triage Delay",IF(S295&lt;=T295,"Detected - Within SLA",IF(AND(R295&lt;&gt;"",R295&gt;IFERROR(INDEX(Settings!$C$5:$C$8,MATCH(G295,Settings!$A$5:$A$8,0)),1E+099)),"Triage Delay","Detected - SLA Breach"))))))</f>
        <v/>
      </c>
      <c r="W295" s="25" t="str">
        <f aca="false">IF(G295="","",IF(L295&lt;&gt;"",1,0))</f>
        <v/>
      </c>
      <c r="X295" s="32"/>
      <c r="Y295" s="32"/>
      <c r="Z295" s="32"/>
      <c r="AA295" s="24"/>
      <c r="AB295" s="24"/>
      <c r="AC295" s="33" t="str">
        <f aca="false">IF(AND(G295&lt;&gt;"",L295&lt;&gt;"",X295&lt;&gt;""),(X295-L295)*1440,"")</f>
        <v/>
      </c>
      <c r="AD295" s="33" t="str">
        <f aca="false">IF(AND(G295&lt;&gt;"",X295&lt;&gt;"",Y295&lt;&gt;""),(Y295-X295)*1440,"")</f>
        <v/>
      </c>
      <c r="AE295" s="33" t="str">
        <f aca="false">IF(AND(G295&lt;&gt;"",Y295&lt;&gt;"",Z295&lt;&gt;""),(Z295-Y295)*1440,"")</f>
        <v/>
      </c>
      <c r="AF295" s="33" t="str">
        <f aca="false">IF(AND(G295&lt;&gt;"",L295&lt;&gt;"",Z295&lt;&gt;""),(Z295-L295)*1440,"")</f>
        <v/>
      </c>
      <c r="AG295" s="33" t="str">
        <f aca="false">IF(G295="","",IFERROR(INDEX(Settings!$D$5:$D$8,MATCH(G295,Settings!$A$5:$A$8,0)),""))</f>
        <v/>
      </c>
      <c r="AH295" s="25" t="str">
        <f aca="false">IF(G295="","",IF(AF295="","No",IF(AF295&lt;=AG295,"Yes","No")))</f>
        <v/>
      </c>
      <c r="AI295" s="25" t="str">
        <f aca="false">IF(G295="","",IF(L295="","N/A - Not Detected",IF(AND(X295="",Y295="",Z295=""),"No Containment Action",IF(Z295="",IF(Y295&lt;&gt;"","C2 Persisted","Host Isolation Gap"),IF(AF295&lt;=AG295,"Contained - Within SLA","Contained - SLA Breach")))))</f>
        <v/>
      </c>
      <c r="AJ295" s="25" t="str">
        <f aca="false">IF(G295="","",IF(Z295&lt;&gt;"",1,0))</f>
        <v/>
      </c>
      <c r="AK295" s="34"/>
      <c r="AL295" s="34"/>
      <c r="AM295" s="35"/>
      <c r="AN295" s="34"/>
      <c r="AO295" s="34"/>
      <c r="AP295" s="35"/>
      <c r="AQ295" s="34"/>
      <c r="AR295" s="34"/>
      <c r="AS295" s="34"/>
      <c r="AT295" s="35"/>
      <c r="AU295" s="35"/>
    </row>
    <row r="296" customFormat="false" ht="15" hidden="false" customHeight="false" outlineLevel="0" collapsed="false">
      <c r="A296" s="24"/>
      <c r="B296" s="24"/>
      <c r="C296" s="24"/>
      <c r="D296" s="24"/>
      <c r="E296" s="24"/>
      <c r="F296" s="24"/>
      <c r="G296" s="24"/>
      <c r="H296" s="24"/>
      <c r="I296" s="32"/>
      <c r="J296" s="32"/>
      <c r="K296" s="32"/>
      <c r="L296" s="32"/>
      <c r="M296" s="24"/>
      <c r="N296" s="24"/>
      <c r="O296" s="24"/>
      <c r="P296" s="33" t="str">
        <f aca="false">IF(AND(G296&lt;&gt;"",I296&lt;&gt;"",J296&lt;&gt;""),(J296-I296)*1440,"")</f>
        <v/>
      </c>
      <c r="Q296" s="33" t="str">
        <f aca="false">IF(AND(G296&lt;&gt;"",J296&lt;&gt;"",K296&lt;&gt;""),(K296-J296)*1440,"")</f>
        <v/>
      </c>
      <c r="R296" s="33" t="str">
        <f aca="false">IF(AND(G296&lt;&gt;"",K296&lt;&gt;"",L296&lt;&gt;""),(L296-K296)*1440,"")</f>
        <v/>
      </c>
      <c r="S296" s="33" t="str">
        <f aca="false">IF(AND(G296&lt;&gt;"",I296&lt;&gt;"",L296&lt;&gt;""),(L296-I296)*1440,"")</f>
        <v/>
      </c>
      <c r="T296" s="33" t="str">
        <f aca="false">IF(G296="","",IFERROR(INDEX(Settings!$B$5:$B$8,MATCH(G296,Settings!$A$5:$A$8,0)),""))</f>
        <v/>
      </c>
      <c r="U296" s="25" t="str">
        <f aca="false">IF(G296="","",IF(S296="","No",IF(S296&lt;=T296,"Yes","No")))</f>
        <v/>
      </c>
      <c r="V296" s="25" t="str">
        <f aca="false">IF(G296="","",IF(AND(J296="",K296="",L296=""),"Telemetry Blind Spot",IF(AND(K296="",L296=""),"Missed Alert",IF(L296="","Triage Delay",IF(S296&lt;=T296,"Detected - Within SLA",IF(AND(R296&lt;&gt;"",R296&gt;IFERROR(INDEX(Settings!$C$5:$C$8,MATCH(G296,Settings!$A$5:$A$8,0)),1E+099)),"Triage Delay","Detected - SLA Breach"))))))</f>
        <v/>
      </c>
      <c r="W296" s="25" t="str">
        <f aca="false">IF(G296="","",IF(L296&lt;&gt;"",1,0))</f>
        <v/>
      </c>
      <c r="X296" s="32"/>
      <c r="Y296" s="32"/>
      <c r="Z296" s="32"/>
      <c r="AA296" s="24"/>
      <c r="AB296" s="24"/>
      <c r="AC296" s="33" t="str">
        <f aca="false">IF(AND(G296&lt;&gt;"",L296&lt;&gt;"",X296&lt;&gt;""),(X296-L296)*1440,"")</f>
        <v/>
      </c>
      <c r="AD296" s="33" t="str">
        <f aca="false">IF(AND(G296&lt;&gt;"",X296&lt;&gt;"",Y296&lt;&gt;""),(Y296-X296)*1440,"")</f>
        <v/>
      </c>
      <c r="AE296" s="33" t="str">
        <f aca="false">IF(AND(G296&lt;&gt;"",Y296&lt;&gt;"",Z296&lt;&gt;""),(Z296-Y296)*1440,"")</f>
        <v/>
      </c>
      <c r="AF296" s="33" t="str">
        <f aca="false">IF(AND(G296&lt;&gt;"",L296&lt;&gt;"",Z296&lt;&gt;""),(Z296-L296)*1440,"")</f>
        <v/>
      </c>
      <c r="AG296" s="33" t="str">
        <f aca="false">IF(G296="","",IFERROR(INDEX(Settings!$D$5:$D$8,MATCH(G296,Settings!$A$5:$A$8,0)),""))</f>
        <v/>
      </c>
      <c r="AH296" s="25" t="str">
        <f aca="false">IF(G296="","",IF(AF296="","No",IF(AF296&lt;=AG296,"Yes","No")))</f>
        <v/>
      </c>
      <c r="AI296" s="25" t="str">
        <f aca="false">IF(G296="","",IF(L296="","N/A - Not Detected",IF(AND(X296="",Y296="",Z296=""),"No Containment Action",IF(Z296="",IF(Y296&lt;&gt;"","C2 Persisted","Host Isolation Gap"),IF(AF296&lt;=AG296,"Contained - Within SLA","Contained - SLA Breach")))))</f>
        <v/>
      </c>
      <c r="AJ296" s="25" t="str">
        <f aca="false">IF(G296="","",IF(Z296&lt;&gt;"",1,0))</f>
        <v/>
      </c>
      <c r="AK296" s="34"/>
      <c r="AL296" s="34"/>
      <c r="AM296" s="35"/>
      <c r="AN296" s="34"/>
      <c r="AO296" s="34"/>
      <c r="AP296" s="35"/>
      <c r="AQ296" s="34"/>
      <c r="AR296" s="34"/>
      <c r="AS296" s="34"/>
      <c r="AT296" s="35"/>
      <c r="AU296" s="35"/>
    </row>
    <row r="297" customFormat="false" ht="15" hidden="false" customHeight="false" outlineLevel="0" collapsed="false">
      <c r="A297" s="24"/>
      <c r="B297" s="24"/>
      <c r="C297" s="24"/>
      <c r="D297" s="24"/>
      <c r="E297" s="24"/>
      <c r="F297" s="24"/>
      <c r="G297" s="24"/>
      <c r="H297" s="24"/>
      <c r="I297" s="32"/>
      <c r="J297" s="32"/>
      <c r="K297" s="32"/>
      <c r="L297" s="32"/>
      <c r="M297" s="24"/>
      <c r="N297" s="24"/>
      <c r="O297" s="24"/>
      <c r="P297" s="33" t="str">
        <f aca="false">IF(AND(G297&lt;&gt;"",I297&lt;&gt;"",J297&lt;&gt;""),(J297-I297)*1440,"")</f>
        <v/>
      </c>
      <c r="Q297" s="33" t="str">
        <f aca="false">IF(AND(G297&lt;&gt;"",J297&lt;&gt;"",K297&lt;&gt;""),(K297-J297)*1440,"")</f>
        <v/>
      </c>
      <c r="R297" s="33" t="str">
        <f aca="false">IF(AND(G297&lt;&gt;"",K297&lt;&gt;"",L297&lt;&gt;""),(L297-K297)*1440,"")</f>
        <v/>
      </c>
      <c r="S297" s="33" t="str">
        <f aca="false">IF(AND(G297&lt;&gt;"",I297&lt;&gt;"",L297&lt;&gt;""),(L297-I297)*1440,"")</f>
        <v/>
      </c>
      <c r="T297" s="33" t="str">
        <f aca="false">IF(G297="","",IFERROR(INDEX(Settings!$B$5:$B$8,MATCH(G297,Settings!$A$5:$A$8,0)),""))</f>
        <v/>
      </c>
      <c r="U297" s="25" t="str">
        <f aca="false">IF(G297="","",IF(S297="","No",IF(S297&lt;=T297,"Yes","No")))</f>
        <v/>
      </c>
      <c r="V297" s="25" t="str">
        <f aca="false">IF(G297="","",IF(AND(J297="",K297="",L297=""),"Telemetry Blind Spot",IF(AND(K297="",L297=""),"Missed Alert",IF(L297="","Triage Delay",IF(S297&lt;=T297,"Detected - Within SLA",IF(AND(R297&lt;&gt;"",R297&gt;IFERROR(INDEX(Settings!$C$5:$C$8,MATCH(G297,Settings!$A$5:$A$8,0)),1E+099)),"Triage Delay","Detected - SLA Breach"))))))</f>
        <v/>
      </c>
      <c r="W297" s="25" t="str">
        <f aca="false">IF(G297="","",IF(L297&lt;&gt;"",1,0))</f>
        <v/>
      </c>
      <c r="X297" s="32"/>
      <c r="Y297" s="32"/>
      <c r="Z297" s="32"/>
      <c r="AA297" s="24"/>
      <c r="AB297" s="24"/>
      <c r="AC297" s="33" t="str">
        <f aca="false">IF(AND(G297&lt;&gt;"",L297&lt;&gt;"",X297&lt;&gt;""),(X297-L297)*1440,"")</f>
        <v/>
      </c>
      <c r="AD297" s="33" t="str">
        <f aca="false">IF(AND(G297&lt;&gt;"",X297&lt;&gt;"",Y297&lt;&gt;""),(Y297-X297)*1440,"")</f>
        <v/>
      </c>
      <c r="AE297" s="33" t="str">
        <f aca="false">IF(AND(G297&lt;&gt;"",Y297&lt;&gt;"",Z297&lt;&gt;""),(Z297-Y297)*1440,"")</f>
        <v/>
      </c>
      <c r="AF297" s="33" t="str">
        <f aca="false">IF(AND(G297&lt;&gt;"",L297&lt;&gt;"",Z297&lt;&gt;""),(Z297-L297)*1440,"")</f>
        <v/>
      </c>
      <c r="AG297" s="33" t="str">
        <f aca="false">IF(G297="","",IFERROR(INDEX(Settings!$D$5:$D$8,MATCH(G297,Settings!$A$5:$A$8,0)),""))</f>
        <v/>
      </c>
      <c r="AH297" s="25" t="str">
        <f aca="false">IF(G297="","",IF(AF297="","No",IF(AF297&lt;=AG297,"Yes","No")))</f>
        <v/>
      </c>
      <c r="AI297" s="25" t="str">
        <f aca="false">IF(G297="","",IF(L297="","N/A - Not Detected",IF(AND(X297="",Y297="",Z297=""),"No Containment Action",IF(Z297="",IF(Y297&lt;&gt;"","C2 Persisted","Host Isolation Gap"),IF(AF297&lt;=AG297,"Contained - Within SLA","Contained - SLA Breach")))))</f>
        <v/>
      </c>
      <c r="AJ297" s="25" t="str">
        <f aca="false">IF(G297="","",IF(Z297&lt;&gt;"",1,0))</f>
        <v/>
      </c>
      <c r="AK297" s="34"/>
      <c r="AL297" s="34"/>
      <c r="AM297" s="35"/>
      <c r="AN297" s="34"/>
      <c r="AO297" s="34"/>
      <c r="AP297" s="35"/>
      <c r="AQ297" s="34"/>
      <c r="AR297" s="34"/>
      <c r="AS297" s="34"/>
      <c r="AT297" s="35"/>
      <c r="AU297" s="35"/>
    </row>
    <row r="298" customFormat="false" ht="15" hidden="false" customHeight="false" outlineLevel="0" collapsed="false">
      <c r="A298" s="24"/>
      <c r="B298" s="24"/>
      <c r="C298" s="24"/>
      <c r="D298" s="24"/>
      <c r="E298" s="24"/>
      <c r="F298" s="24"/>
      <c r="G298" s="24"/>
      <c r="H298" s="24"/>
      <c r="I298" s="32"/>
      <c r="J298" s="32"/>
      <c r="K298" s="32"/>
      <c r="L298" s="32"/>
      <c r="M298" s="24"/>
      <c r="N298" s="24"/>
      <c r="O298" s="24"/>
      <c r="P298" s="33" t="str">
        <f aca="false">IF(AND(G298&lt;&gt;"",I298&lt;&gt;"",J298&lt;&gt;""),(J298-I298)*1440,"")</f>
        <v/>
      </c>
      <c r="Q298" s="33" t="str">
        <f aca="false">IF(AND(G298&lt;&gt;"",J298&lt;&gt;"",K298&lt;&gt;""),(K298-J298)*1440,"")</f>
        <v/>
      </c>
      <c r="R298" s="33" t="str">
        <f aca="false">IF(AND(G298&lt;&gt;"",K298&lt;&gt;"",L298&lt;&gt;""),(L298-K298)*1440,"")</f>
        <v/>
      </c>
      <c r="S298" s="33" t="str">
        <f aca="false">IF(AND(G298&lt;&gt;"",I298&lt;&gt;"",L298&lt;&gt;""),(L298-I298)*1440,"")</f>
        <v/>
      </c>
      <c r="T298" s="33" t="str">
        <f aca="false">IF(G298="","",IFERROR(INDEX(Settings!$B$5:$B$8,MATCH(G298,Settings!$A$5:$A$8,0)),""))</f>
        <v/>
      </c>
      <c r="U298" s="25" t="str">
        <f aca="false">IF(G298="","",IF(S298="","No",IF(S298&lt;=T298,"Yes","No")))</f>
        <v/>
      </c>
      <c r="V298" s="25" t="str">
        <f aca="false">IF(G298="","",IF(AND(J298="",K298="",L298=""),"Telemetry Blind Spot",IF(AND(K298="",L298=""),"Missed Alert",IF(L298="","Triage Delay",IF(S298&lt;=T298,"Detected - Within SLA",IF(AND(R298&lt;&gt;"",R298&gt;IFERROR(INDEX(Settings!$C$5:$C$8,MATCH(G298,Settings!$A$5:$A$8,0)),1E+099)),"Triage Delay","Detected - SLA Breach"))))))</f>
        <v/>
      </c>
      <c r="W298" s="25" t="str">
        <f aca="false">IF(G298="","",IF(L298&lt;&gt;"",1,0))</f>
        <v/>
      </c>
      <c r="X298" s="32"/>
      <c r="Y298" s="32"/>
      <c r="Z298" s="32"/>
      <c r="AA298" s="24"/>
      <c r="AB298" s="24"/>
      <c r="AC298" s="33" t="str">
        <f aca="false">IF(AND(G298&lt;&gt;"",L298&lt;&gt;"",X298&lt;&gt;""),(X298-L298)*1440,"")</f>
        <v/>
      </c>
      <c r="AD298" s="33" t="str">
        <f aca="false">IF(AND(G298&lt;&gt;"",X298&lt;&gt;"",Y298&lt;&gt;""),(Y298-X298)*1440,"")</f>
        <v/>
      </c>
      <c r="AE298" s="33" t="str">
        <f aca="false">IF(AND(G298&lt;&gt;"",Y298&lt;&gt;"",Z298&lt;&gt;""),(Z298-Y298)*1440,"")</f>
        <v/>
      </c>
      <c r="AF298" s="33" t="str">
        <f aca="false">IF(AND(G298&lt;&gt;"",L298&lt;&gt;"",Z298&lt;&gt;""),(Z298-L298)*1440,"")</f>
        <v/>
      </c>
      <c r="AG298" s="33" t="str">
        <f aca="false">IF(G298="","",IFERROR(INDEX(Settings!$D$5:$D$8,MATCH(G298,Settings!$A$5:$A$8,0)),""))</f>
        <v/>
      </c>
      <c r="AH298" s="25" t="str">
        <f aca="false">IF(G298="","",IF(AF298="","No",IF(AF298&lt;=AG298,"Yes","No")))</f>
        <v/>
      </c>
      <c r="AI298" s="25" t="str">
        <f aca="false">IF(G298="","",IF(L298="","N/A - Not Detected",IF(AND(X298="",Y298="",Z298=""),"No Containment Action",IF(Z298="",IF(Y298&lt;&gt;"","C2 Persisted","Host Isolation Gap"),IF(AF298&lt;=AG298,"Contained - Within SLA","Contained - SLA Breach")))))</f>
        <v/>
      </c>
      <c r="AJ298" s="25" t="str">
        <f aca="false">IF(G298="","",IF(Z298&lt;&gt;"",1,0))</f>
        <v/>
      </c>
      <c r="AK298" s="34"/>
      <c r="AL298" s="34"/>
      <c r="AM298" s="35"/>
      <c r="AN298" s="34"/>
      <c r="AO298" s="34"/>
      <c r="AP298" s="35"/>
      <c r="AQ298" s="34"/>
      <c r="AR298" s="34"/>
      <c r="AS298" s="34"/>
      <c r="AT298" s="35"/>
      <c r="AU298" s="35"/>
    </row>
    <row r="299" customFormat="false" ht="15" hidden="false" customHeight="false" outlineLevel="0" collapsed="false">
      <c r="A299" s="24"/>
      <c r="B299" s="24"/>
      <c r="C299" s="24"/>
      <c r="D299" s="24"/>
      <c r="E299" s="24"/>
      <c r="F299" s="24"/>
      <c r="G299" s="24"/>
      <c r="H299" s="24"/>
      <c r="I299" s="32"/>
      <c r="J299" s="32"/>
      <c r="K299" s="32"/>
      <c r="L299" s="32"/>
      <c r="M299" s="24"/>
      <c r="N299" s="24"/>
      <c r="O299" s="24"/>
      <c r="P299" s="33" t="str">
        <f aca="false">IF(AND(G299&lt;&gt;"",I299&lt;&gt;"",J299&lt;&gt;""),(J299-I299)*1440,"")</f>
        <v/>
      </c>
      <c r="Q299" s="33" t="str">
        <f aca="false">IF(AND(G299&lt;&gt;"",J299&lt;&gt;"",K299&lt;&gt;""),(K299-J299)*1440,"")</f>
        <v/>
      </c>
      <c r="R299" s="33" t="str">
        <f aca="false">IF(AND(G299&lt;&gt;"",K299&lt;&gt;"",L299&lt;&gt;""),(L299-K299)*1440,"")</f>
        <v/>
      </c>
      <c r="S299" s="33" t="str">
        <f aca="false">IF(AND(G299&lt;&gt;"",I299&lt;&gt;"",L299&lt;&gt;""),(L299-I299)*1440,"")</f>
        <v/>
      </c>
      <c r="T299" s="33" t="str">
        <f aca="false">IF(G299="","",IFERROR(INDEX(Settings!$B$5:$B$8,MATCH(G299,Settings!$A$5:$A$8,0)),""))</f>
        <v/>
      </c>
      <c r="U299" s="25" t="str">
        <f aca="false">IF(G299="","",IF(S299="","No",IF(S299&lt;=T299,"Yes","No")))</f>
        <v/>
      </c>
      <c r="V299" s="25" t="str">
        <f aca="false">IF(G299="","",IF(AND(J299="",K299="",L299=""),"Telemetry Blind Spot",IF(AND(K299="",L299=""),"Missed Alert",IF(L299="","Triage Delay",IF(S299&lt;=T299,"Detected - Within SLA",IF(AND(R299&lt;&gt;"",R299&gt;IFERROR(INDEX(Settings!$C$5:$C$8,MATCH(G299,Settings!$A$5:$A$8,0)),1E+099)),"Triage Delay","Detected - SLA Breach"))))))</f>
        <v/>
      </c>
      <c r="W299" s="25" t="str">
        <f aca="false">IF(G299="","",IF(L299&lt;&gt;"",1,0))</f>
        <v/>
      </c>
      <c r="X299" s="32"/>
      <c r="Y299" s="32"/>
      <c r="Z299" s="32"/>
      <c r="AA299" s="24"/>
      <c r="AB299" s="24"/>
      <c r="AC299" s="33" t="str">
        <f aca="false">IF(AND(G299&lt;&gt;"",L299&lt;&gt;"",X299&lt;&gt;""),(X299-L299)*1440,"")</f>
        <v/>
      </c>
      <c r="AD299" s="33" t="str">
        <f aca="false">IF(AND(G299&lt;&gt;"",X299&lt;&gt;"",Y299&lt;&gt;""),(Y299-X299)*1440,"")</f>
        <v/>
      </c>
      <c r="AE299" s="33" t="str">
        <f aca="false">IF(AND(G299&lt;&gt;"",Y299&lt;&gt;"",Z299&lt;&gt;""),(Z299-Y299)*1440,"")</f>
        <v/>
      </c>
      <c r="AF299" s="33" t="str">
        <f aca="false">IF(AND(G299&lt;&gt;"",L299&lt;&gt;"",Z299&lt;&gt;""),(Z299-L299)*1440,"")</f>
        <v/>
      </c>
      <c r="AG299" s="33" t="str">
        <f aca="false">IF(G299="","",IFERROR(INDEX(Settings!$D$5:$D$8,MATCH(G299,Settings!$A$5:$A$8,0)),""))</f>
        <v/>
      </c>
      <c r="AH299" s="25" t="str">
        <f aca="false">IF(G299="","",IF(AF299="","No",IF(AF299&lt;=AG299,"Yes","No")))</f>
        <v/>
      </c>
      <c r="AI299" s="25" t="str">
        <f aca="false">IF(G299="","",IF(L299="","N/A - Not Detected",IF(AND(X299="",Y299="",Z299=""),"No Containment Action",IF(Z299="",IF(Y299&lt;&gt;"","C2 Persisted","Host Isolation Gap"),IF(AF299&lt;=AG299,"Contained - Within SLA","Contained - SLA Breach")))))</f>
        <v/>
      </c>
      <c r="AJ299" s="25" t="str">
        <f aca="false">IF(G299="","",IF(Z299&lt;&gt;"",1,0))</f>
        <v/>
      </c>
      <c r="AK299" s="34"/>
      <c r="AL299" s="34"/>
      <c r="AM299" s="35"/>
      <c r="AN299" s="34"/>
      <c r="AO299" s="34"/>
      <c r="AP299" s="35"/>
      <c r="AQ299" s="34"/>
      <c r="AR299" s="34"/>
      <c r="AS299" s="34"/>
      <c r="AT299" s="35"/>
      <c r="AU299" s="35"/>
    </row>
    <row r="300" customFormat="false" ht="15" hidden="false" customHeight="false" outlineLevel="0" collapsed="false">
      <c r="A300" s="24"/>
      <c r="B300" s="24"/>
      <c r="C300" s="24"/>
      <c r="D300" s="24"/>
      <c r="E300" s="24"/>
      <c r="F300" s="24"/>
      <c r="G300" s="24"/>
      <c r="H300" s="24"/>
      <c r="I300" s="32"/>
      <c r="J300" s="32"/>
      <c r="K300" s="32"/>
      <c r="L300" s="32"/>
      <c r="M300" s="24"/>
      <c r="N300" s="24"/>
      <c r="O300" s="24"/>
      <c r="P300" s="33" t="str">
        <f aca="false">IF(AND(G300&lt;&gt;"",I300&lt;&gt;"",J300&lt;&gt;""),(J300-I300)*1440,"")</f>
        <v/>
      </c>
      <c r="Q300" s="33" t="str">
        <f aca="false">IF(AND(G300&lt;&gt;"",J300&lt;&gt;"",K300&lt;&gt;""),(K300-J300)*1440,"")</f>
        <v/>
      </c>
      <c r="R300" s="33" t="str">
        <f aca="false">IF(AND(G300&lt;&gt;"",K300&lt;&gt;"",L300&lt;&gt;""),(L300-K300)*1440,"")</f>
        <v/>
      </c>
      <c r="S300" s="33" t="str">
        <f aca="false">IF(AND(G300&lt;&gt;"",I300&lt;&gt;"",L300&lt;&gt;""),(L300-I300)*1440,"")</f>
        <v/>
      </c>
      <c r="T300" s="33" t="str">
        <f aca="false">IF(G300="","",IFERROR(INDEX(Settings!$B$5:$B$8,MATCH(G300,Settings!$A$5:$A$8,0)),""))</f>
        <v/>
      </c>
      <c r="U300" s="25" t="str">
        <f aca="false">IF(G300="","",IF(S300="","No",IF(S300&lt;=T300,"Yes","No")))</f>
        <v/>
      </c>
      <c r="V300" s="25" t="str">
        <f aca="false">IF(G300="","",IF(AND(J300="",K300="",L300=""),"Telemetry Blind Spot",IF(AND(K300="",L300=""),"Missed Alert",IF(L300="","Triage Delay",IF(S300&lt;=T300,"Detected - Within SLA",IF(AND(R300&lt;&gt;"",R300&gt;IFERROR(INDEX(Settings!$C$5:$C$8,MATCH(G300,Settings!$A$5:$A$8,0)),1E+099)),"Triage Delay","Detected - SLA Breach"))))))</f>
        <v/>
      </c>
      <c r="W300" s="25" t="str">
        <f aca="false">IF(G300="","",IF(L300&lt;&gt;"",1,0))</f>
        <v/>
      </c>
      <c r="X300" s="32"/>
      <c r="Y300" s="32"/>
      <c r="Z300" s="32"/>
      <c r="AA300" s="24"/>
      <c r="AB300" s="24"/>
      <c r="AC300" s="33" t="str">
        <f aca="false">IF(AND(G300&lt;&gt;"",L300&lt;&gt;"",X300&lt;&gt;""),(X300-L300)*1440,"")</f>
        <v/>
      </c>
      <c r="AD300" s="33" t="str">
        <f aca="false">IF(AND(G300&lt;&gt;"",X300&lt;&gt;"",Y300&lt;&gt;""),(Y300-X300)*1440,"")</f>
        <v/>
      </c>
      <c r="AE300" s="33" t="str">
        <f aca="false">IF(AND(G300&lt;&gt;"",Y300&lt;&gt;"",Z300&lt;&gt;""),(Z300-Y300)*1440,"")</f>
        <v/>
      </c>
      <c r="AF300" s="33" t="str">
        <f aca="false">IF(AND(G300&lt;&gt;"",L300&lt;&gt;"",Z300&lt;&gt;""),(Z300-L300)*1440,"")</f>
        <v/>
      </c>
      <c r="AG300" s="33" t="str">
        <f aca="false">IF(G300="","",IFERROR(INDEX(Settings!$D$5:$D$8,MATCH(G300,Settings!$A$5:$A$8,0)),""))</f>
        <v/>
      </c>
      <c r="AH300" s="25" t="str">
        <f aca="false">IF(G300="","",IF(AF300="","No",IF(AF300&lt;=AG300,"Yes","No")))</f>
        <v/>
      </c>
      <c r="AI300" s="25" t="str">
        <f aca="false">IF(G300="","",IF(L300="","N/A - Not Detected",IF(AND(X300="",Y300="",Z300=""),"No Containment Action",IF(Z300="",IF(Y300&lt;&gt;"","C2 Persisted","Host Isolation Gap"),IF(AF300&lt;=AG300,"Contained - Within SLA","Contained - SLA Breach")))))</f>
        <v/>
      </c>
      <c r="AJ300" s="25" t="str">
        <f aca="false">IF(G300="","",IF(Z300&lt;&gt;"",1,0))</f>
        <v/>
      </c>
      <c r="AK300" s="34"/>
      <c r="AL300" s="34"/>
      <c r="AM300" s="35"/>
      <c r="AN300" s="34"/>
      <c r="AO300" s="34"/>
      <c r="AP300" s="35"/>
      <c r="AQ300" s="34"/>
      <c r="AR300" s="34"/>
      <c r="AS300" s="34"/>
      <c r="AT300" s="35"/>
      <c r="AU300" s="35"/>
    </row>
    <row r="301" customFormat="false" ht="15" hidden="false" customHeight="false" outlineLevel="0" collapsed="false">
      <c r="A301" s="24"/>
      <c r="B301" s="24"/>
      <c r="C301" s="24"/>
      <c r="D301" s="24"/>
      <c r="E301" s="24"/>
      <c r="F301" s="24"/>
      <c r="G301" s="24"/>
      <c r="H301" s="24"/>
      <c r="I301" s="32"/>
      <c r="J301" s="32"/>
      <c r="K301" s="32"/>
      <c r="L301" s="32"/>
      <c r="M301" s="24"/>
      <c r="N301" s="24"/>
      <c r="O301" s="24"/>
      <c r="P301" s="33" t="str">
        <f aca="false">IF(AND(G301&lt;&gt;"",I301&lt;&gt;"",J301&lt;&gt;""),(J301-I301)*1440,"")</f>
        <v/>
      </c>
      <c r="Q301" s="33" t="str">
        <f aca="false">IF(AND(G301&lt;&gt;"",J301&lt;&gt;"",K301&lt;&gt;""),(K301-J301)*1440,"")</f>
        <v/>
      </c>
      <c r="R301" s="33" t="str">
        <f aca="false">IF(AND(G301&lt;&gt;"",K301&lt;&gt;"",L301&lt;&gt;""),(L301-K301)*1440,"")</f>
        <v/>
      </c>
      <c r="S301" s="33" t="str">
        <f aca="false">IF(AND(G301&lt;&gt;"",I301&lt;&gt;"",L301&lt;&gt;""),(L301-I301)*1440,"")</f>
        <v/>
      </c>
      <c r="T301" s="33" t="str">
        <f aca="false">IF(G301="","",IFERROR(INDEX(Settings!$B$5:$B$8,MATCH(G301,Settings!$A$5:$A$8,0)),""))</f>
        <v/>
      </c>
      <c r="U301" s="25" t="str">
        <f aca="false">IF(G301="","",IF(S301="","No",IF(S301&lt;=T301,"Yes","No")))</f>
        <v/>
      </c>
      <c r="V301" s="25" t="str">
        <f aca="false">IF(G301="","",IF(AND(J301="",K301="",L301=""),"Telemetry Blind Spot",IF(AND(K301="",L301=""),"Missed Alert",IF(L301="","Triage Delay",IF(S301&lt;=T301,"Detected - Within SLA",IF(AND(R301&lt;&gt;"",R301&gt;IFERROR(INDEX(Settings!$C$5:$C$8,MATCH(G301,Settings!$A$5:$A$8,0)),1E+099)),"Triage Delay","Detected - SLA Breach"))))))</f>
        <v/>
      </c>
      <c r="W301" s="25" t="str">
        <f aca="false">IF(G301="","",IF(L301&lt;&gt;"",1,0))</f>
        <v/>
      </c>
      <c r="X301" s="32"/>
      <c r="Y301" s="32"/>
      <c r="Z301" s="32"/>
      <c r="AA301" s="24"/>
      <c r="AB301" s="24"/>
      <c r="AC301" s="33" t="str">
        <f aca="false">IF(AND(G301&lt;&gt;"",L301&lt;&gt;"",X301&lt;&gt;""),(X301-L301)*1440,"")</f>
        <v/>
      </c>
      <c r="AD301" s="33" t="str">
        <f aca="false">IF(AND(G301&lt;&gt;"",X301&lt;&gt;"",Y301&lt;&gt;""),(Y301-X301)*1440,"")</f>
        <v/>
      </c>
      <c r="AE301" s="33" t="str">
        <f aca="false">IF(AND(G301&lt;&gt;"",Y301&lt;&gt;"",Z301&lt;&gt;""),(Z301-Y301)*1440,"")</f>
        <v/>
      </c>
      <c r="AF301" s="33" t="str">
        <f aca="false">IF(AND(G301&lt;&gt;"",L301&lt;&gt;"",Z301&lt;&gt;""),(Z301-L301)*1440,"")</f>
        <v/>
      </c>
      <c r="AG301" s="33" t="str">
        <f aca="false">IF(G301="","",IFERROR(INDEX(Settings!$D$5:$D$8,MATCH(G301,Settings!$A$5:$A$8,0)),""))</f>
        <v/>
      </c>
      <c r="AH301" s="25" t="str">
        <f aca="false">IF(G301="","",IF(AF301="","No",IF(AF301&lt;=AG301,"Yes","No")))</f>
        <v/>
      </c>
      <c r="AI301" s="25" t="str">
        <f aca="false">IF(G301="","",IF(L301="","N/A - Not Detected",IF(AND(X301="",Y301="",Z301=""),"No Containment Action",IF(Z301="",IF(Y301&lt;&gt;"","C2 Persisted","Host Isolation Gap"),IF(AF301&lt;=AG301,"Contained - Within SLA","Contained - SLA Breach")))))</f>
        <v/>
      </c>
      <c r="AJ301" s="25" t="str">
        <f aca="false">IF(G301="","",IF(Z301&lt;&gt;"",1,0))</f>
        <v/>
      </c>
      <c r="AK301" s="34"/>
      <c r="AL301" s="34"/>
      <c r="AM301" s="35"/>
      <c r="AN301" s="34"/>
      <c r="AO301" s="34"/>
      <c r="AP301" s="35"/>
      <c r="AQ301" s="34"/>
      <c r="AR301" s="34"/>
      <c r="AS301" s="34"/>
      <c r="AT301" s="35"/>
      <c r="AU301" s="35"/>
    </row>
    <row r="302" customFormat="false" ht="15" hidden="false" customHeight="false" outlineLevel="0" collapsed="false">
      <c r="A302" s="24"/>
      <c r="B302" s="24"/>
      <c r="C302" s="24"/>
      <c r="D302" s="24"/>
      <c r="E302" s="24"/>
      <c r="F302" s="24"/>
      <c r="G302" s="24"/>
      <c r="H302" s="24"/>
      <c r="I302" s="32"/>
      <c r="J302" s="32"/>
      <c r="K302" s="32"/>
      <c r="L302" s="32"/>
      <c r="M302" s="24"/>
      <c r="N302" s="24"/>
      <c r="O302" s="24"/>
      <c r="P302" s="33" t="str">
        <f aca="false">IF(AND(G302&lt;&gt;"",I302&lt;&gt;"",J302&lt;&gt;""),(J302-I302)*1440,"")</f>
        <v/>
      </c>
      <c r="Q302" s="33" t="str">
        <f aca="false">IF(AND(G302&lt;&gt;"",J302&lt;&gt;"",K302&lt;&gt;""),(K302-J302)*1440,"")</f>
        <v/>
      </c>
      <c r="R302" s="33" t="str">
        <f aca="false">IF(AND(G302&lt;&gt;"",K302&lt;&gt;"",L302&lt;&gt;""),(L302-K302)*1440,"")</f>
        <v/>
      </c>
      <c r="S302" s="33" t="str">
        <f aca="false">IF(AND(G302&lt;&gt;"",I302&lt;&gt;"",L302&lt;&gt;""),(L302-I302)*1440,"")</f>
        <v/>
      </c>
      <c r="T302" s="33" t="str">
        <f aca="false">IF(G302="","",IFERROR(INDEX(Settings!$B$5:$B$8,MATCH(G302,Settings!$A$5:$A$8,0)),""))</f>
        <v/>
      </c>
      <c r="U302" s="25" t="str">
        <f aca="false">IF(G302="","",IF(S302="","No",IF(S302&lt;=T302,"Yes","No")))</f>
        <v/>
      </c>
      <c r="V302" s="25" t="str">
        <f aca="false">IF(G302="","",IF(AND(J302="",K302="",L302=""),"Telemetry Blind Spot",IF(AND(K302="",L302=""),"Missed Alert",IF(L302="","Triage Delay",IF(S302&lt;=T302,"Detected - Within SLA",IF(AND(R302&lt;&gt;"",R302&gt;IFERROR(INDEX(Settings!$C$5:$C$8,MATCH(G302,Settings!$A$5:$A$8,0)),1E+099)),"Triage Delay","Detected - SLA Breach"))))))</f>
        <v/>
      </c>
      <c r="W302" s="25" t="str">
        <f aca="false">IF(G302="","",IF(L302&lt;&gt;"",1,0))</f>
        <v/>
      </c>
      <c r="X302" s="32"/>
      <c r="Y302" s="32"/>
      <c r="Z302" s="32"/>
      <c r="AA302" s="24"/>
      <c r="AB302" s="24"/>
      <c r="AC302" s="33" t="str">
        <f aca="false">IF(AND(G302&lt;&gt;"",L302&lt;&gt;"",X302&lt;&gt;""),(X302-L302)*1440,"")</f>
        <v/>
      </c>
      <c r="AD302" s="33" t="str">
        <f aca="false">IF(AND(G302&lt;&gt;"",X302&lt;&gt;"",Y302&lt;&gt;""),(Y302-X302)*1440,"")</f>
        <v/>
      </c>
      <c r="AE302" s="33" t="str">
        <f aca="false">IF(AND(G302&lt;&gt;"",Y302&lt;&gt;"",Z302&lt;&gt;""),(Z302-Y302)*1440,"")</f>
        <v/>
      </c>
      <c r="AF302" s="33" t="str">
        <f aca="false">IF(AND(G302&lt;&gt;"",L302&lt;&gt;"",Z302&lt;&gt;""),(Z302-L302)*1440,"")</f>
        <v/>
      </c>
      <c r="AG302" s="33" t="str">
        <f aca="false">IF(G302="","",IFERROR(INDEX(Settings!$D$5:$D$8,MATCH(G302,Settings!$A$5:$A$8,0)),""))</f>
        <v/>
      </c>
      <c r="AH302" s="25" t="str">
        <f aca="false">IF(G302="","",IF(AF302="","No",IF(AF302&lt;=AG302,"Yes","No")))</f>
        <v/>
      </c>
      <c r="AI302" s="25" t="str">
        <f aca="false">IF(G302="","",IF(L302="","N/A - Not Detected",IF(AND(X302="",Y302="",Z302=""),"No Containment Action",IF(Z302="",IF(Y302&lt;&gt;"","C2 Persisted","Host Isolation Gap"),IF(AF302&lt;=AG302,"Contained - Within SLA","Contained - SLA Breach")))))</f>
        <v/>
      </c>
      <c r="AJ302" s="25" t="str">
        <f aca="false">IF(G302="","",IF(Z302&lt;&gt;"",1,0))</f>
        <v/>
      </c>
      <c r="AK302" s="34"/>
      <c r="AL302" s="34"/>
      <c r="AM302" s="35"/>
      <c r="AN302" s="34"/>
      <c r="AO302" s="34"/>
      <c r="AP302" s="35"/>
      <c r="AQ302" s="34"/>
      <c r="AR302" s="34"/>
      <c r="AS302" s="34"/>
      <c r="AT302" s="35"/>
      <c r="AU302" s="35"/>
    </row>
    <row r="303" customFormat="false" ht="15" hidden="false" customHeight="false" outlineLevel="0" collapsed="false">
      <c r="A303" s="24"/>
      <c r="B303" s="24"/>
      <c r="C303" s="24"/>
      <c r="D303" s="24"/>
      <c r="E303" s="24"/>
      <c r="F303" s="24"/>
      <c r="G303" s="24"/>
      <c r="H303" s="24"/>
      <c r="I303" s="32"/>
      <c r="J303" s="32"/>
      <c r="K303" s="32"/>
      <c r="L303" s="32"/>
      <c r="M303" s="24"/>
      <c r="N303" s="24"/>
      <c r="O303" s="24"/>
      <c r="P303" s="33" t="str">
        <f aca="false">IF(AND(G303&lt;&gt;"",I303&lt;&gt;"",J303&lt;&gt;""),(J303-I303)*1440,"")</f>
        <v/>
      </c>
      <c r="Q303" s="33" t="str">
        <f aca="false">IF(AND(G303&lt;&gt;"",J303&lt;&gt;"",K303&lt;&gt;""),(K303-J303)*1440,"")</f>
        <v/>
      </c>
      <c r="R303" s="33" t="str">
        <f aca="false">IF(AND(G303&lt;&gt;"",K303&lt;&gt;"",L303&lt;&gt;""),(L303-K303)*1440,"")</f>
        <v/>
      </c>
      <c r="S303" s="33" t="str">
        <f aca="false">IF(AND(G303&lt;&gt;"",I303&lt;&gt;"",L303&lt;&gt;""),(L303-I303)*1440,"")</f>
        <v/>
      </c>
      <c r="T303" s="33" t="str">
        <f aca="false">IF(G303="","",IFERROR(INDEX(Settings!$B$5:$B$8,MATCH(G303,Settings!$A$5:$A$8,0)),""))</f>
        <v/>
      </c>
      <c r="U303" s="25" t="str">
        <f aca="false">IF(G303="","",IF(S303="","No",IF(S303&lt;=T303,"Yes","No")))</f>
        <v/>
      </c>
      <c r="V303" s="25" t="str">
        <f aca="false">IF(G303="","",IF(AND(J303="",K303="",L303=""),"Telemetry Blind Spot",IF(AND(K303="",L303=""),"Missed Alert",IF(L303="","Triage Delay",IF(S303&lt;=T303,"Detected - Within SLA",IF(AND(R303&lt;&gt;"",R303&gt;IFERROR(INDEX(Settings!$C$5:$C$8,MATCH(G303,Settings!$A$5:$A$8,0)),1E+099)),"Triage Delay","Detected - SLA Breach"))))))</f>
        <v/>
      </c>
      <c r="W303" s="25" t="str">
        <f aca="false">IF(G303="","",IF(L303&lt;&gt;"",1,0))</f>
        <v/>
      </c>
      <c r="X303" s="32"/>
      <c r="Y303" s="32"/>
      <c r="Z303" s="32"/>
      <c r="AA303" s="24"/>
      <c r="AB303" s="24"/>
      <c r="AC303" s="33" t="str">
        <f aca="false">IF(AND(G303&lt;&gt;"",L303&lt;&gt;"",X303&lt;&gt;""),(X303-L303)*1440,"")</f>
        <v/>
      </c>
      <c r="AD303" s="33" t="str">
        <f aca="false">IF(AND(G303&lt;&gt;"",X303&lt;&gt;"",Y303&lt;&gt;""),(Y303-X303)*1440,"")</f>
        <v/>
      </c>
      <c r="AE303" s="33" t="str">
        <f aca="false">IF(AND(G303&lt;&gt;"",Y303&lt;&gt;"",Z303&lt;&gt;""),(Z303-Y303)*1440,"")</f>
        <v/>
      </c>
      <c r="AF303" s="33" t="str">
        <f aca="false">IF(AND(G303&lt;&gt;"",L303&lt;&gt;"",Z303&lt;&gt;""),(Z303-L303)*1440,"")</f>
        <v/>
      </c>
      <c r="AG303" s="33" t="str">
        <f aca="false">IF(G303="","",IFERROR(INDEX(Settings!$D$5:$D$8,MATCH(G303,Settings!$A$5:$A$8,0)),""))</f>
        <v/>
      </c>
      <c r="AH303" s="25" t="str">
        <f aca="false">IF(G303="","",IF(AF303="","No",IF(AF303&lt;=AG303,"Yes","No")))</f>
        <v/>
      </c>
      <c r="AI303" s="25" t="str">
        <f aca="false">IF(G303="","",IF(L303="","N/A - Not Detected",IF(AND(X303="",Y303="",Z303=""),"No Containment Action",IF(Z303="",IF(Y303&lt;&gt;"","C2 Persisted","Host Isolation Gap"),IF(AF303&lt;=AG303,"Contained - Within SLA","Contained - SLA Breach")))))</f>
        <v/>
      </c>
      <c r="AJ303" s="25" t="str">
        <f aca="false">IF(G303="","",IF(Z303&lt;&gt;"",1,0))</f>
        <v/>
      </c>
      <c r="AK303" s="34"/>
      <c r="AL303" s="34"/>
      <c r="AM303" s="35"/>
      <c r="AN303" s="34"/>
      <c r="AO303" s="34"/>
      <c r="AP303" s="35"/>
      <c r="AQ303" s="34"/>
      <c r="AR303" s="34"/>
      <c r="AS303" s="34"/>
      <c r="AT303" s="35"/>
      <c r="AU303" s="35"/>
    </row>
    <row r="304" customFormat="false" ht="15" hidden="false" customHeight="false" outlineLevel="0" collapsed="false">
      <c r="A304" s="24"/>
      <c r="B304" s="24"/>
      <c r="C304" s="24"/>
      <c r="D304" s="24"/>
      <c r="E304" s="24"/>
      <c r="F304" s="24"/>
      <c r="G304" s="24"/>
      <c r="H304" s="24"/>
      <c r="I304" s="32"/>
      <c r="J304" s="32"/>
      <c r="K304" s="32"/>
      <c r="L304" s="32"/>
      <c r="M304" s="24"/>
      <c r="N304" s="24"/>
      <c r="O304" s="24"/>
      <c r="P304" s="33" t="str">
        <f aca="false">IF(AND(G304&lt;&gt;"",I304&lt;&gt;"",J304&lt;&gt;""),(J304-I304)*1440,"")</f>
        <v/>
      </c>
      <c r="Q304" s="33" t="str">
        <f aca="false">IF(AND(G304&lt;&gt;"",J304&lt;&gt;"",K304&lt;&gt;""),(K304-J304)*1440,"")</f>
        <v/>
      </c>
      <c r="R304" s="33" t="str">
        <f aca="false">IF(AND(G304&lt;&gt;"",K304&lt;&gt;"",L304&lt;&gt;""),(L304-K304)*1440,"")</f>
        <v/>
      </c>
      <c r="S304" s="33" t="str">
        <f aca="false">IF(AND(G304&lt;&gt;"",I304&lt;&gt;"",L304&lt;&gt;""),(L304-I304)*1440,"")</f>
        <v/>
      </c>
      <c r="T304" s="33" t="str">
        <f aca="false">IF(G304="","",IFERROR(INDEX(Settings!$B$5:$B$8,MATCH(G304,Settings!$A$5:$A$8,0)),""))</f>
        <v/>
      </c>
      <c r="U304" s="25" t="str">
        <f aca="false">IF(G304="","",IF(S304="","No",IF(S304&lt;=T304,"Yes","No")))</f>
        <v/>
      </c>
      <c r="V304" s="25" t="str">
        <f aca="false">IF(G304="","",IF(AND(J304="",K304="",L304=""),"Telemetry Blind Spot",IF(AND(K304="",L304=""),"Missed Alert",IF(L304="","Triage Delay",IF(S304&lt;=T304,"Detected - Within SLA",IF(AND(R304&lt;&gt;"",R304&gt;IFERROR(INDEX(Settings!$C$5:$C$8,MATCH(G304,Settings!$A$5:$A$8,0)),1E+099)),"Triage Delay","Detected - SLA Breach"))))))</f>
        <v/>
      </c>
      <c r="W304" s="25" t="str">
        <f aca="false">IF(G304="","",IF(L304&lt;&gt;"",1,0))</f>
        <v/>
      </c>
      <c r="X304" s="32"/>
      <c r="Y304" s="32"/>
      <c r="Z304" s="32"/>
      <c r="AA304" s="24"/>
      <c r="AB304" s="24"/>
      <c r="AC304" s="33" t="str">
        <f aca="false">IF(AND(G304&lt;&gt;"",L304&lt;&gt;"",X304&lt;&gt;""),(X304-L304)*1440,"")</f>
        <v/>
      </c>
      <c r="AD304" s="33" t="str">
        <f aca="false">IF(AND(G304&lt;&gt;"",X304&lt;&gt;"",Y304&lt;&gt;""),(Y304-X304)*1440,"")</f>
        <v/>
      </c>
      <c r="AE304" s="33" t="str">
        <f aca="false">IF(AND(G304&lt;&gt;"",Y304&lt;&gt;"",Z304&lt;&gt;""),(Z304-Y304)*1440,"")</f>
        <v/>
      </c>
      <c r="AF304" s="33" t="str">
        <f aca="false">IF(AND(G304&lt;&gt;"",L304&lt;&gt;"",Z304&lt;&gt;""),(Z304-L304)*1440,"")</f>
        <v/>
      </c>
      <c r="AG304" s="33" t="str">
        <f aca="false">IF(G304="","",IFERROR(INDEX(Settings!$D$5:$D$8,MATCH(G304,Settings!$A$5:$A$8,0)),""))</f>
        <v/>
      </c>
      <c r="AH304" s="25" t="str">
        <f aca="false">IF(G304="","",IF(AF304="","No",IF(AF304&lt;=AG304,"Yes","No")))</f>
        <v/>
      </c>
      <c r="AI304" s="25" t="str">
        <f aca="false">IF(G304="","",IF(L304="","N/A - Not Detected",IF(AND(X304="",Y304="",Z304=""),"No Containment Action",IF(Z304="",IF(Y304&lt;&gt;"","C2 Persisted","Host Isolation Gap"),IF(AF304&lt;=AG304,"Contained - Within SLA","Contained - SLA Breach")))))</f>
        <v/>
      </c>
      <c r="AJ304" s="25" t="str">
        <f aca="false">IF(G304="","",IF(Z304&lt;&gt;"",1,0))</f>
        <v/>
      </c>
      <c r="AK304" s="34"/>
      <c r="AL304" s="34"/>
      <c r="AM304" s="35"/>
      <c r="AN304" s="34"/>
      <c r="AO304" s="34"/>
      <c r="AP304" s="35"/>
      <c r="AQ304" s="34"/>
      <c r="AR304" s="34"/>
      <c r="AS304" s="34"/>
      <c r="AT304" s="35"/>
      <c r="AU304" s="35"/>
    </row>
    <row r="305" customFormat="false" ht="15" hidden="false" customHeight="false" outlineLevel="0" collapsed="false">
      <c r="A305" s="24"/>
      <c r="B305" s="24"/>
      <c r="C305" s="24"/>
      <c r="D305" s="24"/>
      <c r="E305" s="24"/>
      <c r="F305" s="24"/>
      <c r="G305" s="24"/>
      <c r="H305" s="24"/>
      <c r="I305" s="32"/>
      <c r="J305" s="32"/>
      <c r="K305" s="32"/>
      <c r="L305" s="32"/>
      <c r="M305" s="24"/>
      <c r="N305" s="24"/>
      <c r="O305" s="24"/>
      <c r="P305" s="33" t="str">
        <f aca="false">IF(AND(G305&lt;&gt;"",I305&lt;&gt;"",J305&lt;&gt;""),(J305-I305)*1440,"")</f>
        <v/>
      </c>
      <c r="Q305" s="33" t="str">
        <f aca="false">IF(AND(G305&lt;&gt;"",J305&lt;&gt;"",K305&lt;&gt;""),(K305-J305)*1440,"")</f>
        <v/>
      </c>
      <c r="R305" s="33" t="str">
        <f aca="false">IF(AND(G305&lt;&gt;"",K305&lt;&gt;"",L305&lt;&gt;""),(L305-K305)*1440,"")</f>
        <v/>
      </c>
      <c r="S305" s="33" t="str">
        <f aca="false">IF(AND(G305&lt;&gt;"",I305&lt;&gt;"",L305&lt;&gt;""),(L305-I305)*1440,"")</f>
        <v/>
      </c>
      <c r="T305" s="33" t="str">
        <f aca="false">IF(G305="","",IFERROR(INDEX(Settings!$B$5:$B$8,MATCH(G305,Settings!$A$5:$A$8,0)),""))</f>
        <v/>
      </c>
      <c r="U305" s="25" t="str">
        <f aca="false">IF(G305="","",IF(S305="","No",IF(S305&lt;=T305,"Yes","No")))</f>
        <v/>
      </c>
      <c r="V305" s="25" t="str">
        <f aca="false">IF(G305="","",IF(AND(J305="",K305="",L305=""),"Telemetry Blind Spot",IF(AND(K305="",L305=""),"Missed Alert",IF(L305="","Triage Delay",IF(S305&lt;=T305,"Detected - Within SLA",IF(AND(R305&lt;&gt;"",R305&gt;IFERROR(INDEX(Settings!$C$5:$C$8,MATCH(G305,Settings!$A$5:$A$8,0)),1E+099)),"Triage Delay","Detected - SLA Breach"))))))</f>
        <v/>
      </c>
      <c r="W305" s="25" t="str">
        <f aca="false">IF(G305="","",IF(L305&lt;&gt;"",1,0))</f>
        <v/>
      </c>
      <c r="X305" s="32"/>
      <c r="Y305" s="32"/>
      <c r="Z305" s="32"/>
      <c r="AA305" s="24"/>
      <c r="AB305" s="24"/>
      <c r="AC305" s="33" t="str">
        <f aca="false">IF(AND(G305&lt;&gt;"",L305&lt;&gt;"",X305&lt;&gt;""),(X305-L305)*1440,"")</f>
        <v/>
      </c>
      <c r="AD305" s="33" t="str">
        <f aca="false">IF(AND(G305&lt;&gt;"",X305&lt;&gt;"",Y305&lt;&gt;""),(Y305-X305)*1440,"")</f>
        <v/>
      </c>
      <c r="AE305" s="33" t="str">
        <f aca="false">IF(AND(G305&lt;&gt;"",Y305&lt;&gt;"",Z305&lt;&gt;""),(Z305-Y305)*1440,"")</f>
        <v/>
      </c>
      <c r="AF305" s="33" t="str">
        <f aca="false">IF(AND(G305&lt;&gt;"",L305&lt;&gt;"",Z305&lt;&gt;""),(Z305-L305)*1440,"")</f>
        <v/>
      </c>
      <c r="AG305" s="33" t="str">
        <f aca="false">IF(G305="","",IFERROR(INDEX(Settings!$D$5:$D$8,MATCH(G305,Settings!$A$5:$A$8,0)),""))</f>
        <v/>
      </c>
      <c r="AH305" s="25" t="str">
        <f aca="false">IF(G305="","",IF(AF305="","No",IF(AF305&lt;=AG305,"Yes","No")))</f>
        <v/>
      </c>
      <c r="AI305" s="25" t="str">
        <f aca="false">IF(G305="","",IF(L305="","N/A - Not Detected",IF(AND(X305="",Y305="",Z305=""),"No Containment Action",IF(Z305="",IF(Y305&lt;&gt;"","C2 Persisted","Host Isolation Gap"),IF(AF305&lt;=AG305,"Contained - Within SLA","Contained - SLA Breach")))))</f>
        <v/>
      </c>
      <c r="AJ305" s="25" t="str">
        <f aca="false">IF(G305="","",IF(Z305&lt;&gt;"",1,0))</f>
        <v/>
      </c>
      <c r="AK305" s="34"/>
      <c r="AL305" s="34"/>
      <c r="AM305" s="35"/>
      <c r="AN305" s="34"/>
      <c r="AO305" s="34"/>
      <c r="AP305" s="35"/>
      <c r="AQ305" s="34"/>
      <c r="AR305" s="34"/>
      <c r="AS305" s="34"/>
      <c r="AT305" s="35"/>
      <c r="AU305" s="35"/>
    </row>
    <row r="306" customFormat="false" ht="15" hidden="false" customHeight="false" outlineLevel="0" collapsed="false">
      <c r="A306" s="24"/>
      <c r="B306" s="24"/>
      <c r="C306" s="24"/>
      <c r="D306" s="24"/>
      <c r="E306" s="24"/>
      <c r="F306" s="24"/>
      <c r="G306" s="24"/>
      <c r="H306" s="24"/>
      <c r="I306" s="32"/>
      <c r="J306" s="32"/>
      <c r="K306" s="32"/>
      <c r="L306" s="32"/>
      <c r="M306" s="24"/>
      <c r="N306" s="24"/>
      <c r="O306" s="24"/>
      <c r="P306" s="33" t="str">
        <f aca="false">IF(AND(G306&lt;&gt;"",I306&lt;&gt;"",J306&lt;&gt;""),(J306-I306)*1440,"")</f>
        <v/>
      </c>
      <c r="Q306" s="33" t="str">
        <f aca="false">IF(AND(G306&lt;&gt;"",J306&lt;&gt;"",K306&lt;&gt;""),(K306-J306)*1440,"")</f>
        <v/>
      </c>
      <c r="R306" s="33" t="str">
        <f aca="false">IF(AND(G306&lt;&gt;"",K306&lt;&gt;"",L306&lt;&gt;""),(L306-K306)*1440,"")</f>
        <v/>
      </c>
      <c r="S306" s="33" t="str">
        <f aca="false">IF(AND(G306&lt;&gt;"",I306&lt;&gt;"",L306&lt;&gt;""),(L306-I306)*1440,"")</f>
        <v/>
      </c>
      <c r="T306" s="33" t="str">
        <f aca="false">IF(G306="","",IFERROR(INDEX(Settings!$B$5:$B$8,MATCH(G306,Settings!$A$5:$A$8,0)),""))</f>
        <v/>
      </c>
      <c r="U306" s="25" t="str">
        <f aca="false">IF(G306="","",IF(S306="","No",IF(S306&lt;=T306,"Yes","No")))</f>
        <v/>
      </c>
      <c r="V306" s="25" t="str">
        <f aca="false">IF(G306="","",IF(AND(J306="",K306="",L306=""),"Telemetry Blind Spot",IF(AND(K306="",L306=""),"Missed Alert",IF(L306="","Triage Delay",IF(S306&lt;=T306,"Detected - Within SLA",IF(AND(R306&lt;&gt;"",R306&gt;IFERROR(INDEX(Settings!$C$5:$C$8,MATCH(G306,Settings!$A$5:$A$8,0)),1E+099)),"Triage Delay","Detected - SLA Breach"))))))</f>
        <v/>
      </c>
      <c r="W306" s="25" t="str">
        <f aca="false">IF(G306="","",IF(L306&lt;&gt;"",1,0))</f>
        <v/>
      </c>
      <c r="X306" s="32"/>
      <c r="Y306" s="32"/>
      <c r="Z306" s="32"/>
      <c r="AA306" s="24"/>
      <c r="AB306" s="24"/>
      <c r="AC306" s="33" t="str">
        <f aca="false">IF(AND(G306&lt;&gt;"",L306&lt;&gt;"",X306&lt;&gt;""),(X306-L306)*1440,"")</f>
        <v/>
      </c>
      <c r="AD306" s="33" t="str">
        <f aca="false">IF(AND(G306&lt;&gt;"",X306&lt;&gt;"",Y306&lt;&gt;""),(Y306-X306)*1440,"")</f>
        <v/>
      </c>
      <c r="AE306" s="33" t="str">
        <f aca="false">IF(AND(G306&lt;&gt;"",Y306&lt;&gt;"",Z306&lt;&gt;""),(Z306-Y306)*1440,"")</f>
        <v/>
      </c>
      <c r="AF306" s="33" t="str">
        <f aca="false">IF(AND(G306&lt;&gt;"",L306&lt;&gt;"",Z306&lt;&gt;""),(Z306-L306)*1440,"")</f>
        <v/>
      </c>
      <c r="AG306" s="33" t="str">
        <f aca="false">IF(G306="","",IFERROR(INDEX(Settings!$D$5:$D$8,MATCH(G306,Settings!$A$5:$A$8,0)),""))</f>
        <v/>
      </c>
      <c r="AH306" s="25" t="str">
        <f aca="false">IF(G306="","",IF(AF306="","No",IF(AF306&lt;=AG306,"Yes","No")))</f>
        <v/>
      </c>
      <c r="AI306" s="25" t="str">
        <f aca="false">IF(G306="","",IF(L306="","N/A - Not Detected",IF(AND(X306="",Y306="",Z306=""),"No Containment Action",IF(Z306="",IF(Y306&lt;&gt;"","C2 Persisted","Host Isolation Gap"),IF(AF306&lt;=AG306,"Contained - Within SLA","Contained - SLA Breach")))))</f>
        <v/>
      </c>
      <c r="AJ306" s="25" t="str">
        <f aca="false">IF(G306="","",IF(Z306&lt;&gt;"",1,0))</f>
        <v/>
      </c>
      <c r="AK306" s="34"/>
      <c r="AL306" s="34"/>
      <c r="AM306" s="35"/>
      <c r="AN306" s="34"/>
      <c r="AO306" s="34"/>
      <c r="AP306" s="35"/>
      <c r="AQ306" s="34"/>
      <c r="AR306" s="34"/>
      <c r="AS306" s="34"/>
      <c r="AT306" s="35"/>
      <c r="AU306" s="35"/>
    </row>
    <row r="307" customFormat="false" ht="15" hidden="false" customHeight="false" outlineLevel="0" collapsed="false">
      <c r="A307" s="24"/>
      <c r="B307" s="24"/>
      <c r="C307" s="24"/>
      <c r="D307" s="24"/>
      <c r="E307" s="24"/>
      <c r="F307" s="24"/>
      <c r="G307" s="24"/>
      <c r="H307" s="24"/>
      <c r="I307" s="32"/>
      <c r="J307" s="32"/>
      <c r="K307" s="32"/>
      <c r="L307" s="32"/>
      <c r="M307" s="24"/>
      <c r="N307" s="24"/>
      <c r="O307" s="24"/>
      <c r="P307" s="33" t="str">
        <f aca="false">IF(AND(G307&lt;&gt;"",I307&lt;&gt;"",J307&lt;&gt;""),(J307-I307)*1440,"")</f>
        <v/>
      </c>
      <c r="Q307" s="33" t="str">
        <f aca="false">IF(AND(G307&lt;&gt;"",J307&lt;&gt;"",K307&lt;&gt;""),(K307-J307)*1440,"")</f>
        <v/>
      </c>
      <c r="R307" s="33" t="str">
        <f aca="false">IF(AND(G307&lt;&gt;"",K307&lt;&gt;"",L307&lt;&gt;""),(L307-K307)*1440,"")</f>
        <v/>
      </c>
      <c r="S307" s="33" t="str">
        <f aca="false">IF(AND(G307&lt;&gt;"",I307&lt;&gt;"",L307&lt;&gt;""),(L307-I307)*1440,"")</f>
        <v/>
      </c>
      <c r="T307" s="33" t="str">
        <f aca="false">IF(G307="","",IFERROR(INDEX(Settings!$B$5:$B$8,MATCH(G307,Settings!$A$5:$A$8,0)),""))</f>
        <v/>
      </c>
      <c r="U307" s="25" t="str">
        <f aca="false">IF(G307="","",IF(S307="","No",IF(S307&lt;=T307,"Yes","No")))</f>
        <v/>
      </c>
      <c r="V307" s="25" t="str">
        <f aca="false">IF(G307="","",IF(AND(J307="",K307="",L307=""),"Telemetry Blind Spot",IF(AND(K307="",L307=""),"Missed Alert",IF(L307="","Triage Delay",IF(S307&lt;=T307,"Detected - Within SLA",IF(AND(R307&lt;&gt;"",R307&gt;IFERROR(INDEX(Settings!$C$5:$C$8,MATCH(G307,Settings!$A$5:$A$8,0)),1E+099)),"Triage Delay","Detected - SLA Breach"))))))</f>
        <v/>
      </c>
      <c r="W307" s="25" t="str">
        <f aca="false">IF(G307="","",IF(L307&lt;&gt;"",1,0))</f>
        <v/>
      </c>
      <c r="X307" s="32"/>
      <c r="Y307" s="32"/>
      <c r="Z307" s="32"/>
      <c r="AA307" s="24"/>
      <c r="AB307" s="24"/>
      <c r="AC307" s="33" t="str">
        <f aca="false">IF(AND(G307&lt;&gt;"",L307&lt;&gt;"",X307&lt;&gt;""),(X307-L307)*1440,"")</f>
        <v/>
      </c>
      <c r="AD307" s="33" t="str">
        <f aca="false">IF(AND(G307&lt;&gt;"",X307&lt;&gt;"",Y307&lt;&gt;""),(Y307-X307)*1440,"")</f>
        <v/>
      </c>
      <c r="AE307" s="33" t="str">
        <f aca="false">IF(AND(G307&lt;&gt;"",Y307&lt;&gt;"",Z307&lt;&gt;""),(Z307-Y307)*1440,"")</f>
        <v/>
      </c>
      <c r="AF307" s="33" t="str">
        <f aca="false">IF(AND(G307&lt;&gt;"",L307&lt;&gt;"",Z307&lt;&gt;""),(Z307-L307)*1440,"")</f>
        <v/>
      </c>
      <c r="AG307" s="33" t="str">
        <f aca="false">IF(G307="","",IFERROR(INDEX(Settings!$D$5:$D$8,MATCH(G307,Settings!$A$5:$A$8,0)),""))</f>
        <v/>
      </c>
      <c r="AH307" s="25" t="str">
        <f aca="false">IF(G307="","",IF(AF307="","No",IF(AF307&lt;=AG307,"Yes","No")))</f>
        <v/>
      </c>
      <c r="AI307" s="25" t="str">
        <f aca="false">IF(G307="","",IF(L307="","N/A - Not Detected",IF(AND(X307="",Y307="",Z307=""),"No Containment Action",IF(Z307="",IF(Y307&lt;&gt;"","C2 Persisted","Host Isolation Gap"),IF(AF307&lt;=AG307,"Contained - Within SLA","Contained - SLA Breach")))))</f>
        <v/>
      </c>
      <c r="AJ307" s="25" t="str">
        <f aca="false">IF(G307="","",IF(Z307&lt;&gt;"",1,0))</f>
        <v/>
      </c>
      <c r="AK307" s="34"/>
      <c r="AL307" s="34"/>
      <c r="AM307" s="35"/>
      <c r="AN307" s="34"/>
      <c r="AO307" s="34"/>
      <c r="AP307" s="35"/>
      <c r="AQ307" s="34"/>
      <c r="AR307" s="34"/>
      <c r="AS307" s="34"/>
      <c r="AT307" s="35"/>
      <c r="AU307" s="35"/>
    </row>
    <row r="308" customFormat="false" ht="15" hidden="false" customHeight="false" outlineLevel="0" collapsed="false">
      <c r="A308" s="24"/>
      <c r="B308" s="24"/>
      <c r="C308" s="24"/>
      <c r="D308" s="24"/>
      <c r="E308" s="24"/>
      <c r="F308" s="24"/>
      <c r="G308" s="24"/>
      <c r="H308" s="24"/>
      <c r="I308" s="32"/>
      <c r="J308" s="32"/>
      <c r="K308" s="32"/>
      <c r="L308" s="32"/>
      <c r="M308" s="24"/>
      <c r="N308" s="24"/>
      <c r="O308" s="24"/>
      <c r="P308" s="33" t="str">
        <f aca="false">IF(AND(G308&lt;&gt;"",I308&lt;&gt;"",J308&lt;&gt;""),(J308-I308)*1440,"")</f>
        <v/>
      </c>
      <c r="Q308" s="33" t="str">
        <f aca="false">IF(AND(G308&lt;&gt;"",J308&lt;&gt;"",K308&lt;&gt;""),(K308-J308)*1440,"")</f>
        <v/>
      </c>
      <c r="R308" s="33" t="str">
        <f aca="false">IF(AND(G308&lt;&gt;"",K308&lt;&gt;"",L308&lt;&gt;""),(L308-K308)*1440,"")</f>
        <v/>
      </c>
      <c r="S308" s="33" t="str">
        <f aca="false">IF(AND(G308&lt;&gt;"",I308&lt;&gt;"",L308&lt;&gt;""),(L308-I308)*1440,"")</f>
        <v/>
      </c>
      <c r="T308" s="33" t="str">
        <f aca="false">IF(G308="","",IFERROR(INDEX(Settings!$B$5:$B$8,MATCH(G308,Settings!$A$5:$A$8,0)),""))</f>
        <v/>
      </c>
      <c r="U308" s="25" t="str">
        <f aca="false">IF(G308="","",IF(S308="","No",IF(S308&lt;=T308,"Yes","No")))</f>
        <v/>
      </c>
      <c r="V308" s="25" t="str">
        <f aca="false">IF(G308="","",IF(AND(J308="",K308="",L308=""),"Telemetry Blind Spot",IF(AND(K308="",L308=""),"Missed Alert",IF(L308="","Triage Delay",IF(S308&lt;=T308,"Detected - Within SLA",IF(AND(R308&lt;&gt;"",R308&gt;IFERROR(INDEX(Settings!$C$5:$C$8,MATCH(G308,Settings!$A$5:$A$8,0)),1E+099)),"Triage Delay","Detected - SLA Breach"))))))</f>
        <v/>
      </c>
      <c r="W308" s="25" t="str">
        <f aca="false">IF(G308="","",IF(L308&lt;&gt;"",1,0))</f>
        <v/>
      </c>
      <c r="X308" s="32"/>
      <c r="Y308" s="32"/>
      <c r="Z308" s="32"/>
      <c r="AA308" s="24"/>
      <c r="AB308" s="24"/>
      <c r="AC308" s="33" t="str">
        <f aca="false">IF(AND(G308&lt;&gt;"",L308&lt;&gt;"",X308&lt;&gt;""),(X308-L308)*1440,"")</f>
        <v/>
      </c>
      <c r="AD308" s="33" t="str">
        <f aca="false">IF(AND(G308&lt;&gt;"",X308&lt;&gt;"",Y308&lt;&gt;""),(Y308-X308)*1440,"")</f>
        <v/>
      </c>
      <c r="AE308" s="33" t="str">
        <f aca="false">IF(AND(G308&lt;&gt;"",Y308&lt;&gt;"",Z308&lt;&gt;""),(Z308-Y308)*1440,"")</f>
        <v/>
      </c>
      <c r="AF308" s="33" t="str">
        <f aca="false">IF(AND(G308&lt;&gt;"",L308&lt;&gt;"",Z308&lt;&gt;""),(Z308-L308)*1440,"")</f>
        <v/>
      </c>
      <c r="AG308" s="33" t="str">
        <f aca="false">IF(G308="","",IFERROR(INDEX(Settings!$D$5:$D$8,MATCH(G308,Settings!$A$5:$A$8,0)),""))</f>
        <v/>
      </c>
      <c r="AH308" s="25" t="str">
        <f aca="false">IF(G308="","",IF(AF308="","No",IF(AF308&lt;=AG308,"Yes","No")))</f>
        <v/>
      </c>
      <c r="AI308" s="25" t="str">
        <f aca="false">IF(G308="","",IF(L308="","N/A - Not Detected",IF(AND(X308="",Y308="",Z308=""),"No Containment Action",IF(Z308="",IF(Y308&lt;&gt;"","C2 Persisted","Host Isolation Gap"),IF(AF308&lt;=AG308,"Contained - Within SLA","Contained - SLA Breach")))))</f>
        <v/>
      </c>
      <c r="AJ308" s="25" t="str">
        <f aca="false">IF(G308="","",IF(Z308&lt;&gt;"",1,0))</f>
        <v/>
      </c>
      <c r="AK308" s="34"/>
      <c r="AL308" s="34"/>
      <c r="AM308" s="35"/>
      <c r="AN308" s="34"/>
      <c r="AO308" s="34"/>
      <c r="AP308" s="35"/>
      <c r="AQ308" s="34"/>
      <c r="AR308" s="34"/>
      <c r="AS308" s="34"/>
      <c r="AT308" s="35"/>
      <c r="AU308" s="35"/>
    </row>
    <row r="309" customFormat="false" ht="15" hidden="false" customHeight="false" outlineLevel="0" collapsed="false">
      <c r="A309" s="24"/>
      <c r="B309" s="24"/>
      <c r="C309" s="24"/>
      <c r="D309" s="24"/>
      <c r="E309" s="24"/>
      <c r="F309" s="24"/>
      <c r="G309" s="24"/>
      <c r="H309" s="24"/>
      <c r="I309" s="32"/>
      <c r="J309" s="32"/>
      <c r="K309" s="32"/>
      <c r="L309" s="32"/>
      <c r="M309" s="24"/>
      <c r="N309" s="24"/>
      <c r="O309" s="24"/>
      <c r="P309" s="33" t="str">
        <f aca="false">IF(AND(G309&lt;&gt;"",I309&lt;&gt;"",J309&lt;&gt;""),(J309-I309)*1440,"")</f>
        <v/>
      </c>
      <c r="Q309" s="33" t="str">
        <f aca="false">IF(AND(G309&lt;&gt;"",J309&lt;&gt;"",K309&lt;&gt;""),(K309-J309)*1440,"")</f>
        <v/>
      </c>
      <c r="R309" s="33" t="str">
        <f aca="false">IF(AND(G309&lt;&gt;"",K309&lt;&gt;"",L309&lt;&gt;""),(L309-K309)*1440,"")</f>
        <v/>
      </c>
      <c r="S309" s="33" t="str">
        <f aca="false">IF(AND(G309&lt;&gt;"",I309&lt;&gt;"",L309&lt;&gt;""),(L309-I309)*1440,"")</f>
        <v/>
      </c>
      <c r="T309" s="33" t="str">
        <f aca="false">IF(G309="","",IFERROR(INDEX(Settings!$B$5:$B$8,MATCH(G309,Settings!$A$5:$A$8,0)),""))</f>
        <v/>
      </c>
      <c r="U309" s="25" t="str">
        <f aca="false">IF(G309="","",IF(S309="","No",IF(S309&lt;=T309,"Yes","No")))</f>
        <v/>
      </c>
      <c r="V309" s="25" t="str">
        <f aca="false">IF(G309="","",IF(AND(J309="",K309="",L309=""),"Telemetry Blind Spot",IF(AND(K309="",L309=""),"Missed Alert",IF(L309="","Triage Delay",IF(S309&lt;=T309,"Detected - Within SLA",IF(AND(R309&lt;&gt;"",R309&gt;IFERROR(INDEX(Settings!$C$5:$C$8,MATCH(G309,Settings!$A$5:$A$8,0)),1E+099)),"Triage Delay","Detected - SLA Breach"))))))</f>
        <v/>
      </c>
      <c r="W309" s="25" t="str">
        <f aca="false">IF(G309="","",IF(L309&lt;&gt;"",1,0))</f>
        <v/>
      </c>
      <c r="X309" s="32"/>
      <c r="Y309" s="32"/>
      <c r="Z309" s="32"/>
      <c r="AA309" s="24"/>
      <c r="AB309" s="24"/>
      <c r="AC309" s="33" t="str">
        <f aca="false">IF(AND(G309&lt;&gt;"",L309&lt;&gt;"",X309&lt;&gt;""),(X309-L309)*1440,"")</f>
        <v/>
      </c>
      <c r="AD309" s="33" t="str">
        <f aca="false">IF(AND(G309&lt;&gt;"",X309&lt;&gt;"",Y309&lt;&gt;""),(Y309-X309)*1440,"")</f>
        <v/>
      </c>
      <c r="AE309" s="33" t="str">
        <f aca="false">IF(AND(G309&lt;&gt;"",Y309&lt;&gt;"",Z309&lt;&gt;""),(Z309-Y309)*1440,"")</f>
        <v/>
      </c>
      <c r="AF309" s="33" t="str">
        <f aca="false">IF(AND(G309&lt;&gt;"",L309&lt;&gt;"",Z309&lt;&gt;""),(Z309-L309)*1440,"")</f>
        <v/>
      </c>
      <c r="AG309" s="33" t="str">
        <f aca="false">IF(G309="","",IFERROR(INDEX(Settings!$D$5:$D$8,MATCH(G309,Settings!$A$5:$A$8,0)),""))</f>
        <v/>
      </c>
      <c r="AH309" s="25" t="str">
        <f aca="false">IF(G309="","",IF(AF309="","No",IF(AF309&lt;=AG309,"Yes","No")))</f>
        <v/>
      </c>
      <c r="AI309" s="25" t="str">
        <f aca="false">IF(G309="","",IF(L309="","N/A - Not Detected",IF(AND(X309="",Y309="",Z309=""),"No Containment Action",IF(Z309="",IF(Y309&lt;&gt;"","C2 Persisted","Host Isolation Gap"),IF(AF309&lt;=AG309,"Contained - Within SLA","Contained - SLA Breach")))))</f>
        <v/>
      </c>
      <c r="AJ309" s="25" t="str">
        <f aca="false">IF(G309="","",IF(Z309&lt;&gt;"",1,0))</f>
        <v/>
      </c>
      <c r="AK309" s="34"/>
      <c r="AL309" s="34"/>
      <c r="AM309" s="35"/>
      <c r="AN309" s="34"/>
      <c r="AO309" s="34"/>
      <c r="AP309" s="35"/>
      <c r="AQ309" s="34"/>
      <c r="AR309" s="34"/>
      <c r="AS309" s="34"/>
      <c r="AT309" s="35"/>
      <c r="AU309" s="35"/>
    </row>
    <row r="310" customFormat="false" ht="15" hidden="false" customHeight="false" outlineLevel="0" collapsed="false">
      <c r="A310" s="24"/>
      <c r="B310" s="24"/>
      <c r="C310" s="24"/>
      <c r="D310" s="24"/>
      <c r="E310" s="24"/>
      <c r="F310" s="24"/>
      <c r="G310" s="24"/>
      <c r="H310" s="24"/>
      <c r="I310" s="32"/>
      <c r="J310" s="32"/>
      <c r="K310" s="32"/>
      <c r="L310" s="32"/>
      <c r="M310" s="24"/>
      <c r="N310" s="24"/>
      <c r="O310" s="24"/>
      <c r="P310" s="33" t="str">
        <f aca="false">IF(AND(G310&lt;&gt;"",I310&lt;&gt;"",J310&lt;&gt;""),(J310-I310)*1440,"")</f>
        <v/>
      </c>
      <c r="Q310" s="33" t="str">
        <f aca="false">IF(AND(G310&lt;&gt;"",J310&lt;&gt;"",K310&lt;&gt;""),(K310-J310)*1440,"")</f>
        <v/>
      </c>
      <c r="R310" s="33" t="str">
        <f aca="false">IF(AND(G310&lt;&gt;"",K310&lt;&gt;"",L310&lt;&gt;""),(L310-K310)*1440,"")</f>
        <v/>
      </c>
      <c r="S310" s="33" t="str">
        <f aca="false">IF(AND(G310&lt;&gt;"",I310&lt;&gt;"",L310&lt;&gt;""),(L310-I310)*1440,"")</f>
        <v/>
      </c>
      <c r="T310" s="33" t="str">
        <f aca="false">IF(G310="","",IFERROR(INDEX(Settings!$B$5:$B$8,MATCH(G310,Settings!$A$5:$A$8,0)),""))</f>
        <v/>
      </c>
      <c r="U310" s="25" t="str">
        <f aca="false">IF(G310="","",IF(S310="","No",IF(S310&lt;=T310,"Yes","No")))</f>
        <v/>
      </c>
      <c r="V310" s="25" t="str">
        <f aca="false">IF(G310="","",IF(AND(J310="",K310="",L310=""),"Telemetry Blind Spot",IF(AND(K310="",L310=""),"Missed Alert",IF(L310="","Triage Delay",IF(S310&lt;=T310,"Detected - Within SLA",IF(AND(R310&lt;&gt;"",R310&gt;IFERROR(INDEX(Settings!$C$5:$C$8,MATCH(G310,Settings!$A$5:$A$8,0)),1E+099)),"Triage Delay","Detected - SLA Breach"))))))</f>
        <v/>
      </c>
      <c r="W310" s="25" t="str">
        <f aca="false">IF(G310="","",IF(L310&lt;&gt;"",1,0))</f>
        <v/>
      </c>
      <c r="X310" s="32"/>
      <c r="Y310" s="32"/>
      <c r="Z310" s="32"/>
      <c r="AA310" s="24"/>
      <c r="AB310" s="24"/>
      <c r="AC310" s="33" t="str">
        <f aca="false">IF(AND(G310&lt;&gt;"",L310&lt;&gt;"",X310&lt;&gt;""),(X310-L310)*1440,"")</f>
        <v/>
      </c>
      <c r="AD310" s="33" t="str">
        <f aca="false">IF(AND(G310&lt;&gt;"",X310&lt;&gt;"",Y310&lt;&gt;""),(Y310-X310)*1440,"")</f>
        <v/>
      </c>
      <c r="AE310" s="33" t="str">
        <f aca="false">IF(AND(G310&lt;&gt;"",Y310&lt;&gt;"",Z310&lt;&gt;""),(Z310-Y310)*1440,"")</f>
        <v/>
      </c>
      <c r="AF310" s="33" t="str">
        <f aca="false">IF(AND(G310&lt;&gt;"",L310&lt;&gt;"",Z310&lt;&gt;""),(Z310-L310)*1440,"")</f>
        <v/>
      </c>
      <c r="AG310" s="33" t="str">
        <f aca="false">IF(G310="","",IFERROR(INDEX(Settings!$D$5:$D$8,MATCH(G310,Settings!$A$5:$A$8,0)),""))</f>
        <v/>
      </c>
      <c r="AH310" s="25" t="str">
        <f aca="false">IF(G310="","",IF(AF310="","No",IF(AF310&lt;=AG310,"Yes","No")))</f>
        <v/>
      </c>
      <c r="AI310" s="25" t="str">
        <f aca="false">IF(G310="","",IF(L310="","N/A - Not Detected",IF(AND(X310="",Y310="",Z310=""),"No Containment Action",IF(Z310="",IF(Y310&lt;&gt;"","C2 Persisted","Host Isolation Gap"),IF(AF310&lt;=AG310,"Contained - Within SLA","Contained - SLA Breach")))))</f>
        <v/>
      </c>
      <c r="AJ310" s="25" t="str">
        <f aca="false">IF(G310="","",IF(Z310&lt;&gt;"",1,0))</f>
        <v/>
      </c>
      <c r="AK310" s="34"/>
      <c r="AL310" s="34"/>
      <c r="AM310" s="35"/>
      <c r="AN310" s="34"/>
      <c r="AO310" s="34"/>
      <c r="AP310" s="35"/>
      <c r="AQ310" s="34"/>
      <c r="AR310" s="34"/>
      <c r="AS310" s="34"/>
      <c r="AT310" s="35"/>
      <c r="AU310" s="35"/>
    </row>
    <row r="311" customFormat="false" ht="15" hidden="false" customHeight="false" outlineLevel="0" collapsed="false">
      <c r="A311" s="24"/>
      <c r="B311" s="24"/>
      <c r="C311" s="24"/>
      <c r="D311" s="24"/>
      <c r="E311" s="24"/>
      <c r="F311" s="24"/>
      <c r="G311" s="24"/>
      <c r="H311" s="24"/>
      <c r="I311" s="32"/>
      <c r="J311" s="32"/>
      <c r="K311" s="32"/>
      <c r="L311" s="32"/>
      <c r="M311" s="24"/>
      <c r="N311" s="24"/>
      <c r="O311" s="24"/>
      <c r="P311" s="33" t="str">
        <f aca="false">IF(AND(G311&lt;&gt;"",I311&lt;&gt;"",J311&lt;&gt;""),(J311-I311)*1440,"")</f>
        <v/>
      </c>
      <c r="Q311" s="33" t="str">
        <f aca="false">IF(AND(G311&lt;&gt;"",J311&lt;&gt;"",K311&lt;&gt;""),(K311-J311)*1440,"")</f>
        <v/>
      </c>
      <c r="R311" s="33" t="str">
        <f aca="false">IF(AND(G311&lt;&gt;"",K311&lt;&gt;"",L311&lt;&gt;""),(L311-K311)*1440,"")</f>
        <v/>
      </c>
      <c r="S311" s="33" t="str">
        <f aca="false">IF(AND(G311&lt;&gt;"",I311&lt;&gt;"",L311&lt;&gt;""),(L311-I311)*1440,"")</f>
        <v/>
      </c>
      <c r="T311" s="33" t="str">
        <f aca="false">IF(G311="","",IFERROR(INDEX(Settings!$B$5:$B$8,MATCH(G311,Settings!$A$5:$A$8,0)),""))</f>
        <v/>
      </c>
      <c r="U311" s="25" t="str">
        <f aca="false">IF(G311="","",IF(S311="","No",IF(S311&lt;=T311,"Yes","No")))</f>
        <v/>
      </c>
      <c r="V311" s="25" t="str">
        <f aca="false">IF(G311="","",IF(AND(J311="",K311="",L311=""),"Telemetry Blind Spot",IF(AND(K311="",L311=""),"Missed Alert",IF(L311="","Triage Delay",IF(S311&lt;=T311,"Detected - Within SLA",IF(AND(R311&lt;&gt;"",R311&gt;IFERROR(INDEX(Settings!$C$5:$C$8,MATCH(G311,Settings!$A$5:$A$8,0)),1E+099)),"Triage Delay","Detected - SLA Breach"))))))</f>
        <v/>
      </c>
      <c r="W311" s="25" t="str">
        <f aca="false">IF(G311="","",IF(L311&lt;&gt;"",1,0))</f>
        <v/>
      </c>
      <c r="X311" s="32"/>
      <c r="Y311" s="32"/>
      <c r="Z311" s="32"/>
      <c r="AA311" s="24"/>
      <c r="AB311" s="24"/>
      <c r="AC311" s="33" t="str">
        <f aca="false">IF(AND(G311&lt;&gt;"",L311&lt;&gt;"",X311&lt;&gt;""),(X311-L311)*1440,"")</f>
        <v/>
      </c>
      <c r="AD311" s="33" t="str">
        <f aca="false">IF(AND(G311&lt;&gt;"",X311&lt;&gt;"",Y311&lt;&gt;""),(Y311-X311)*1440,"")</f>
        <v/>
      </c>
      <c r="AE311" s="33" t="str">
        <f aca="false">IF(AND(G311&lt;&gt;"",Y311&lt;&gt;"",Z311&lt;&gt;""),(Z311-Y311)*1440,"")</f>
        <v/>
      </c>
      <c r="AF311" s="33" t="str">
        <f aca="false">IF(AND(G311&lt;&gt;"",L311&lt;&gt;"",Z311&lt;&gt;""),(Z311-L311)*1440,"")</f>
        <v/>
      </c>
      <c r="AG311" s="33" t="str">
        <f aca="false">IF(G311="","",IFERROR(INDEX(Settings!$D$5:$D$8,MATCH(G311,Settings!$A$5:$A$8,0)),""))</f>
        <v/>
      </c>
      <c r="AH311" s="25" t="str">
        <f aca="false">IF(G311="","",IF(AF311="","No",IF(AF311&lt;=AG311,"Yes","No")))</f>
        <v/>
      </c>
      <c r="AI311" s="25" t="str">
        <f aca="false">IF(G311="","",IF(L311="","N/A - Not Detected",IF(AND(X311="",Y311="",Z311=""),"No Containment Action",IF(Z311="",IF(Y311&lt;&gt;"","C2 Persisted","Host Isolation Gap"),IF(AF311&lt;=AG311,"Contained - Within SLA","Contained - SLA Breach")))))</f>
        <v/>
      </c>
      <c r="AJ311" s="25" t="str">
        <f aca="false">IF(G311="","",IF(Z311&lt;&gt;"",1,0))</f>
        <v/>
      </c>
      <c r="AK311" s="34"/>
      <c r="AL311" s="34"/>
      <c r="AM311" s="35"/>
      <c r="AN311" s="34"/>
      <c r="AO311" s="34"/>
      <c r="AP311" s="35"/>
      <c r="AQ311" s="34"/>
      <c r="AR311" s="34"/>
      <c r="AS311" s="34"/>
      <c r="AT311" s="35"/>
      <c r="AU311" s="35"/>
    </row>
    <row r="312" customFormat="false" ht="15" hidden="false" customHeight="false" outlineLevel="0" collapsed="false">
      <c r="A312" s="24"/>
      <c r="B312" s="24"/>
      <c r="C312" s="24"/>
      <c r="D312" s="24"/>
      <c r="E312" s="24"/>
      <c r="F312" s="24"/>
      <c r="G312" s="24"/>
      <c r="H312" s="24"/>
      <c r="I312" s="32"/>
      <c r="J312" s="32"/>
      <c r="K312" s="32"/>
      <c r="L312" s="32"/>
      <c r="M312" s="24"/>
      <c r="N312" s="24"/>
      <c r="O312" s="24"/>
      <c r="P312" s="33" t="str">
        <f aca="false">IF(AND(G312&lt;&gt;"",I312&lt;&gt;"",J312&lt;&gt;""),(J312-I312)*1440,"")</f>
        <v/>
      </c>
      <c r="Q312" s="33" t="str">
        <f aca="false">IF(AND(G312&lt;&gt;"",J312&lt;&gt;"",K312&lt;&gt;""),(K312-J312)*1440,"")</f>
        <v/>
      </c>
      <c r="R312" s="33" t="str">
        <f aca="false">IF(AND(G312&lt;&gt;"",K312&lt;&gt;"",L312&lt;&gt;""),(L312-K312)*1440,"")</f>
        <v/>
      </c>
      <c r="S312" s="33" t="str">
        <f aca="false">IF(AND(G312&lt;&gt;"",I312&lt;&gt;"",L312&lt;&gt;""),(L312-I312)*1440,"")</f>
        <v/>
      </c>
      <c r="T312" s="33" t="str">
        <f aca="false">IF(G312="","",IFERROR(INDEX(Settings!$B$5:$B$8,MATCH(G312,Settings!$A$5:$A$8,0)),""))</f>
        <v/>
      </c>
      <c r="U312" s="25" t="str">
        <f aca="false">IF(G312="","",IF(S312="","No",IF(S312&lt;=T312,"Yes","No")))</f>
        <v/>
      </c>
      <c r="V312" s="25" t="str">
        <f aca="false">IF(G312="","",IF(AND(J312="",K312="",L312=""),"Telemetry Blind Spot",IF(AND(K312="",L312=""),"Missed Alert",IF(L312="","Triage Delay",IF(S312&lt;=T312,"Detected - Within SLA",IF(AND(R312&lt;&gt;"",R312&gt;IFERROR(INDEX(Settings!$C$5:$C$8,MATCH(G312,Settings!$A$5:$A$8,0)),1E+099)),"Triage Delay","Detected - SLA Breach"))))))</f>
        <v/>
      </c>
      <c r="W312" s="25" t="str">
        <f aca="false">IF(G312="","",IF(L312&lt;&gt;"",1,0))</f>
        <v/>
      </c>
      <c r="X312" s="32"/>
      <c r="Y312" s="32"/>
      <c r="Z312" s="32"/>
      <c r="AA312" s="24"/>
      <c r="AB312" s="24"/>
      <c r="AC312" s="33" t="str">
        <f aca="false">IF(AND(G312&lt;&gt;"",L312&lt;&gt;"",X312&lt;&gt;""),(X312-L312)*1440,"")</f>
        <v/>
      </c>
      <c r="AD312" s="33" t="str">
        <f aca="false">IF(AND(G312&lt;&gt;"",X312&lt;&gt;"",Y312&lt;&gt;""),(Y312-X312)*1440,"")</f>
        <v/>
      </c>
      <c r="AE312" s="33" t="str">
        <f aca="false">IF(AND(G312&lt;&gt;"",Y312&lt;&gt;"",Z312&lt;&gt;""),(Z312-Y312)*1440,"")</f>
        <v/>
      </c>
      <c r="AF312" s="33" t="str">
        <f aca="false">IF(AND(G312&lt;&gt;"",L312&lt;&gt;"",Z312&lt;&gt;""),(Z312-L312)*1440,"")</f>
        <v/>
      </c>
      <c r="AG312" s="33" t="str">
        <f aca="false">IF(G312="","",IFERROR(INDEX(Settings!$D$5:$D$8,MATCH(G312,Settings!$A$5:$A$8,0)),""))</f>
        <v/>
      </c>
      <c r="AH312" s="25" t="str">
        <f aca="false">IF(G312="","",IF(AF312="","No",IF(AF312&lt;=AG312,"Yes","No")))</f>
        <v/>
      </c>
      <c r="AI312" s="25" t="str">
        <f aca="false">IF(G312="","",IF(L312="","N/A - Not Detected",IF(AND(X312="",Y312="",Z312=""),"No Containment Action",IF(Z312="",IF(Y312&lt;&gt;"","C2 Persisted","Host Isolation Gap"),IF(AF312&lt;=AG312,"Contained - Within SLA","Contained - SLA Breach")))))</f>
        <v/>
      </c>
      <c r="AJ312" s="25" t="str">
        <f aca="false">IF(G312="","",IF(Z312&lt;&gt;"",1,0))</f>
        <v/>
      </c>
      <c r="AK312" s="34"/>
      <c r="AL312" s="34"/>
      <c r="AM312" s="35"/>
      <c r="AN312" s="34"/>
      <c r="AO312" s="34"/>
      <c r="AP312" s="35"/>
      <c r="AQ312" s="34"/>
      <c r="AR312" s="34"/>
      <c r="AS312" s="34"/>
      <c r="AT312" s="35"/>
      <c r="AU312" s="35"/>
    </row>
    <row r="313" customFormat="false" ht="15" hidden="false" customHeight="false" outlineLevel="0" collapsed="false">
      <c r="A313" s="24"/>
      <c r="B313" s="24"/>
      <c r="C313" s="24"/>
      <c r="D313" s="24"/>
      <c r="E313" s="24"/>
      <c r="F313" s="24"/>
      <c r="G313" s="24"/>
      <c r="H313" s="24"/>
      <c r="I313" s="32"/>
      <c r="J313" s="32"/>
      <c r="K313" s="32"/>
      <c r="L313" s="32"/>
      <c r="M313" s="24"/>
      <c r="N313" s="24"/>
      <c r="O313" s="24"/>
      <c r="P313" s="33" t="str">
        <f aca="false">IF(AND(G313&lt;&gt;"",I313&lt;&gt;"",J313&lt;&gt;""),(J313-I313)*1440,"")</f>
        <v/>
      </c>
      <c r="Q313" s="33" t="str">
        <f aca="false">IF(AND(G313&lt;&gt;"",J313&lt;&gt;"",K313&lt;&gt;""),(K313-J313)*1440,"")</f>
        <v/>
      </c>
      <c r="R313" s="33" t="str">
        <f aca="false">IF(AND(G313&lt;&gt;"",K313&lt;&gt;"",L313&lt;&gt;""),(L313-K313)*1440,"")</f>
        <v/>
      </c>
      <c r="S313" s="33" t="str">
        <f aca="false">IF(AND(G313&lt;&gt;"",I313&lt;&gt;"",L313&lt;&gt;""),(L313-I313)*1440,"")</f>
        <v/>
      </c>
      <c r="T313" s="33" t="str">
        <f aca="false">IF(G313="","",IFERROR(INDEX(Settings!$B$5:$B$8,MATCH(G313,Settings!$A$5:$A$8,0)),""))</f>
        <v/>
      </c>
      <c r="U313" s="25" t="str">
        <f aca="false">IF(G313="","",IF(S313="","No",IF(S313&lt;=T313,"Yes","No")))</f>
        <v/>
      </c>
      <c r="V313" s="25" t="str">
        <f aca="false">IF(G313="","",IF(AND(J313="",K313="",L313=""),"Telemetry Blind Spot",IF(AND(K313="",L313=""),"Missed Alert",IF(L313="","Triage Delay",IF(S313&lt;=T313,"Detected - Within SLA",IF(AND(R313&lt;&gt;"",R313&gt;IFERROR(INDEX(Settings!$C$5:$C$8,MATCH(G313,Settings!$A$5:$A$8,0)),1E+099)),"Triage Delay","Detected - SLA Breach"))))))</f>
        <v/>
      </c>
      <c r="W313" s="25" t="str">
        <f aca="false">IF(G313="","",IF(L313&lt;&gt;"",1,0))</f>
        <v/>
      </c>
      <c r="X313" s="32"/>
      <c r="Y313" s="32"/>
      <c r="Z313" s="32"/>
      <c r="AA313" s="24"/>
      <c r="AB313" s="24"/>
      <c r="AC313" s="33" t="str">
        <f aca="false">IF(AND(G313&lt;&gt;"",L313&lt;&gt;"",X313&lt;&gt;""),(X313-L313)*1440,"")</f>
        <v/>
      </c>
      <c r="AD313" s="33" t="str">
        <f aca="false">IF(AND(G313&lt;&gt;"",X313&lt;&gt;"",Y313&lt;&gt;""),(Y313-X313)*1440,"")</f>
        <v/>
      </c>
      <c r="AE313" s="33" t="str">
        <f aca="false">IF(AND(G313&lt;&gt;"",Y313&lt;&gt;"",Z313&lt;&gt;""),(Z313-Y313)*1440,"")</f>
        <v/>
      </c>
      <c r="AF313" s="33" t="str">
        <f aca="false">IF(AND(G313&lt;&gt;"",L313&lt;&gt;"",Z313&lt;&gt;""),(Z313-L313)*1440,"")</f>
        <v/>
      </c>
      <c r="AG313" s="33" t="str">
        <f aca="false">IF(G313="","",IFERROR(INDEX(Settings!$D$5:$D$8,MATCH(G313,Settings!$A$5:$A$8,0)),""))</f>
        <v/>
      </c>
      <c r="AH313" s="25" t="str">
        <f aca="false">IF(G313="","",IF(AF313="","No",IF(AF313&lt;=AG313,"Yes","No")))</f>
        <v/>
      </c>
      <c r="AI313" s="25" t="str">
        <f aca="false">IF(G313="","",IF(L313="","N/A - Not Detected",IF(AND(X313="",Y313="",Z313=""),"No Containment Action",IF(Z313="",IF(Y313&lt;&gt;"","C2 Persisted","Host Isolation Gap"),IF(AF313&lt;=AG313,"Contained - Within SLA","Contained - SLA Breach")))))</f>
        <v/>
      </c>
      <c r="AJ313" s="25" t="str">
        <f aca="false">IF(G313="","",IF(Z313&lt;&gt;"",1,0))</f>
        <v/>
      </c>
      <c r="AK313" s="34"/>
      <c r="AL313" s="34"/>
      <c r="AM313" s="35"/>
      <c r="AN313" s="34"/>
      <c r="AO313" s="34"/>
      <c r="AP313" s="35"/>
      <c r="AQ313" s="34"/>
      <c r="AR313" s="34"/>
      <c r="AS313" s="34"/>
      <c r="AT313" s="35"/>
      <c r="AU313" s="35"/>
    </row>
    <row r="314" customFormat="false" ht="15" hidden="false" customHeight="false" outlineLevel="0" collapsed="false">
      <c r="A314" s="24"/>
      <c r="B314" s="24"/>
      <c r="C314" s="24"/>
      <c r="D314" s="24"/>
      <c r="E314" s="24"/>
      <c r="F314" s="24"/>
      <c r="G314" s="24"/>
      <c r="H314" s="24"/>
      <c r="I314" s="32"/>
      <c r="J314" s="32"/>
      <c r="K314" s="32"/>
      <c r="L314" s="32"/>
      <c r="M314" s="24"/>
      <c r="N314" s="24"/>
      <c r="O314" s="24"/>
      <c r="P314" s="33" t="str">
        <f aca="false">IF(AND(G314&lt;&gt;"",I314&lt;&gt;"",J314&lt;&gt;""),(J314-I314)*1440,"")</f>
        <v/>
      </c>
      <c r="Q314" s="33" t="str">
        <f aca="false">IF(AND(G314&lt;&gt;"",J314&lt;&gt;"",K314&lt;&gt;""),(K314-J314)*1440,"")</f>
        <v/>
      </c>
      <c r="R314" s="33" t="str">
        <f aca="false">IF(AND(G314&lt;&gt;"",K314&lt;&gt;"",L314&lt;&gt;""),(L314-K314)*1440,"")</f>
        <v/>
      </c>
      <c r="S314" s="33" t="str">
        <f aca="false">IF(AND(G314&lt;&gt;"",I314&lt;&gt;"",L314&lt;&gt;""),(L314-I314)*1440,"")</f>
        <v/>
      </c>
      <c r="T314" s="33" t="str">
        <f aca="false">IF(G314="","",IFERROR(INDEX(Settings!$B$5:$B$8,MATCH(G314,Settings!$A$5:$A$8,0)),""))</f>
        <v/>
      </c>
      <c r="U314" s="25" t="str">
        <f aca="false">IF(G314="","",IF(S314="","No",IF(S314&lt;=T314,"Yes","No")))</f>
        <v/>
      </c>
      <c r="V314" s="25" t="str">
        <f aca="false">IF(G314="","",IF(AND(J314="",K314="",L314=""),"Telemetry Blind Spot",IF(AND(K314="",L314=""),"Missed Alert",IF(L314="","Triage Delay",IF(S314&lt;=T314,"Detected - Within SLA",IF(AND(R314&lt;&gt;"",R314&gt;IFERROR(INDEX(Settings!$C$5:$C$8,MATCH(G314,Settings!$A$5:$A$8,0)),1E+099)),"Triage Delay","Detected - SLA Breach"))))))</f>
        <v/>
      </c>
      <c r="W314" s="25" t="str">
        <f aca="false">IF(G314="","",IF(L314&lt;&gt;"",1,0))</f>
        <v/>
      </c>
      <c r="X314" s="32"/>
      <c r="Y314" s="32"/>
      <c r="Z314" s="32"/>
      <c r="AA314" s="24"/>
      <c r="AB314" s="24"/>
      <c r="AC314" s="33" t="str">
        <f aca="false">IF(AND(G314&lt;&gt;"",L314&lt;&gt;"",X314&lt;&gt;""),(X314-L314)*1440,"")</f>
        <v/>
      </c>
      <c r="AD314" s="33" t="str">
        <f aca="false">IF(AND(G314&lt;&gt;"",X314&lt;&gt;"",Y314&lt;&gt;""),(Y314-X314)*1440,"")</f>
        <v/>
      </c>
      <c r="AE314" s="33" t="str">
        <f aca="false">IF(AND(G314&lt;&gt;"",Y314&lt;&gt;"",Z314&lt;&gt;""),(Z314-Y314)*1440,"")</f>
        <v/>
      </c>
      <c r="AF314" s="33" t="str">
        <f aca="false">IF(AND(G314&lt;&gt;"",L314&lt;&gt;"",Z314&lt;&gt;""),(Z314-L314)*1440,"")</f>
        <v/>
      </c>
      <c r="AG314" s="33" t="str">
        <f aca="false">IF(G314="","",IFERROR(INDEX(Settings!$D$5:$D$8,MATCH(G314,Settings!$A$5:$A$8,0)),""))</f>
        <v/>
      </c>
      <c r="AH314" s="25" t="str">
        <f aca="false">IF(G314="","",IF(AF314="","No",IF(AF314&lt;=AG314,"Yes","No")))</f>
        <v/>
      </c>
      <c r="AI314" s="25" t="str">
        <f aca="false">IF(G314="","",IF(L314="","N/A - Not Detected",IF(AND(X314="",Y314="",Z314=""),"No Containment Action",IF(Z314="",IF(Y314&lt;&gt;"","C2 Persisted","Host Isolation Gap"),IF(AF314&lt;=AG314,"Contained - Within SLA","Contained - SLA Breach")))))</f>
        <v/>
      </c>
      <c r="AJ314" s="25" t="str">
        <f aca="false">IF(G314="","",IF(Z314&lt;&gt;"",1,0))</f>
        <v/>
      </c>
      <c r="AK314" s="34"/>
      <c r="AL314" s="34"/>
      <c r="AM314" s="35"/>
      <c r="AN314" s="34"/>
      <c r="AO314" s="34"/>
      <c r="AP314" s="35"/>
      <c r="AQ314" s="34"/>
      <c r="AR314" s="34"/>
      <c r="AS314" s="34"/>
      <c r="AT314" s="35"/>
      <c r="AU314" s="35"/>
    </row>
    <row r="315" customFormat="false" ht="15" hidden="false" customHeight="false" outlineLevel="0" collapsed="false">
      <c r="A315" s="24"/>
      <c r="B315" s="24"/>
      <c r="C315" s="24"/>
      <c r="D315" s="24"/>
      <c r="E315" s="24"/>
      <c r="F315" s="24"/>
      <c r="G315" s="24"/>
      <c r="H315" s="24"/>
      <c r="I315" s="32"/>
      <c r="J315" s="32"/>
      <c r="K315" s="32"/>
      <c r="L315" s="32"/>
      <c r="M315" s="24"/>
      <c r="N315" s="24"/>
      <c r="O315" s="24"/>
      <c r="P315" s="33" t="str">
        <f aca="false">IF(AND(G315&lt;&gt;"",I315&lt;&gt;"",J315&lt;&gt;""),(J315-I315)*1440,"")</f>
        <v/>
      </c>
      <c r="Q315" s="33" t="str">
        <f aca="false">IF(AND(G315&lt;&gt;"",J315&lt;&gt;"",K315&lt;&gt;""),(K315-J315)*1440,"")</f>
        <v/>
      </c>
      <c r="R315" s="33" t="str">
        <f aca="false">IF(AND(G315&lt;&gt;"",K315&lt;&gt;"",L315&lt;&gt;""),(L315-K315)*1440,"")</f>
        <v/>
      </c>
      <c r="S315" s="33" t="str">
        <f aca="false">IF(AND(G315&lt;&gt;"",I315&lt;&gt;"",L315&lt;&gt;""),(L315-I315)*1440,"")</f>
        <v/>
      </c>
      <c r="T315" s="33" t="str">
        <f aca="false">IF(G315="","",IFERROR(INDEX(Settings!$B$5:$B$8,MATCH(G315,Settings!$A$5:$A$8,0)),""))</f>
        <v/>
      </c>
      <c r="U315" s="25" t="str">
        <f aca="false">IF(G315="","",IF(S315="","No",IF(S315&lt;=T315,"Yes","No")))</f>
        <v/>
      </c>
      <c r="V315" s="25" t="str">
        <f aca="false">IF(G315="","",IF(AND(J315="",K315="",L315=""),"Telemetry Blind Spot",IF(AND(K315="",L315=""),"Missed Alert",IF(L315="","Triage Delay",IF(S315&lt;=T315,"Detected - Within SLA",IF(AND(R315&lt;&gt;"",R315&gt;IFERROR(INDEX(Settings!$C$5:$C$8,MATCH(G315,Settings!$A$5:$A$8,0)),1E+099)),"Triage Delay","Detected - SLA Breach"))))))</f>
        <v/>
      </c>
      <c r="W315" s="25" t="str">
        <f aca="false">IF(G315="","",IF(L315&lt;&gt;"",1,0))</f>
        <v/>
      </c>
      <c r="X315" s="32"/>
      <c r="Y315" s="32"/>
      <c r="Z315" s="32"/>
      <c r="AA315" s="24"/>
      <c r="AB315" s="24"/>
      <c r="AC315" s="33" t="str">
        <f aca="false">IF(AND(G315&lt;&gt;"",L315&lt;&gt;"",X315&lt;&gt;""),(X315-L315)*1440,"")</f>
        <v/>
      </c>
      <c r="AD315" s="33" t="str">
        <f aca="false">IF(AND(G315&lt;&gt;"",X315&lt;&gt;"",Y315&lt;&gt;""),(Y315-X315)*1440,"")</f>
        <v/>
      </c>
      <c r="AE315" s="33" t="str">
        <f aca="false">IF(AND(G315&lt;&gt;"",Y315&lt;&gt;"",Z315&lt;&gt;""),(Z315-Y315)*1440,"")</f>
        <v/>
      </c>
      <c r="AF315" s="33" t="str">
        <f aca="false">IF(AND(G315&lt;&gt;"",L315&lt;&gt;"",Z315&lt;&gt;""),(Z315-L315)*1440,"")</f>
        <v/>
      </c>
      <c r="AG315" s="33" t="str">
        <f aca="false">IF(G315="","",IFERROR(INDEX(Settings!$D$5:$D$8,MATCH(G315,Settings!$A$5:$A$8,0)),""))</f>
        <v/>
      </c>
      <c r="AH315" s="25" t="str">
        <f aca="false">IF(G315="","",IF(AF315="","No",IF(AF315&lt;=AG315,"Yes","No")))</f>
        <v/>
      </c>
      <c r="AI315" s="25" t="str">
        <f aca="false">IF(G315="","",IF(L315="","N/A - Not Detected",IF(AND(X315="",Y315="",Z315=""),"No Containment Action",IF(Z315="",IF(Y315&lt;&gt;"","C2 Persisted","Host Isolation Gap"),IF(AF315&lt;=AG315,"Contained - Within SLA","Contained - SLA Breach")))))</f>
        <v/>
      </c>
      <c r="AJ315" s="25" t="str">
        <f aca="false">IF(G315="","",IF(Z315&lt;&gt;"",1,0))</f>
        <v/>
      </c>
      <c r="AK315" s="34"/>
      <c r="AL315" s="34"/>
      <c r="AM315" s="35"/>
      <c r="AN315" s="34"/>
      <c r="AO315" s="34"/>
      <c r="AP315" s="35"/>
      <c r="AQ315" s="34"/>
      <c r="AR315" s="34"/>
      <c r="AS315" s="34"/>
      <c r="AT315" s="35"/>
      <c r="AU315" s="35"/>
    </row>
    <row r="316" customFormat="false" ht="15" hidden="false" customHeight="false" outlineLevel="0" collapsed="false">
      <c r="A316" s="24"/>
      <c r="B316" s="24"/>
      <c r="C316" s="24"/>
      <c r="D316" s="24"/>
      <c r="E316" s="24"/>
      <c r="F316" s="24"/>
      <c r="G316" s="24"/>
      <c r="H316" s="24"/>
      <c r="I316" s="32"/>
      <c r="J316" s="32"/>
      <c r="K316" s="32"/>
      <c r="L316" s="32"/>
      <c r="M316" s="24"/>
      <c r="N316" s="24"/>
      <c r="O316" s="24"/>
      <c r="P316" s="33" t="str">
        <f aca="false">IF(AND(G316&lt;&gt;"",I316&lt;&gt;"",J316&lt;&gt;""),(J316-I316)*1440,"")</f>
        <v/>
      </c>
      <c r="Q316" s="33" t="str">
        <f aca="false">IF(AND(G316&lt;&gt;"",J316&lt;&gt;"",K316&lt;&gt;""),(K316-J316)*1440,"")</f>
        <v/>
      </c>
      <c r="R316" s="33" t="str">
        <f aca="false">IF(AND(G316&lt;&gt;"",K316&lt;&gt;"",L316&lt;&gt;""),(L316-K316)*1440,"")</f>
        <v/>
      </c>
      <c r="S316" s="33" t="str">
        <f aca="false">IF(AND(G316&lt;&gt;"",I316&lt;&gt;"",L316&lt;&gt;""),(L316-I316)*1440,"")</f>
        <v/>
      </c>
      <c r="T316" s="33" t="str">
        <f aca="false">IF(G316="","",IFERROR(INDEX(Settings!$B$5:$B$8,MATCH(G316,Settings!$A$5:$A$8,0)),""))</f>
        <v/>
      </c>
      <c r="U316" s="25" t="str">
        <f aca="false">IF(G316="","",IF(S316="","No",IF(S316&lt;=T316,"Yes","No")))</f>
        <v/>
      </c>
      <c r="V316" s="25" t="str">
        <f aca="false">IF(G316="","",IF(AND(J316="",K316="",L316=""),"Telemetry Blind Spot",IF(AND(K316="",L316=""),"Missed Alert",IF(L316="","Triage Delay",IF(S316&lt;=T316,"Detected - Within SLA",IF(AND(R316&lt;&gt;"",R316&gt;IFERROR(INDEX(Settings!$C$5:$C$8,MATCH(G316,Settings!$A$5:$A$8,0)),1E+099)),"Triage Delay","Detected - SLA Breach"))))))</f>
        <v/>
      </c>
      <c r="W316" s="25" t="str">
        <f aca="false">IF(G316="","",IF(L316&lt;&gt;"",1,0))</f>
        <v/>
      </c>
      <c r="X316" s="32"/>
      <c r="Y316" s="32"/>
      <c r="Z316" s="32"/>
      <c r="AA316" s="24"/>
      <c r="AB316" s="24"/>
      <c r="AC316" s="33" t="str">
        <f aca="false">IF(AND(G316&lt;&gt;"",L316&lt;&gt;"",X316&lt;&gt;""),(X316-L316)*1440,"")</f>
        <v/>
      </c>
      <c r="AD316" s="33" t="str">
        <f aca="false">IF(AND(G316&lt;&gt;"",X316&lt;&gt;"",Y316&lt;&gt;""),(Y316-X316)*1440,"")</f>
        <v/>
      </c>
      <c r="AE316" s="33" t="str">
        <f aca="false">IF(AND(G316&lt;&gt;"",Y316&lt;&gt;"",Z316&lt;&gt;""),(Z316-Y316)*1440,"")</f>
        <v/>
      </c>
      <c r="AF316" s="33" t="str">
        <f aca="false">IF(AND(G316&lt;&gt;"",L316&lt;&gt;"",Z316&lt;&gt;""),(Z316-L316)*1440,"")</f>
        <v/>
      </c>
      <c r="AG316" s="33" t="str">
        <f aca="false">IF(G316="","",IFERROR(INDEX(Settings!$D$5:$D$8,MATCH(G316,Settings!$A$5:$A$8,0)),""))</f>
        <v/>
      </c>
      <c r="AH316" s="25" t="str">
        <f aca="false">IF(G316="","",IF(AF316="","No",IF(AF316&lt;=AG316,"Yes","No")))</f>
        <v/>
      </c>
      <c r="AI316" s="25" t="str">
        <f aca="false">IF(G316="","",IF(L316="","N/A - Not Detected",IF(AND(X316="",Y316="",Z316=""),"No Containment Action",IF(Z316="",IF(Y316&lt;&gt;"","C2 Persisted","Host Isolation Gap"),IF(AF316&lt;=AG316,"Contained - Within SLA","Contained - SLA Breach")))))</f>
        <v/>
      </c>
      <c r="AJ316" s="25" t="str">
        <f aca="false">IF(G316="","",IF(Z316&lt;&gt;"",1,0))</f>
        <v/>
      </c>
      <c r="AK316" s="34"/>
      <c r="AL316" s="34"/>
      <c r="AM316" s="35"/>
      <c r="AN316" s="34"/>
      <c r="AO316" s="34"/>
      <c r="AP316" s="35"/>
      <c r="AQ316" s="34"/>
      <c r="AR316" s="34"/>
      <c r="AS316" s="34"/>
      <c r="AT316" s="35"/>
      <c r="AU316" s="35"/>
    </row>
    <row r="317" customFormat="false" ht="15" hidden="false" customHeight="false" outlineLevel="0" collapsed="false">
      <c r="A317" s="24"/>
      <c r="B317" s="24"/>
      <c r="C317" s="24"/>
      <c r="D317" s="24"/>
      <c r="E317" s="24"/>
      <c r="F317" s="24"/>
      <c r="G317" s="24"/>
      <c r="H317" s="24"/>
      <c r="I317" s="32"/>
      <c r="J317" s="32"/>
      <c r="K317" s="32"/>
      <c r="L317" s="32"/>
      <c r="M317" s="24"/>
      <c r="N317" s="24"/>
      <c r="O317" s="24"/>
      <c r="P317" s="33" t="str">
        <f aca="false">IF(AND(G317&lt;&gt;"",I317&lt;&gt;"",J317&lt;&gt;""),(J317-I317)*1440,"")</f>
        <v/>
      </c>
      <c r="Q317" s="33" t="str">
        <f aca="false">IF(AND(G317&lt;&gt;"",J317&lt;&gt;"",K317&lt;&gt;""),(K317-J317)*1440,"")</f>
        <v/>
      </c>
      <c r="R317" s="33" t="str">
        <f aca="false">IF(AND(G317&lt;&gt;"",K317&lt;&gt;"",L317&lt;&gt;""),(L317-K317)*1440,"")</f>
        <v/>
      </c>
      <c r="S317" s="33" t="str">
        <f aca="false">IF(AND(G317&lt;&gt;"",I317&lt;&gt;"",L317&lt;&gt;""),(L317-I317)*1440,"")</f>
        <v/>
      </c>
      <c r="T317" s="33" t="str">
        <f aca="false">IF(G317="","",IFERROR(INDEX(Settings!$B$5:$B$8,MATCH(G317,Settings!$A$5:$A$8,0)),""))</f>
        <v/>
      </c>
      <c r="U317" s="25" t="str">
        <f aca="false">IF(G317="","",IF(S317="","No",IF(S317&lt;=T317,"Yes","No")))</f>
        <v/>
      </c>
      <c r="V317" s="25" t="str">
        <f aca="false">IF(G317="","",IF(AND(J317="",K317="",L317=""),"Telemetry Blind Spot",IF(AND(K317="",L317=""),"Missed Alert",IF(L317="","Triage Delay",IF(S317&lt;=T317,"Detected - Within SLA",IF(AND(R317&lt;&gt;"",R317&gt;IFERROR(INDEX(Settings!$C$5:$C$8,MATCH(G317,Settings!$A$5:$A$8,0)),1E+099)),"Triage Delay","Detected - SLA Breach"))))))</f>
        <v/>
      </c>
      <c r="W317" s="25" t="str">
        <f aca="false">IF(G317="","",IF(L317&lt;&gt;"",1,0))</f>
        <v/>
      </c>
      <c r="X317" s="32"/>
      <c r="Y317" s="32"/>
      <c r="Z317" s="32"/>
      <c r="AA317" s="24"/>
      <c r="AB317" s="24"/>
      <c r="AC317" s="33" t="str">
        <f aca="false">IF(AND(G317&lt;&gt;"",L317&lt;&gt;"",X317&lt;&gt;""),(X317-L317)*1440,"")</f>
        <v/>
      </c>
      <c r="AD317" s="33" t="str">
        <f aca="false">IF(AND(G317&lt;&gt;"",X317&lt;&gt;"",Y317&lt;&gt;""),(Y317-X317)*1440,"")</f>
        <v/>
      </c>
      <c r="AE317" s="33" t="str">
        <f aca="false">IF(AND(G317&lt;&gt;"",Y317&lt;&gt;"",Z317&lt;&gt;""),(Z317-Y317)*1440,"")</f>
        <v/>
      </c>
      <c r="AF317" s="33" t="str">
        <f aca="false">IF(AND(G317&lt;&gt;"",L317&lt;&gt;"",Z317&lt;&gt;""),(Z317-L317)*1440,"")</f>
        <v/>
      </c>
      <c r="AG317" s="33" t="str">
        <f aca="false">IF(G317="","",IFERROR(INDEX(Settings!$D$5:$D$8,MATCH(G317,Settings!$A$5:$A$8,0)),""))</f>
        <v/>
      </c>
      <c r="AH317" s="25" t="str">
        <f aca="false">IF(G317="","",IF(AF317="","No",IF(AF317&lt;=AG317,"Yes","No")))</f>
        <v/>
      </c>
      <c r="AI317" s="25" t="str">
        <f aca="false">IF(G317="","",IF(L317="","N/A - Not Detected",IF(AND(X317="",Y317="",Z317=""),"No Containment Action",IF(Z317="",IF(Y317&lt;&gt;"","C2 Persisted","Host Isolation Gap"),IF(AF317&lt;=AG317,"Contained - Within SLA","Contained - SLA Breach")))))</f>
        <v/>
      </c>
      <c r="AJ317" s="25" t="str">
        <f aca="false">IF(G317="","",IF(Z317&lt;&gt;"",1,0))</f>
        <v/>
      </c>
      <c r="AK317" s="34"/>
      <c r="AL317" s="34"/>
      <c r="AM317" s="35"/>
      <c r="AN317" s="34"/>
      <c r="AO317" s="34"/>
      <c r="AP317" s="35"/>
      <c r="AQ317" s="34"/>
      <c r="AR317" s="34"/>
      <c r="AS317" s="34"/>
      <c r="AT317" s="35"/>
      <c r="AU317" s="35"/>
    </row>
    <row r="318" customFormat="false" ht="15" hidden="false" customHeight="false" outlineLevel="0" collapsed="false">
      <c r="A318" s="24"/>
      <c r="B318" s="24"/>
      <c r="C318" s="24"/>
      <c r="D318" s="24"/>
      <c r="E318" s="24"/>
      <c r="F318" s="24"/>
      <c r="G318" s="24"/>
      <c r="H318" s="24"/>
      <c r="I318" s="32"/>
      <c r="J318" s="32"/>
      <c r="K318" s="32"/>
      <c r="L318" s="32"/>
      <c r="M318" s="24"/>
      <c r="N318" s="24"/>
      <c r="O318" s="24"/>
      <c r="P318" s="33" t="str">
        <f aca="false">IF(AND(G318&lt;&gt;"",I318&lt;&gt;"",J318&lt;&gt;""),(J318-I318)*1440,"")</f>
        <v/>
      </c>
      <c r="Q318" s="33" t="str">
        <f aca="false">IF(AND(G318&lt;&gt;"",J318&lt;&gt;"",K318&lt;&gt;""),(K318-J318)*1440,"")</f>
        <v/>
      </c>
      <c r="R318" s="33" t="str">
        <f aca="false">IF(AND(G318&lt;&gt;"",K318&lt;&gt;"",L318&lt;&gt;""),(L318-K318)*1440,"")</f>
        <v/>
      </c>
      <c r="S318" s="33" t="str">
        <f aca="false">IF(AND(G318&lt;&gt;"",I318&lt;&gt;"",L318&lt;&gt;""),(L318-I318)*1440,"")</f>
        <v/>
      </c>
      <c r="T318" s="33" t="str">
        <f aca="false">IF(G318="","",IFERROR(INDEX(Settings!$B$5:$B$8,MATCH(G318,Settings!$A$5:$A$8,0)),""))</f>
        <v/>
      </c>
      <c r="U318" s="25" t="str">
        <f aca="false">IF(G318="","",IF(S318="","No",IF(S318&lt;=T318,"Yes","No")))</f>
        <v/>
      </c>
      <c r="V318" s="25" t="str">
        <f aca="false">IF(G318="","",IF(AND(J318="",K318="",L318=""),"Telemetry Blind Spot",IF(AND(K318="",L318=""),"Missed Alert",IF(L318="","Triage Delay",IF(S318&lt;=T318,"Detected - Within SLA",IF(AND(R318&lt;&gt;"",R318&gt;IFERROR(INDEX(Settings!$C$5:$C$8,MATCH(G318,Settings!$A$5:$A$8,0)),1E+099)),"Triage Delay","Detected - SLA Breach"))))))</f>
        <v/>
      </c>
      <c r="W318" s="25" t="str">
        <f aca="false">IF(G318="","",IF(L318&lt;&gt;"",1,0))</f>
        <v/>
      </c>
      <c r="X318" s="32"/>
      <c r="Y318" s="32"/>
      <c r="Z318" s="32"/>
      <c r="AA318" s="24"/>
      <c r="AB318" s="24"/>
      <c r="AC318" s="33" t="str">
        <f aca="false">IF(AND(G318&lt;&gt;"",L318&lt;&gt;"",X318&lt;&gt;""),(X318-L318)*1440,"")</f>
        <v/>
      </c>
      <c r="AD318" s="33" t="str">
        <f aca="false">IF(AND(G318&lt;&gt;"",X318&lt;&gt;"",Y318&lt;&gt;""),(Y318-X318)*1440,"")</f>
        <v/>
      </c>
      <c r="AE318" s="33" t="str">
        <f aca="false">IF(AND(G318&lt;&gt;"",Y318&lt;&gt;"",Z318&lt;&gt;""),(Z318-Y318)*1440,"")</f>
        <v/>
      </c>
      <c r="AF318" s="33" t="str">
        <f aca="false">IF(AND(G318&lt;&gt;"",L318&lt;&gt;"",Z318&lt;&gt;""),(Z318-L318)*1440,"")</f>
        <v/>
      </c>
      <c r="AG318" s="33" t="str">
        <f aca="false">IF(G318="","",IFERROR(INDEX(Settings!$D$5:$D$8,MATCH(G318,Settings!$A$5:$A$8,0)),""))</f>
        <v/>
      </c>
      <c r="AH318" s="25" t="str">
        <f aca="false">IF(G318="","",IF(AF318="","No",IF(AF318&lt;=AG318,"Yes","No")))</f>
        <v/>
      </c>
      <c r="AI318" s="25" t="str">
        <f aca="false">IF(G318="","",IF(L318="","N/A - Not Detected",IF(AND(X318="",Y318="",Z318=""),"No Containment Action",IF(Z318="",IF(Y318&lt;&gt;"","C2 Persisted","Host Isolation Gap"),IF(AF318&lt;=AG318,"Contained - Within SLA","Contained - SLA Breach")))))</f>
        <v/>
      </c>
      <c r="AJ318" s="25" t="str">
        <f aca="false">IF(G318="","",IF(Z318&lt;&gt;"",1,0))</f>
        <v/>
      </c>
      <c r="AK318" s="34"/>
      <c r="AL318" s="34"/>
      <c r="AM318" s="35"/>
      <c r="AN318" s="34"/>
      <c r="AO318" s="34"/>
      <c r="AP318" s="35"/>
      <c r="AQ318" s="34"/>
      <c r="AR318" s="34"/>
      <c r="AS318" s="34"/>
      <c r="AT318" s="35"/>
      <c r="AU318" s="35"/>
    </row>
    <row r="319" customFormat="false" ht="15" hidden="false" customHeight="false" outlineLevel="0" collapsed="false">
      <c r="A319" s="24"/>
      <c r="B319" s="24"/>
      <c r="C319" s="24"/>
      <c r="D319" s="24"/>
      <c r="E319" s="24"/>
      <c r="F319" s="24"/>
      <c r="G319" s="24"/>
      <c r="H319" s="24"/>
      <c r="I319" s="32"/>
      <c r="J319" s="32"/>
      <c r="K319" s="32"/>
      <c r="L319" s="32"/>
      <c r="M319" s="24"/>
      <c r="N319" s="24"/>
      <c r="O319" s="24"/>
      <c r="P319" s="33" t="str">
        <f aca="false">IF(AND(G319&lt;&gt;"",I319&lt;&gt;"",J319&lt;&gt;""),(J319-I319)*1440,"")</f>
        <v/>
      </c>
      <c r="Q319" s="33" t="str">
        <f aca="false">IF(AND(G319&lt;&gt;"",J319&lt;&gt;"",K319&lt;&gt;""),(K319-J319)*1440,"")</f>
        <v/>
      </c>
      <c r="R319" s="33" t="str">
        <f aca="false">IF(AND(G319&lt;&gt;"",K319&lt;&gt;"",L319&lt;&gt;""),(L319-K319)*1440,"")</f>
        <v/>
      </c>
      <c r="S319" s="33" t="str">
        <f aca="false">IF(AND(G319&lt;&gt;"",I319&lt;&gt;"",L319&lt;&gt;""),(L319-I319)*1440,"")</f>
        <v/>
      </c>
      <c r="T319" s="33" t="str">
        <f aca="false">IF(G319="","",IFERROR(INDEX(Settings!$B$5:$B$8,MATCH(G319,Settings!$A$5:$A$8,0)),""))</f>
        <v/>
      </c>
      <c r="U319" s="25" t="str">
        <f aca="false">IF(G319="","",IF(S319="","No",IF(S319&lt;=T319,"Yes","No")))</f>
        <v/>
      </c>
      <c r="V319" s="25" t="str">
        <f aca="false">IF(G319="","",IF(AND(J319="",K319="",L319=""),"Telemetry Blind Spot",IF(AND(K319="",L319=""),"Missed Alert",IF(L319="","Triage Delay",IF(S319&lt;=T319,"Detected - Within SLA",IF(AND(R319&lt;&gt;"",R319&gt;IFERROR(INDEX(Settings!$C$5:$C$8,MATCH(G319,Settings!$A$5:$A$8,0)),1E+099)),"Triage Delay","Detected - SLA Breach"))))))</f>
        <v/>
      </c>
      <c r="W319" s="25" t="str">
        <f aca="false">IF(G319="","",IF(L319&lt;&gt;"",1,0))</f>
        <v/>
      </c>
      <c r="X319" s="32"/>
      <c r="Y319" s="32"/>
      <c r="Z319" s="32"/>
      <c r="AA319" s="24"/>
      <c r="AB319" s="24"/>
      <c r="AC319" s="33" t="str">
        <f aca="false">IF(AND(G319&lt;&gt;"",L319&lt;&gt;"",X319&lt;&gt;""),(X319-L319)*1440,"")</f>
        <v/>
      </c>
      <c r="AD319" s="33" t="str">
        <f aca="false">IF(AND(G319&lt;&gt;"",X319&lt;&gt;"",Y319&lt;&gt;""),(Y319-X319)*1440,"")</f>
        <v/>
      </c>
      <c r="AE319" s="33" t="str">
        <f aca="false">IF(AND(G319&lt;&gt;"",Y319&lt;&gt;"",Z319&lt;&gt;""),(Z319-Y319)*1440,"")</f>
        <v/>
      </c>
      <c r="AF319" s="33" t="str">
        <f aca="false">IF(AND(G319&lt;&gt;"",L319&lt;&gt;"",Z319&lt;&gt;""),(Z319-L319)*1440,"")</f>
        <v/>
      </c>
      <c r="AG319" s="33" t="str">
        <f aca="false">IF(G319="","",IFERROR(INDEX(Settings!$D$5:$D$8,MATCH(G319,Settings!$A$5:$A$8,0)),""))</f>
        <v/>
      </c>
      <c r="AH319" s="25" t="str">
        <f aca="false">IF(G319="","",IF(AF319="","No",IF(AF319&lt;=AG319,"Yes","No")))</f>
        <v/>
      </c>
      <c r="AI319" s="25" t="str">
        <f aca="false">IF(G319="","",IF(L319="","N/A - Not Detected",IF(AND(X319="",Y319="",Z319=""),"No Containment Action",IF(Z319="",IF(Y319&lt;&gt;"","C2 Persisted","Host Isolation Gap"),IF(AF319&lt;=AG319,"Contained - Within SLA","Contained - SLA Breach")))))</f>
        <v/>
      </c>
      <c r="AJ319" s="25" t="str">
        <f aca="false">IF(G319="","",IF(Z319&lt;&gt;"",1,0))</f>
        <v/>
      </c>
      <c r="AK319" s="34"/>
      <c r="AL319" s="34"/>
      <c r="AM319" s="35"/>
      <c r="AN319" s="34"/>
      <c r="AO319" s="34"/>
      <c r="AP319" s="35"/>
      <c r="AQ319" s="34"/>
      <c r="AR319" s="34"/>
      <c r="AS319" s="34"/>
      <c r="AT319" s="35"/>
      <c r="AU319" s="35"/>
    </row>
    <row r="320" customFormat="false" ht="15" hidden="false" customHeight="false" outlineLevel="0" collapsed="false">
      <c r="A320" s="24"/>
      <c r="B320" s="24"/>
      <c r="C320" s="24"/>
      <c r="D320" s="24"/>
      <c r="E320" s="24"/>
      <c r="F320" s="24"/>
      <c r="G320" s="24"/>
      <c r="H320" s="24"/>
      <c r="I320" s="32"/>
      <c r="J320" s="32"/>
      <c r="K320" s="32"/>
      <c r="L320" s="32"/>
      <c r="M320" s="24"/>
      <c r="N320" s="24"/>
      <c r="O320" s="24"/>
      <c r="P320" s="33" t="str">
        <f aca="false">IF(AND(G320&lt;&gt;"",I320&lt;&gt;"",J320&lt;&gt;""),(J320-I320)*1440,"")</f>
        <v/>
      </c>
      <c r="Q320" s="33" t="str">
        <f aca="false">IF(AND(G320&lt;&gt;"",J320&lt;&gt;"",K320&lt;&gt;""),(K320-J320)*1440,"")</f>
        <v/>
      </c>
      <c r="R320" s="33" t="str">
        <f aca="false">IF(AND(G320&lt;&gt;"",K320&lt;&gt;"",L320&lt;&gt;""),(L320-K320)*1440,"")</f>
        <v/>
      </c>
      <c r="S320" s="33" t="str">
        <f aca="false">IF(AND(G320&lt;&gt;"",I320&lt;&gt;"",L320&lt;&gt;""),(L320-I320)*1440,"")</f>
        <v/>
      </c>
      <c r="T320" s="33" t="str">
        <f aca="false">IF(G320="","",IFERROR(INDEX(Settings!$B$5:$B$8,MATCH(G320,Settings!$A$5:$A$8,0)),""))</f>
        <v/>
      </c>
      <c r="U320" s="25" t="str">
        <f aca="false">IF(G320="","",IF(S320="","No",IF(S320&lt;=T320,"Yes","No")))</f>
        <v/>
      </c>
      <c r="V320" s="25" t="str">
        <f aca="false">IF(G320="","",IF(AND(J320="",K320="",L320=""),"Telemetry Blind Spot",IF(AND(K320="",L320=""),"Missed Alert",IF(L320="","Triage Delay",IF(S320&lt;=T320,"Detected - Within SLA",IF(AND(R320&lt;&gt;"",R320&gt;IFERROR(INDEX(Settings!$C$5:$C$8,MATCH(G320,Settings!$A$5:$A$8,0)),1E+099)),"Triage Delay","Detected - SLA Breach"))))))</f>
        <v/>
      </c>
      <c r="W320" s="25" t="str">
        <f aca="false">IF(G320="","",IF(L320&lt;&gt;"",1,0))</f>
        <v/>
      </c>
      <c r="X320" s="32"/>
      <c r="Y320" s="32"/>
      <c r="Z320" s="32"/>
      <c r="AA320" s="24"/>
      <c r="AB320" s="24"/>
      <c r="AC320" s="33" t="str">
        <f aca="false">IF(AND(G320&lt;&gt;"",L320&lt;&gt;"",X320&lt;&gt;""),(X320-L320)*1440,"")</f>
        <v/>
      </c>
      <c r="AD320" s="33" t="str">
        <f aca="false">IF(AND(G320&lt;&gt;"",X320&lt;&gt;"",Y320&lt;&gt;""),(Y320-X320)*1440,"")</f>
        <v/>
      </c>
      <c r="AE320" s="33" t="str">
        <f aca="false">IF(AND(G320&lt;&gt;"",Y320&lt;&gt;"",Z320&lt;&gt;""),(Z320-Y320)*1440,"")</f>
        <v/>
      </c>
      <c r="AF320" s="33" t="str">
        <f aca="false">IF(AND(G320&lt;&gt;"",L320&lt;&gt;"",Z320&lt;&gt;""),(Z320-L320)*1440,"")</f>
        <v/>
      </c>
      <c r="AG320" s="33" t="str">
        <f aca="false">IF(G320="","",IFERROR(INDEX(Settings!$D$5:$D$8,MATCH(G320,Settings!$A$5:$A$8,0)),""))</f>
        <v/>
      </c>
      <c r="AH320" s="25" t="str">
        <f aca="false">IF(G320="","",IF(AF320="","No",IF(AF320&lt;=AG320,"Yes","No")))</f>
        <v/>
      </c>
      <c r="AI320" s="25" t="str">
        <f aca="false">IF(G320="","",IF(L320="","N/A - Not Detected",IF(AND(X320="",Y320="",Z320=""),"No Containment Action",IF(Z320="",IF(Y320&lt;&gt;"","C2 Persisted","Host Isolation Gap"),IF(AF320&lt;=AG320,"Contained - Within SLA","Contained - SLA Breach")))))</f>
        <v/>
      </c>
      <c r="AJ320" s="25" t="str">
        <f aca="false">IF(G320="","",IF(Z320&lt;&gt;"",1,0))</f>
        <v/>
      </c>
      <c r="AK320" s="34"/>
      <c r="AL320" s="34"/>
      <c r="AM320" s="35"/>
      <c r="AN320" s="34"/>
      <c r="AO320" s="34"/>
      <c r="AP320" s="35"/>
      <c r="AQ320" s="34"/>
      <c r="AR320" s="34"/>
      <c r="AS320" s="34"/>
      <c r="AT320" s="35"/>
      <c r="AU320" s="35"/>
    </row>
    <row r="321" customFormat="false" ht="15" hidden="false" customHeight="false" outlineLevel="0" collapsed="false">
      <c r="A321" s="24"/>
      <c r="B321" s="24"/>
      <c r="C321" s="24"/>
      <c r="D321" s="24"/>
      <c r="E321" s="24"/>
      <c r="F321" s="24"/>
      <c r="G321" s="24"/>
      <c r="H321" s="24"/>
      <c r="I321" s="32"/>
      <c r="J321" s="32"/>
      <c r="K321" s="32"/>
      <c r="L321" s="32"/>
      <c r="M321" s="24"/>
      <c r="N321" s="24"/>
      <c r="O321" s="24"/>
      <c r="P321" s="33" t="str">
        <f aca="false">IF(AND(G321&lt;&gt;"",I321&lt;&gt;"",J321&lt;&gt;""),(J321-I321)*1440,"")</f>
        <v/>
      </c>
      <c r="Q321" s="33" t="str">
        <f aca="false">IF(AND(G321&lt;&gt;"",J321&lt;&gt;"",K321&lt;&gt;""),(K321-J321)*1440,"")</f>
        <v/>
      </c>
      <c r="R321" s="33" t="str">
        <f aca="false">IF(AND(G321&lt;&gt;"",K321&lt;&gt;"",L321&lt;&gt;""),(L321-K321)*1440,"")</f>
        <v/>
      </c>
      <c r="S321" s="33" t="str">
        <f aca="false">IF(AND(G321&lt;&gt;"",I321&lt;&gt;"",L321&lt;&gt;""),(L321-I321)*1440,"")</f>
        <v/>
      </c>
      <c r="T321" s="33" t="str">
        <f aca="false">IF(G321="","",IFERROR(INDEX(Settings!$B$5:$B$8,MATCH(G321,Settings!$A$5:$A$8,0)),""))</f>
        <v/>
      </c>
      <c r="U321" s="25" t="str">
        <f aca="false">IF(G321="","",IF(S321="","No",IF(S321&lt;=T321,"Yes","No")))</f>
        <v/>
      </c>
      <c r="V321" s="25" t="str">
        <f aca="false">IF(G321="","",IF(AND(J321="",K321="",L321=""),"Telemetry Blind Spot",IF(AND(K321="",L321=""),"Missed Alert",IF(L321="","Triage Delay",IF(S321&lt;=T321,"Detected - Within SLA",IF(AND(R321&lt;&gt;"",R321&gt;IFERROR(INDEX(Settings!$C$5:$C$8,MATCH(G321,Settings!$A$5:$A$8,0)),1E+099)),"Triage Delay","Detected - SLA Breach"))))))</f>
        <v/>
      </c>
      <c r="W321" s="25" t="str">
        <f aca="false">IF(G321="","",IF(L321&lt;&gt;"",1,0))</f>
        <v/>
      </c>
      <c r="X321" s="32"/>
      <c r="Y321" s="32"/>
      <c r="Z321" s="32"/>
      <c r="AA321" s="24"/>
      <c r="AB321" s="24"/>
      <c r="AC321" s="33" t="str">
        <f aca="false">IF(AND(G321&lt;&gt;"",L321&lt;&gt;"",X321&lt;&gt;""),(X321-L321)*1440,"")</f>
        <v/>
      </c>
      <c r="AD321" s="33" t="str">
        <f aca="false">IF(AND(G321&lt;&gt;"",X321&lt;&gt;"",Y321&lt;&gt;""),(Y321-X321)*1440,"")</f>
        <v/>
      </c>
      <c r="AE321" s="33" t="str">
        <f aca="false">IF(AND(G321&lt;&gt;"",Y321&lt;&gt;"",Z321&lt;&gt;""),(Z321-Y321)*1440,"")</f>
        <v/>
      </c>
      <c r="AF321" s="33" t="str">
        <f aca="false">IF(AND(G321&lt;&gt;"",L321&lt;&gt;"",Z321&lt;&gt;""),(Z321-L321)*1440,"")</f>
        <v/>
      </c>
      <c r="AG321" s="33" t="str">
        <f aca="false">IF(G321="","",IFERROR(INDEX(Settings!$D$5:$D$8,MATCH(G321,Settings!$A$5:$A$8,0)),""))</f>
        <v/>
      </c>
      <c r="AH321" s="25" t="str">
        <f aca="false">IF(G321="","",IF(AF321="","No",IF(AF321&lt;=AG321,"Yes","No")))</f>
        <v/>
      </c>
      <c r="AI321" s="25" t="str">
        <f aca="false">IF(G321="","",IF(L321="","N/A - Not Detected",IF(AND(X321="",Y321="",Z321=""),"No Containment Action",IF(Z321="",IF(Y321&lt;&gt;"","C2 Persisted","Host Isolation Gap"),IF(AF321&lt;=AG321,"Contained - Within SLA","Contained - SLA Breach")))))</f>
        <v/>
      </c>
      <c r="AJ321" s="25" t="str">
        <f aca="false">IF(G321="","",IF(Z321&lt;&gt;"",1,0))</f>
        <v/>
      </c>
      <c r="AK321" s="34"/>
      <c r="AL321" s="34"/>
      <c r="AM321" s="35"/>
      <c r="AN321" s="34"/>
      <c r="AO321" s="34"/>
      <c r="AP321" s="35"/>
      <c r="AQ321" s="34"/>
      <c r="AR321" s="34"/>
      <c r="AS321" s="34"/>
      <c r="AT321" s="35"/>
      <c r="AU321" s="35"/>
    </row>
    <row r="322" customFormat="false" ht="15" hidden="false" customHeight="false" outlineLevel="0" collapsed="false">
      <c r="A322" s="24"/>
      <c r="B322" s="24"/>
      <c r="C322" s="24"/>
      <c r="D322" s="24"/>
      <c r="E322" s="24"/>
      <c r="F322" s="24"/>
      <c r="G322" s="24"/>
      <c r="H322" s="24"/>
      <c r="I322" s="32"/>
      <c r="J322" s="32"/>
      <c r="K322" s="32"/>
      <c r="L322" s="32"/>
      <c r="M322" s="24"/>
      <c r="N322" s="24"/>
      <c r="O322" s="24"/>
      <c r="P322" s="33" t="str">
        <f aca="false">IF(AND(G322&lt;&gt;"",I322&lt;&gt;"",J322&lt;&gt;""),(J322-I322)*1440,"")</f>
        <v/>
      </c>
      <c r="Q322" s="33" t="str">
        <f aca="false">IF(AND(G322&lt;&gt;"",J322&lt;&gt;"",K322&lt;&gt;""),(K322-J322)*1440,"")</f>
        <v/>
      </c>
      <c r="R322" s="33" t="str">
        <f aca="false">IF(AND(G322&lt;&gt;"",K322&lt;&gt;"",L322&lt;&gt;""),(L322-K322)*1440,"")</f>
        <v/>
      </c>
      <c r="S322" s="33" t="str">
        <f aca="false">IF(AND(G322&lt;&gt;"",I322&lt;&gt;"",L322&lt;&gt;""),(L322-I322)*1440,"")</f>
        <v/>
      </c>
      <c r="T322" s="33" t="str">
        <f aca="false">IF(G322="","",IFERROR(INDEX(Settings!$B$5:$B$8,MATCH(G322,Settings!$A$5:$A$8,0)),""))</f>
        <v/>
      </c>
      <c r="U322" s="25" t="str">
        <f aca="false">IF(G322="","",IF(S322="","No",IF(S322&lt;=T322,"Yes","No")))</f>
        <v/>
      </c>
      <c r="V322" s="25" t="str">
        <f aca="false">IF(G322="","",IF(AND(J322="",K322="",L322=""),"Telemetry Blind Spot",IF(AND(K322="",L322=""),"Missed Alert",IF(L322="","Triage Delay",IF(S322&lt;=T322,"Detected - Within SLA",IF(AND(R322&lt;&gt;"",R322&gt;IFERROR(INDEX(Settings!$C$5:$C$8,MATCH(G322,Settings!$A$5:$A$8,0)),1E+099)),"Triage Delay","Detected - SLA Breach"))))))</f>
        <v/>
      </c>
      <c r="W322" s="25" t="str">
        <f aca="false">IF(G322="","",IF(L322&lt;&gt;"",1,0))</f>
        <v/>
      </c>
      <c r="X322" s="32"/>
      <c r="Y322" s="32"/>
      <c r="Z322" s="32"/>
      <c r="AA322" s="24"/>
      <c r="AB322" s="24"/>
      <c r="AC322" s="33" t="str">
        <f aca="false">IF(AND(G322&lt;&gt;"",L322&lt;&gt;"",X322&lt;&gt;""),(X322-L322)*1440,"")</f>
        <v/>
      </c>
      <c r="AD322" s="33" t="str">
        <f aca="false">IF(AND(G322&lt;&gt;"",X322&lt;&gt;"",Y322&lt;&gt;""),(Y322-X322)*1440,"")</f>
        <v/>
      </c>
      <c r="AE322" s="33" t="str">
        <f aca="false">IF(AND(G322&lt;&gt;"",Y322&lt;&gt;"",Z322&lt;&gt;""),(Z322-Y322)*1440,"")</f>
        <v/>
      </c>
      <c r="AF322" s="33" t="str">
        <f aca="false">IF(AND(G322&lt;&gt;"",L322&lt;&gt;"",Z322&lt;&gt;""),(Z322-L322)*1440,"")</f>
        <v/>
      </c>
      <c r="AG322" s="33" t="str">
        <f aca="false">IF(G322="","",IFERROR(INDEX(Settings!$D$5:$D$8,MATCH(G322,Settings!$A$5:$A$8,0)),""))</f>
        <v/>
      </c>
      <c r="AH322" s="25" t="str">
        <f aca="false">IF(G322="","",IF(AF322="","No",IF(AF322&lt;=AG322,"Yes","No")))</f>
        <v/>
      </c>
      <c r="AI322" s="25" t="str">
        <f aca="false">IF(G322="","",IF(L322="","N/A - Not Detected",IF(AND(X322="",Y322="",Z322=""),"No Containment Action",IF(Z322="",IF(Y322&lt;&gt;"","C2 Persisted","Host Isolation Gap"),IF(AF322&lt;=AG322,"Contained - Within SLA","Contained - SLA Breach")))))</f>
        <v/>
      </c>
      <c r="AJ322" s="25" t="str">
        <f aca="false">IF(G322="","",IF(Z322&lt;&gt;"",1,0))</f>
        <v/>
      </c>
      <c r="AK322" s="34"/>
      <c r="AL322" s="34"/>
      <c r="AM322" s="35"/>
      <c r="AN322" s="34"/>
      <c r="AO322" s="34"/>
      <c r="AP322" s="35"/>
      <c r="AQ322" s="34"/>
      <c r="AR322" s="34"/>
      <c r="AS322" s="34"/>
      <c r="AT322" s="35"/>
      <c r="AU322" s="35"/>
    </row>
    <row r="323" customFormat="false" ht="15" hidden="false" customHeight="false" outlineLevel="0" collapsed="false">
      <c r="A323" s="24"/>
      <c r="B323" s="24"/>
      <c r="C323" s="24"/>
      <c r="D323" s="24"/>
      <c r="E323" s="24"/>
      <c r="F323" s="24"/>
      <c r="G323" s="24"/>
      <c r="H323" s="24"/>
      <c r="I323" s="32"/>
      <c r="J323" s="32"/>
      <c r="K323" s="32"/>
      <c r="L323" s="32"/>
      <c r="M323" s="24"/>
      <c r="N323" s="24"/>
      <c r="O323" s="24"/>
      <c r="P323" s="33" t="str">
        <f aca="false">IF(AND(G323&lt;&gt;"",I323&lt;&gt;"",J323&lt;&gt;""),(J323-I323)*1440,"")</f>
        <v/>
      </c>
      <c r="Q323" s="33" t="str">
        <f aca="false">IF(AND(G323&lt;&gt;"",J323&lt;&gt;"",K323&lt;&gt;""),(K323-J323)*1440,"")</f>
        <v/>
      </c>
      <c r="R323" s="33" t="str">
        <f aca="false">IF(AND(G323&lt;&gt;"",K323&lt;&gt;"",L323&lt;&gt;""),(L323-K323)*1440,"")</f>
        <v/>
      </c>
      <c r="S323" s="33" t="str">
        <f aca="false">IF(AND(G323&lt;&gt;"",I323&lt;&gt;"",L323&lt;&gt;""),(L323-I323)*1440,"")</f>
        <v/>
      </c>
      <c r="T323" s="33" t="str">
        <f aca="false">IF(G323="","",IFERROR(INDEX(Settings!$B$5:$B$8,MATCH(G323,Settings!$A$5:$A$8,0)),""))</f>
        <v/>
      </c>
      <c r="U323" s="25" t="str">
        <f aca="false">IF(G323="","",IF(S323="","No",IF(S323&lt;=T323,"Yes","No")))</f>
        <v/>
      </c>
      <c r="V323" s="25" t="str">
        <f aca="false">IF(G323="","",IF(AND(J323="",K323="",L323=""),"Telemetry Blind Spot",IF(AND(K323="",L323=""),"Missed Alert",IF(L323="","Triage Delay",IF(S323&lt;=T323,"Detected - Within SLA",IF(AND(R323&lt;&gt;"",R323&gt;IFERROR(INDEX(Settings!$C$5:$C$8,MATCH(G323,Settings!$A$5:$A$8,0)),1E+099)),"Triage Delay","Detected - SLA Breach"))))))</f>
        <v/>
      </c>
      <c r="W323" s="25" t="str">
        <f aca="false">IF(G323="","",IF(L323&lt;&gt;"",1,0))</f>
        <v/>
      </c>
      <c r="X323" s="32"/>
      <c r="Y323" s="32"/>
      <c r="Z323" s="32"/>
      <c r="AA323" s="24"/>
      <c r="AB323" s="24"/>
      <c r="AC323" s="33" t="str">
        <f aca="false">IF(AND(G323&lt;&gt;"",L323&lt;&gt;"",X323&lt;&gt;""),(X323-L323)*1440,"")</f>
        <v/>
      </c>
      <c r="AD323" s="33" t="str">
        <f aca="false">IF(AND(G323&lt;&gt;"",X323&lt;&gt;"",Y323&lt;&gt;""),(Y323-X323)*1440,"")</f>
        <v/>
      </c>
      <c r="AE323" s="33" t="str">
        <f aca="false">IF(AND(G323&lt;&gt;"",Y323&lt;&gt;"",Z323&lt;&gt;""),(Z323-Y323)*1440,"")</f>
        <v/>
      </c>
      <c r="AF323" s="33" t="str">
        <f aca="false">IF(AND(G323&lt;&gt;"",L323&lt;&gt;"",Z323&lt;&gt;""),(Z323-L323)*1440,"")</f>
        <v/>
      </c>
      <c r="AG323" s="33" t="str">
        <f aca="false">IF(G323="","",IFERROR(INDEX(Settings!$D$5:$D$8,MATCH(G323,Settings!$A$5:$A$8,0)),""))</f>
        <v/>
      </c>
      <c r="AH323" s="25" t="str">
        <f aca="false">IF(G323="","",IF(AF323="","No",IF(AF323&lt;=AG323,"Yes","No")))</f>
        <v/>
      </c>
      <c r="AI323" s="25" t="str">
        <f aca="false">IF(G323="","",IF(L323="","N/A - Not Detected",IF(AND(X323="",Y323="",Z323=""),"No Containment Action",IF(Z323="",IF(Y323&lt;&gt;"","C2 Persisted","Host Isolation Gap"),IF(AF323&lt;=AG323,"Contained - Within SLA","Contained - SLA Breach")))))</f>
        <v/>
      </c>
      <c r="AJ323" s="25" t="str">
        <f aca="false">IF(G323="","",IF(Z323&lt;&gt;"",1,0))</f>
        <v/>
      </c>
      <c r="AK323" s="34"/>
      <c r="AL323" s="34"/>
      <c r="AM323" s="35"/>
      <c r="AN323" s="34"/>
      <c r="AO323" s="34"/>
      <c r="AP323" s="35"/>
      <c r="AQ323" s="34"/>
      <c r="AR323" s="34"/>
      <c r="AS323" s="34"/>
      <c r="AT323" s="35"/>
      <c r="AU323" s="35"/>
    </row>
    <row r="324" customFormat="false" ht="15" hidden="false" customHeight="false" outlineLevel="0" collapsed="false">
      <c r="A324" s="24"/>
      <c r="B324" s="24"/>
      <c r="C324" s="24"/>
      <c r="D324" s="24"/>
      <c r="E324" s="24"/>
      <c r="F324" s="24"/>
      <c r="G324" s="24"/>
      <c r="H324" s="24"/>
      <c r="I324" s="32"/>
      <c r="J324" s="32"/>
      <c r="K324" s="32"/>
      <c r="L324" s="32"/>
      <c r="M324" s="24"/>
      <c r="N324" s="24"/>
      <c r="O324" s="24"/>
      <c r="P324" s="33" t="str">
        <f aca="false">IF(AND(G324&lt;&gt;"",I324&lt;&gt;"",J324&lt;&gt;""),(J324-I324)*1440,"")</f>
        <v/>
      </c>
      <c r="Q324" s="33" t="str">
        <f aca="false">IF(AND(G324&lt;&gt;"",J324&lt;&gt;"",K324&lt;&gt;""),(K324-J324)*1440,"")</f>
        <v/>
      </c>
      <c r="R324" s="33" t="str">
        <f aca="false">IF(AND(G324&lt;&gt;"",K324&lt;&gt;"",L324&lt;&gt;""),(L324-K324)*1440,"")</f>
        <v/>
      </c>
      <c r="S324" s="33" t="str">
        <f aca="false">IF(AND(G324&lt;&gt;"",I324&lt;&gt;"",L324&lt;&gt;""),(L324-I324)*1440,"")</f>
        <v/>
      </c>
      <c r="T324" s="33" t="str">
        <f aca="false">IF(G324="","",IFERROR(INDEX(Settings!$B$5:$B$8,MATCH(G324,Settings!$A$5:$A$8,0)),""))</f>
        <v/>
      </c>
      <c r="U324" s="25" t="str">
        <f aca="false">IF(G324="","",IF(S324="","No",IF(S324&lt;=T324,"Yes","No")))</f>
        <v/>
      </c>
      <c r="V324" s="25" t="str">
        <f aca="false">IF(G324="","",IF(AND(J324="",K324="",L324=""),"Telemetry Blind Spot",IF(AND(K324="",L324=""),"Missed Alert",IF(L324="","Triage Delay",IF(S324&lt;=T324,"Detected - Within SLA",IF(AND(R324&lt;&gt;"",R324&gt;IFERROR(INDEX(Settings!$C$5:$C$8,MATCH(G324,Settings!$A$5:$A$8,0)),1E+099)),"Triage Delay","Detected - SLA Breach"))))))</f>
        <v/>
      </c>
      <c r="W324" s="25" t="str">
        <f aca="false">IF(G324="","",IF(L324&lt;&gt;"",1,0))</f>
        <v/>
      </c>
      <c r="X324" s="32"/>
      <c r="Y324" s="32"/>
      <c r="Z324" s="32"/>
      <c r="AA324" s="24"/>
      <c r="AB324" s="24"/>
      <c r="AC324" s="33" t="str">
        <f aca="false">IF(AND(G324&lt;&gt;"",L324&lt;&gt;"",X324&lt;&gt;""),(X324-L324)*1440,"")</f>
        <v/>
      </c>
      <c r="AD324" s="33" t="str">
        <f aca="false">IF(AND(G324&lt;&gt;"",X324&lt;&gt;"",Y324&lt;&gt;""),(Y324-X324)*1440,"")</f>
        <v/>
      </c>
      <c r="AE324" s="33" t="str">
        <f aca="false">IF(AND(G324&lt;&gt;"",Y324&lt;&gt;"",Z324&lt;&gt;""),(Z324-Y324)*1440,"")</f>
        <v/>
      </c>
      <c r="AF324" s="33" t="str">
        <f aca="false">IF(AND(G324&lt;&gt;"",L324&lt;&gt;"",Z324&lt;&gt;""),(Z324-L324)*1440,"")</f>
        <v/>
      </c>
      <c r="AG324" s="33" t="str">
        <f aca="false">IF(G324="","",IFERROR(INDEX(Settings!$D$5:$D$8,MATCH(G324,Settings!$A$5:$A$8,0)),""))</f>
        <v/>
      </c>
      <c r="AH324" s="25" t="str">
        <f aca="false">IF(G324="","",IF(AF324="","No",IF(AF324&lt;=AG324,"Yes","No")))</f>
        <v/>
      </c>
      <c r="AI324" s="25" t="str">
        <f aca="false">IF(G324="","",IF(L324="","N/A - Not Detected",IF(AND(X324="",Y324="",Z324=""),"No Containment Action",IF(Z324="",IF(Y324&lt;&gt;"","C2 Persisted","Host Isolation Gap"),IF(AF324&lt;=AG324,"Contained - Within SLA","Contained - SLA Breach")))))</f>
        <v/>
      </c>
      <c r="AJ324" s="25" t="str">
        <f aca="false">IF(G324="","",IF(Z324&lt;&gt;"",1,0))</f>
        <v/>
      </c>
      <c r="AK324" s="34"/>
      <c r="AL324" s="34"/>
      <c r="AM324" s="35"/>
      <c r="AN324" s="34"/>
      <c r="AO324" s="34"/>
      <c r="AP324" s="35"/>
      <c r="AQ324" s="34"/>
      <c r="AR324" s="34"/>
      <c r="AS324" s="34"/>
      <c r="AT324" s="35"/>
      <c r="AU324" s="35"/>
    </row>
    <row r="325" customFormat="false" ht="15" hidden="false" customHeight="false" outlineLevel="0" collapsed="false">
      <c r="A325" s="24"/>
      <c r="B325" s="24"/>
      <c r="C325" s="24"/>
      <c r="D325" s="24"/>
      <c r="E325" s="24"/>
      <c r="F325" s="24"/>
      <c r="G325" s="24"/>
      <c r="H325" s="24"/>
      <c r="I325" s="32"/>
      <c r="J325" s="32"/>
      <c r="K325" s="32"/>
      <c r="L325" s="32"/>
      <c r="M325" s="24"/>
      <c r="N325" s="24"/>
      <c r="O325" s="24"/>
      <c r="P325" s="33" t="str">
        <f aca="false">IF(AND(G325&lt;&gt;"",I325&lt;&gt;"",J325&lt;&gt;""),(J325-I325)*1440,"")</f>
        <v/>
      </c>
      <c r="Q325" s="33" t="str">
        <f aca="false">IF(AND(G325&lt;&gt;"",J325&lt;&gt;"",K325&lt;&gt;""),(K325-J325)*1440,"")</f>
        <v/>
      </c>
      <c r="R325" s="33" t="str">
        <f aca="false">IF(AND(G325&lt;&gt;"",K325&lt;&gt;"",L325&lt;&gt;""),(L325-K325)*1440,"")</f>
        <v/>
      </c>
      <c r="S325" s="33" t="str">
        <f aca="false">IF(AND(G325&lt;&gt;"",I325&lt;&gt;"",L325&lt;&gt;""),(L325-I325)*1440,"")</f>
        <v/>
      </c>
      <c r="T325" s="33" t="str">
        <f aca="false">IF(G325="","",IFERROR(INDEX(Settings!$B$5:$B$8,MATCH(G325,Settings!$A$5:$A$8,0)),""))</f>
        <v/>
      </c>
      <c r="U325" s="25" t="str">
        <f aca="false">IF(G325="","",IF(S325="","No",IF(S325&lt;=T325,"Yes","No")))</f>
        <v/>
      </c>
      <c r="V325" s="25" t="str">
        <f aca="false">IF(G325="","",IF(AND(J325="",K325="",L325=""),"Telemetry Blind Spot",IF(AND(K325="",L325=""),"Missed Alert",IF(L325="","Triage Delay",IF(S325&lt;=T325,"Detected - Within SLA",IF(AND(R325&lt;&gt;"",R325&gt;IFERROR(INDEX(Settings!$C$5:$C$8,MATCH(G325,Settings!$A$5:$A$8,0)),1E+099)),"Triage Delay","Detected - SLA Breach"))))))</f>
        <v/>
      </c>
      <c r="W325" s="25" t="str">
        <f aca="false">IF(G325="","",IF(L325&lt;&gt;"",1,0))</f>
        <v/>
      </c>
      <c r="X325" s="32"/>
      <c r="Y325" s="32"/>
      <c r="Z325" s="32"/>
      <c r="AA325" s="24"/>
      <c r="AB325" s="24"/>
      <c r="AC325" s="33" t="str">
        <f aca="false">IF(AND(G325&lt;&gt;"",L325&lt;&gt;"",X325&lt;&gt;""),(X325-L325)*1440,"")</f>
        <v/>
      </c>
      <c r="AD325" s="33" t="str">
        <f aca="false">IF(AND(G325&lt;&gt;"",X325&lt;&gt;"",Y325&lt;&gt;""),(Y325-X325)*1440,"")</f>
        <v/>
      </c>
      <c r="AE325" s="33" t="str">
        <f aca="false">IF(AND(G325&lt;&gt;"",Y325&lt;&gt;"",Z325&lt;&gt;""),(Z325-Y325)*1440,"")</f>
        <v/>
      </c>
      <c r="AF325" s="33" t="str">
        <f aca="false">IF(AND(G325&lt;&gt;"",L325&lt;&gt;"",Z325&lt;&gt;""),(Z325-L325)*1440,"")</f>
        <v/>
      </c>
      <c r="AG325" s="33" t="str">
        <f aca="false">IF(G325="","",IFERROR(INDEX(Settings!$D$5:$D$8,MATCH(G325,Settings!$A$5:$A$8,0)),""))</f>
        <v/>
      </c>
      <c r="AH325" s="25" t="str">
        <f aca="false">IF(G325="","",IF(AF325="","No",IF(AF325&lt;=AG325,"Yes","No")))</f>
        <v/>
      </c>
      <c r="AI325" s="25" t="str">
        <f aca="false">IF(G325="","",IF(L325="","N/A - Not Detected",IF(AND(X325="",Y325="",Z325=""),"No Containment Action",IF(Z325="",IF(Y325&lt;&gt;"","C2 Persisted","Host Isolation Gap"),IF(AF325&lt;=AG325,"Contained - Within SLA","Contained - SLA Breach")))))</f>
        <v/>
      </c>
      <c r="AJ325" s="25" t="str">
        <f aca="false">IF(G325="","",IF(Z325&lt;&gt;"",1,0))</f>
        <v/>
      </c>
      <c r="AK325" s="34"/>
      <c r="AL325" s="34"/>
      <c r="AM325" s="35"/>
      <c r="AN325" s="34"/>
      <c r="AO325" s="34"/>
      <c r="AP325" s="35"/>
      <c r="AQ325" s="34"/>
      <c r="AR325" s="34"/>
      <c r="AS325" s="34"/>
      <c r="AT325" s="35"/>
      <c r="AU325" s="35"/>
    </row>
    <row r="326" customFormat="false" ht="15" hidden="false" customHeight="false" outlineLevel="0" collapsed="false">
      <c r="A326" s="24"/>
      <c r="B326" s="24"/>
      <c r="C326" s="24"/>
      <c r="D326" s="24"/>
      <c r="E326" s="24"/>
      <c r="F326" s="24"/>
      <c r="G326" s="24"/>
      <c r="H326" s="24"/>
      <c r="I326" s="32"/>
      <c r="J326" s="32"/>
      <c r="K326" s="32"/>
      <c r="L326" s="32"/>
      <c r="M326" s="24"/>
      <c r="N326" s="24"/>
      <c r="O326" s="24"/>
      <c r="P326" s="33" t="str">
        <f aca="false">IF(AND(G326&lt;&gt;"",I326&lt;&gt;"",J326&lt;&gt;""),(J326-I326)*1440,"")</f>
        <v/>
      </c>
      <c r="Q326" s="33" t="str">
        <f aca="false">IF(AND(G326&lt;&gt;"",J326&lt;&gt;"",K326&lt;&gt;""),(K326-J326)*1440,"")</f>
        <v/>
      </c>
      <c r="R326" s="33" t="str">
        <f aca="false">IF(AND(G326&lt;&gt;"",K326&lt;&gt;"",L326&lt;&gt;""),(L326-K326)*1440,"")</f>
        <v/>
      </c>
      <c r="S326" s="33" t="str">
        <f aca="false">IF(AND(G326&lt;&gt;"",I326&lt;&gt;"",L326&lt;&gt;""),(L326-I326)*1440,"")</f>
        <v/>
      </c>
      <c r="T326" s="33" t="str">
        <f aca="false">IF(G326="","",IFERROR(INDEX(Settings!$B$5:$B$8,MATCH(G326,Settings!$A$5:$A$8,0)),""))</f>
        <v/>
      </c>
      <c r="U326" s="25" t="str">
        <f aca="false">IF(G326="","",IF(S326="","No",IF(S326&lt;=T326,"Yes","No")))</f>
        <v/>
      </c>
      <c r="V326" s="25" t="str">
        <f aca="false">IF(G326="","",IF(AND(J326="",K326="",L326=""),"Telemetry Blind Spot",IF(AND(K326="",L326=""),"Missed Alert",IF(L326="","Triage Delay",IF(S326&lt;=T326,"Detected - Within SLA",IF(AND(R326&lt;&gt;"",R326&gt;IFERROR(INDEX(Settings!$C$5:$C$8,MATCH(G326,Settings!$A$5:$A$8,0)),1E+099)),"Triage Delay","Detected - SLA Breach"))))))</f>
        <v/>
      </c>
      <c r="W326" s="25" t="str">
        <f aca="false">IF(G326="","",IF(L326&lt;&gt;"",1,0))</f>
        <v/>
      </c>
      <c r="X326" s="32"/>
      <c r="Y326" s="32"/>
      <c r="Z326" s="32"/>
      <c r="AA326" s="24"/>
      <c r="AB326" s="24"/>
      <c r="AC326" s="33" t="str">
        <f aca="false">IF(AND(G326&lt;&gt;"",L326&lt;&gt;"",X326&lt;&gt;""),(X326-L326)*1440,"")</f>
        <v/>
      </c>
      <c r="AD326" s="33" t="str">
        <f aca="false">IF(AND(G326&lt;&gt;"",X326&lt;&gt;"",Y326&lt;&gt;""),(Y326-X326)*1440,"")</f>
        <v/>
      </c>
      <c r="AE326" s="33" t="str">
        <f aca="false">IF(AND(G326&lt;&gt;"",Y326&lt;&gt;"",Z326&lt;&gt;""),(Z326-Y326)*1440,"")</f>
        <v/>
      </c>
      <c r="AF326" s="33" t="str">
        <f aca="false">IF(AND(G326&lt;&gt;"",L326&lt;&gt;"",Z326&lt;&gt;""),(Z326-L326)*1440,"")</f>
        <v/>
      </c>
      <c r="AG326" s="33" t="str">
        <f aca="false">IF(G326="","",IFERROR(INDEX(Settings!$D$5:$D$8,MATCH(G326,Settings!$A$5:$A$8,0)),""))</f>
        <v/>
      </c>
      <c r="AH326" s="25" t="str">
        <f aca="false">IF(G326="","",IF(AF326="","No",IF(AF326&lt;=AG326,"Yes","No")))</f>
        <v/>
      </c>
      <c r="AI326" s="25" t="str">
        <f aca="false">IF(G326="","",IF(L326="","N/A - Not Detected",IF(AND(X326="",Y326="",Z326=""),"No Containment Action",IF(Z326="",IF(Y326&lt;&gt;"","C2 Persisted","Host Isolation Gap"),IF(AF326&lt;=AG326,"Contained - Within SLA","Contained - SLA Breach")))))</f>
        <v/>
      </c>
      <c r="AJ326" s="25" t="str">
        <f aca="false">IF(G326="","",IF(Z326&lt;&gt;"",1,0))</f>
        <v/>
      </c>
      <c r="AK326" s="34"/>
      <c r="AL326" s="34"/>
      <c r="AM326" s="35"/>
      <c r="AN326" s="34"/>
      <c r="AO326" s="34"/>
      <c r="AP326" s="35"/>
      <c r="AQ326" s="34"/>
      <c r="AR326" s="34"/>
      <c r="AS326" s="34"/>
      <c r="AT326" s="35"/>
      <c r="AU326" s="35"/>
    </row>
    <row r="327" customFormat="false" ht="15" hidden="false" customHeight="false" outlineLevel="0" collapsed="false">
      <c r="A327" s="24"/>
      <c r="B327" s="24"/>
      <c r="C327" s="24"/>
      <c r="D327" s="24"/>
      <c r="E327" s="24"/>
      <c r="F327" s="24"/>
      <c r="G327" s="24"/>
      <c r="H327" s="24"/>
      <c r="I327" s="32"/>
      <c r="J327" s="32"/>
      <c r="K327" s="32"/>
      <c r="L327" s="32"/>
      <c r="M327" s="24"/>
      <c r="N327" s="24"/>
      <c r="O327" s="24"/>
      <c r="P327" s="33" t="str">
        <f aca="false">IF(AND(G327&lt;&gt;"",I327&lt;&gt;"",J327&lt;&gt;""),(J327-I327)*1440,"")</f>
        <v/>
      </c>
      <c r="Q327" s="33" t="str">
        <f aca="false">IF(AND(G327&lt;&gt;"",J327&lt;&gt;"",K327&lt;&gt;""),(K327-J327)*1440,"")</f>
        <v/>
      </c>
      <c r="R327" s="33" t="str">
        <f aca="false">IF(AND(G327&lt;&gt;"",K327&lt;&gt;"",L327&lt;&gt;""),(L327-K327)*1440,"")</f>
        <v/>
      </c>
      <c r="S327" s="33" t="str">
        <f aca="false">IF(AND(G327&lt;&gt;"",I327&lt;&gt;"",L327&lt;&gt;""),(L327-I327)*1440,"")</f>
        <v/>
      </c>
      <c r="T327" s="33" t="str">
        <f aca="false">IF(G327="","",IFERROR(INDEX(Settings!$B$5:$B$8,MATCH(G327,Settings!$A$5:$A$8,0)),""))</f>
        <v/>
      </c>
      <c r="U327" s="25" t="str">
        <f aca="false">IF(G327="","",IF(S327="","No",IF(S327&lt;=T327,"Yes","No")))</f>
        <v/>
      </c>
      <c r="V327" s="25" t="str">
        <f aca="false">IF(G327="","",IF(AND(J327="",K327="",L327=""),"Telemetry Blind Spot",IF(AND(K327="",L327=""),"Missed Alert",IF(L327="","Triage Delay",IF(S327&lt;=T327,"Detected - Within SLA",IF(AND(R327&lt;&gt;"",R327&gt;IFERROR(INDEX(Settings!$C$5:$C$8,MATCH(G327,Settings!$A$5:$A$8,0)),1E+099)),"Triage Delay","Detected - SLA Breach"))))))</f>
        <v/>
      </c>
      <c r="W327" s="25" t="str">
        <f aca="false">IF(G327="","",IF(L327&lt;&gt;"",1,0))</f>
        <v/>
      </c>
      <c r="X327" s="32"/>
      <c r="Y327" s="32"/>
      <c r="Z327" s="32"/>
      <c r="AA327" s="24"/>
      <c r="AB327" s="24"/>
      <c r="AC327" s="33" t="str">
        <f aca="false">IF(AND(G327&lt;&gt;"",L327&lt;&gt;"",X327&lt;&gt;""),(X327-L327)*1440,"")</f>
        <v/>
      </c>
      <c r="AD327" s="33" t="str">
        <f aca="false">IF(AND(G327&lt;&gt;"",X327&lt;&gt;"",Y327&lt;&gt;""),(Y327-X327)*1440,"")</f>
        <v/>
      </c>
      <c r="AE327" s="33" t="str">
        <f aca="false">IF(AND(G327&lt;&gt;"",Y327&lt;&gt;"",Z327&lt;&gt;""),(Z327-Y327)*1440,"")</f>
        <v/>
      </c>
      <c r="AF327" s="33" t="str">
        <f aca="false">IF(AND(G327&lt;&gt;"",L327&lt;&gt;"",Z327&lt;&gt;""),(Z327-L327)*1440,"")</f>
        <v/>
      </c>
      <c r="AG327" s="33" t="str">
        <f aca="false">IF(G327="","",IFERROR(INDEX(Settings!$D$5:$D$8,MATCH(G327,Settings!$A$5:$A$8,0)),""))</f>
        <v/>
      </c>
      <c r="AH327" s="25" t="str">
        <f aca="false">IF(G327="","",IF(AF327="","No",IF(AF327&lt;=AG327,"Yes","No")))</f>
        <v/>
      </c>
      <c r="AI327" s="25" t="str">
        <f aca="false">IF(G327="","",IF(L327="","N/A - Not Detected",IF(AND(X327="",Y327="",Z327=""),"No Containment Action",IF(Z327="",IF(Y327&lt;&gt;"","C2 Persisted","Host Isolation Gap"),IF(AF327&lt;=AG327,"Contained - Within SLA","Contained - SLA Breach")))))</f>
        <v/>
      </c>
      <c r="AJ327" s="25" t="str">
        <f aca="false">IF(G327="","",IF(Z327&lt;&gt;"",1,0))</f>
        <v/>
      </c>
      <c r="AK327" s="34"/>
      <c r="AL327" s="34"/>
      <c r="AM327" s="35"/>
      <c r="AN327" s="34"/>
      <c r="AO327" s="34"/>
      <c r="AP327" s="35"/>
      <c r="AQ327" s="34"/>
      <c r="AR327" s="34"/>
      <c r="AS327" s="34"/>
      <c r="AT327" s="35"/>
      <c r="AU327" s="35"/>
    </row>
    <row r="328" customFormat="false" ht="15" hidden="false" customHeight="false" outlineLevel="0" collapsed="false">
      <c r="A328" s="24"/>
      <c r="B328" s="24"/>
      <c r="C328" s="24"/>
      <c r="D328" s="24"/>
      <c r="E328" s="24"/>
      <c r="F328" s="24"/>
      <c r="G328" s="24"/>
      <c r="H328" s="24"/>
      <c r="I328" s="32"/>
      <c r="J328" s="32"/>
      <c r="K328" s="32"/>
      <c r="L328" s="32"/>
      <c r="M328" s="24"/>
      <c r="N328" s="24"/>
      <c r="O328" s="24"/>
      <c r="P328" s="33" t="str">
        <f aca="false">IF(AND(G328&lt;&gt;"",I328&lt;&gt;"",J328&lt;&gt;""),(J328-I328)*1440,"")</f>
        <v/>
      </c>
      <c r="Q328" s="33" t="str">
        <f aca="false">IF(AND(G328&lt;&gt;"",J328&lt;&gt;"",K328&lt;&gt;""),(K328-J328)*1440,"")</f>
        <v/>
      </c>
      <c r="R328" s="33" t="str">
        <f aca="false">IF(AND(G328&lt;&gt;"",K328&lt;&gt;"",L328&lt;&gt;""),(L328-K328)*1440,"")</f>
        <v/>
      </c>
      <c r="S328" s="33" t="str">
        <f aca="false">IF(AND(G328&lt;&gt;"",I328&lt;&gt;"",L328&lt;&gt;""),(L328-I328)*1440,"")</f>
        <v/>
      </c>
      <c r="T328" s="33" t="str">
        <f aca="false">IF(G328="","",IFERROR(INDEX(Settings!$B$5:$B$8,MATCH(G328,Settings!$A$5:$A$8,0)),""))</f>
        <v/>
      </c>
      <c r="U328" s="25" t="str">
        <f aca="false">IF(G328="","",IF(S328="","No",IF(S328&lt;=T328,"Yes","No")))</f>
        <v/>
      </c>
      <c r="V328" s="25" t="str">
        <f aca="false">IF(G328="","",IF(AND(J328="",K328="",L328=""),"Telemetry Blind Spot",IF(AND(K328="",L328=""),"Missed Alert",IF(L328="","Triage Delay",IF(S328&lt;=T328,"Detected - Within SLA",IF(AND(R328&lt;&gt;"",R328&gt;IFERROR(INDEX(Settings!$C$5:$C$8,MATCH(G328,Settings!$A$5:$A$8,0)),1E+099)),"Triage Delay","Detected - SLA Breach"))))))</f>
        <v/>
      </c>
      <c r="W328" s="25" t="str">
        <f aca="false">IF(G328="","",IF(L328&lt;&gt;"",1,0))</f>
        <v/>
      </c>
      <c r="X328" s="32"/>
      <c r="Y328" s="32"/>
      <c r="Z328" s="32"/>
      <c r="AA328" s="24"/>
      <c r="AB328" s="24"/>
      <c r="AC328" s="33" t="str">
        <f aca="false">IF(AND(G328&lt;&gt;"",L328&lt;&gt;"",X328&lt;&gt;""),(X328-L328)*1440,"")</f>
        <v/>
      </c>
      <c r="AD328" s="33" t="str">
        <f aca="false">IF(AND(G328&lt;&gt;"",X328&lt;&gt;"",Y328&lt;&gt;""),(Y328-X328)*1440,"")</f>
        <v/>
      </c>
      <c r="AE328" s="33" t="str">
        <f aca="false">IF(AND(G328&lt;&gt;"",Y328&lt;&gt;"",Z328&lt;&gt;""),(Z328-Y328)*1440,"")</f>
        <v/>
      </c>
      <c r="AF328" s="33" t="str">
        <f aca="false">IF(AND(G328&lt;&gt;"",L328&lt;&gt;"",Z328&lt;&gt;""),(Z328-L328)*1440,"")</f>
        <v/>
      </c>
      <c r="AG328" s="33" t="str">
        <f aca="false">IF(G328="","",IFERROR(INDEX(Settings!$D$5:$D$8,MATCH(G328,Settings!$A$5:$A$8,0)),""))</f>
        <v/>
      </c>
      <c r="AH328" s="25" t="str">
        <f aca="false">IF(G328="","",IF(AF328="","No",IF(AF328&lt;=AG328,"Yes","No")))</f>
        <v/>
      </c>
      <c r="AI328" s="25" t="str">
        <f aca="false">IF(G328="","",IF(L328="","N/A - Not Detected",IF(AND(X328="",Y328="",Z328=""),"No Containment Action",IF(Z328="",IF(Y328&lt;&gt;"","C2 Persisted","Host Isolation Gap"),IF(AF328&lt;=AG328,"Contained - Within SLA","Contained - SLA Breach")))))</f>
        <v/>
      </c>
      <c r="AJ328" s="25" t="str">
        <f aca="false">IF(G328="","",IF(Z328&lt;&gt;"",1,0))</f>
        <v/>
      </c>
      <c r="AK328" s="34"/>
      <c r="AL328" s="34"/>
      <c r="AM328" s="35"/>
      <c r="AN328" s="34"/>
      <c r="AO328" s="34"/>
      <c r="AP328" s="35"/>
      <c r="AQ328" s="34"/>
      <c r="AR328" s="34"/>
      <c r="AS328" s="34"/>
      <c r="AT328" s="35"/>
      <c r="AU328" s="35"/>
    </row>
    <row r="329" customFormat="false" ht="15" hidden="false" customHeight="false" outlineLevel="0" collapsed="false">
      <c r="A329" s="24"/>
      <c r="B329" s="24"/>
      <c r="C329" s="24"/>
      <c r="D329" s="24"/>
      <c r="E329" s="24"/>
      <c r="F329" s="24"/>
      <c r="G329" s="24"/>
      <c r="H329" s="24"/>
      <c r="I329" s="32"/>
      <c r="J329" s="32"/>
      <c r="K329" s="32"/>
      <c r="L329" s="32"/>
      <c r="M329" s="24"/>
      <c r="N329" s="24"/>
      <c r="O329" s="24"/>
      <c r="P329" s="33" t="str">
        <f aca="false">IF(AND(G329&lt;&gt;"",I329&lt;&gt;"",J329&lt;&gt;""),(J329-I329)*1440,"")</f>
        <v/>
      </c>
      <c r="Q329" s="33" t="str">
        <f aca="false">IF(AND(G329&lt;&gt;"",J329&lt;&gt;"",K329&lt;&gt;""),(K329-J329)*1440,"")</f>
        <v/>
      </c>
      <c r="R329" s="33" t="str">
        <f aca="false">IF(AND(G329&lt;&gt;"",K329&lt;&gt;"",L329&lt;&gt;""),(L329-K329)*1440,"")</f>
        <v/>
      </c>
      <c r="S329" s="33" t="str">
        <f aca="false">IF(AND(G329&lt;&gt;"",I329&lt;&gt;"",L329&lt;&gt;""),(L329-I329)*1440,"")</f>
        <v/>
      </c>
      <c r="T329" s="33" t="str">
        <f aca="false">IF(G329="","",IFERROR(INDEX(Settings!$B$5:$B$8,MATCH(G329,Settings!$A$5:$A$8,0)),""))</f>
        <v/>
      </c>
      <c r="U329" s="25" t="str">
        <f aca="false">IF(G329="","",IF(S329="","No",IF(S329&lt;=T329,"Yes","No")))</f>
        <v/>
      </c>
      <c r="V329" s="25" t="str">
        <f aca="false">IF(G329="","",IF(AND(J329="",K329="",L329=""),"Telemetry Blind Spot",IF(AND(K329="",L329=""),"Missed Alert",IF(L329="","Triage Delay",IF(S329&lt;=T329,"Detected - Within SLA",IF(AND(R329&lt;&gt;"",R329&gt;IFERROR(INDEX(Settings!$C$5:$C$8,MATCH(G329,Settings!$A$5:$A$8,0)),1E+099)),"Triage Delay","Detected - SLA Breach"))))))</f>
        <v/>
      </c>
      <c r="W329" s="25" t="str">
        <f aca="false">IF(G329="","",IF(L329&lt;&gt;"",1,0))</f>
        <v/>
      </c>
      <c r="X329" s="32"/>
      <c r="Y329" s="32"/>
      <c r="Z329" s="32"/>
      <c r="AA329" s="24"/>
      <c r="AB329" s="24"/>
      <c r="AC329" s="33" t="str">
        <f aca="false">IF(AND(G329&lt;&gt;"",L329&lt;&gt;"",X329&lt;&gt;""),(X329-L329)*1440,"")</f>
        <v/>
      </c>
      <c r="AD329" s="33" t="str">
        <f aca="false">IF(AND(G329&lt;&gt;"",X329&lt;&gt;"",Y329&lt;&gt;""),(Y329-X329)*1440,"")</f>
        <v/>
      </c>
      <c r="AE329" s="33" t="str">
        <f aca="false">IF(AND(G329&lt;&gt;"",Y329&lt;&gt;"",Z329&lt;&gt;""),(Z329-Y329)*1440,"")</f>
        <v/>
      </c>
      <c r="AF329" s="33" t="str">
        <f aca="false">IF(AND(G329&lt;&gt;"",L329&lt;&gt;"",Z329&lt;&gt;""),(Z329-L329)*1440,"")</f>
        <v/>
      </c>
      <c r="AG329" s="33" t="str">
        <f aca="false">IF(G329="","",IFERROR(INDEX(Settings!$D$5:$D$8,MATCH(G329,Settings!$A$5:$A$8,0)),""))</f>
        <v/>
      </c>
      <c r="AH329" s="25" t="str">
        <f aca="false">IF(G329="","",IF(AF329="","No",IF(AF329&lt;=AG329,"Yes","No")))</f>
        <v/>
      </c>
      <c r="AI329" s="25" t="str">
        <f aca="false">IF(G329="","",IF(L329="","N/A - Not Detected",IF(AND(X329="",Y329="",Z329=""),"No Containment Action",IF(Z329="",IF(Y329&lt;&gt;"","C2 Persisted","Host Isolation Gap"),IF(AF329&lt;=AG329,"Contained - Within SLA","Contained - SLA Breach")))))</f>
        <v/>
      </c>
      <c r="AJ329" s="25" t="str">
        <f aca="false">IF(G329="","",IF(Z329&lt;&gt;"",1,0))</f>
        <v/>
      </c>
      <c r="AK329" s="34"/>
      <c r="AL329" s="34"/>
      <c r="AM329" s="35"/>
      <c r="AN329" s="34"/>
      <c r="AO329" s="34"/>
      <c r="AP329" s="35"/>
      <c r="AQ329" s="34"/>
      <c r="AR329" s="34"/>
      <c r="AS329" s="34"/>
      <c r="AT329" s="35"/>
      <c r="AU329" s="35"/>
    </row>
    <row r="330" customFormat="false" ht="15" hidden="false" customHeight="false" outlineLevel="0" collapsed="false">
      <c r="A330" s="24"/>
      <c r="B330" s="24"/>
      <c r="C330" s="24"/>
      <c r="D330" s="24"/>
      <c r="E330" s="24"/>
      <c r="F330" s="24"/>
      <c r="G330" s="24"/>
      <c r="H330" s="24"/>
      <c r="I330" s="32"/>
      <c r="J330" s="32"/>
      <c r="K330" s="32"/>
      <c r="L330" s="32"/>
      <c r="M330" s="24"/>
      <c r="N330" s="24"/>
      <c r="O330" s="24"/>
      <c r="P330" s="33" t="str">
        <f aca="false">IF(AND(G330&lt;&gt;"",I330&lt;&gt;"",J330&lt;&gt;""),(J330-I330)*1440,"")</f>
        <v/>
      </c>
      <c r="Q330" s="33" t="str">
        <f aca="false">IF(AND(G330&lt;&gt;"",J330&lt;&gt;"",K330&lt;&gt;""),(K330-J330)*1440,"")</f>
        <v/>
      </c>
      <c r="R330" s="33" t="str">
        <f aca="false">IF(AND(G330&lt;&gt;"",K330&lt;&gt;"",L330&lt;&gt;""),(L330-K330)*1440,"")</f>
        <v/>
      </c>
      <c r="S330" s="33" t="str">
        <f aca="false">IF(AND(G330&lt;&gt;"",I330&lt;&gt;"",L330&lt;&gt;""),(L330-I330)*1440,"")</f>
        <v/>
      </c>
      <c r="T330" s="33" t="str">
        <f aca="false">IF(G330="","",IFERROR(INDEX(Settings!$B$5:$B$8,MATCH(G330,Settings!$A$5:$A$8,0)),""))</f>
        <v/>
      </c>
      <c r="U330" s="25" t="str">
        <f aca="false">IF(G330="","",IF(S330="","No",IF(S330&lt;=T330,"Yes","No")))</f>
        <v/>
      </c>
      <c r="V330" s="25" t="str">
        <f aca="false">IF(G330="","",IF(AND(J330="",K330="",L330=""),"Telemetry Blind Spot",IF(AND(K330="",L330=""),"Missed Alert",IF(L330="","Triage Delay",IF(S330&lt;=T330,"Detected - Within SLA",IF(AND(R330&lt;&gt;"",R330&gt;IFERROR(INDEX(Settings!$C$5:$C$8,MATCH(G330,Settings!$A$5:$A$8,0)),1E+099)),"Triage Delay","Detected - SLA Breach"))))))</f>
        <v/>
      </c>
      <c r="W330" s="25" t="str">
        <f aca="false">IF(G330="","",IF(L330&lt;&gt;"",1,0))</f>
        <v/>
      </c>
      <c r="X330" s="32"/>
      <c r="Y330" s="32"/>
      <c r="Z330" s="32"/>
      <c r="AA330" s="24"/>
      <c r="AB330" s="24"/>
      <c r="AC330" s="33" t="str">
        <f aca="false">IF(AND(G330&lt;&gt;"",L330&lt;&gt;"",X330&lt;&gt;""),(X330-L330)*1440,"")</f>
        <v/>
      </c>
      <c r="AD330" s="33" t="str">
        <f aca="false">IF(AND(G330&lt;&gt;"",X330&lt;&gt;"",Y330&lt;&gt;""),(Y330-X330)*1440,"")</f>
        <v/>
      </c>
      <c r="AE330" s="33" t="str">
        <f aca="false">IF(AND(G330&lt;&gt;"",Y330&lt;&gt;"",Z330&lt;&gt;""),(Z330-Y330)*1440,"")</f>
        <v/>
      </c>
      <c r="AF330" s="33" t="str">
        <f aca="false">IF(AND(G330&lt;&gt;"",L330&lt;&gt;"",Z330&lt;&gt;""),(Z330-L330)*1440,"")</f>
        <v/>
      </c>
      <c r="AG330" s="33" t="str">
        <f aca="false">IF(G330="","",IFERROR(INDEX(Settings!$D$5:$D$8,MATCH(G330,Settings!$A$5:$A$8,0)),""))</f>
        <v/>
      </c>
      <c r="AH330" s="25" t="str">
        <f aca="false">IF(G330="","",IF(AF330="","No",IF(AF330&lt;=AG330,"Yes","No")))</f>
        <v/>
      </c>
      <c r="AI330" s="25" t="str">
        <f aca="false">IF(G330="","",IF(L330="","N/A - Not Detected",IF(AND(X330="",Y330="",Z330=""),"No Containment Action",IF(Z330="",IF(Y330&lt;&gt;"","C2 Persisted","Host Isolation Gap"),IF(AF330&lt;=AG330,"Contained - Within SLA","Contained - SLA Breach")))))</f>
        <v/>
      </c>
      <c r="AJ330" s="25" t="str">
        <f aca="false">IF(G330="","",IF(Z330&lt;&gt;"",1,0))</f>
        <v/>
      </c>
      <c r="AK330" s="34"/>
      <c r="AL330" s="34"/>
      <c r="AM330" s="35"/>
      <c r="AN330" s="34"/>
      <c r="AO330" s="34"/>
      <c r="AP330" s="35"/>
      <c r="AQ330" s="34"/>
      <c r="AR330" s="34"/>
      <c r="AS330" s="34"/>
      <c r="AT330" s="35"/>
      <c r="AU330" s="35"/>
    </row>
    <row r="331" customFormat="false" ht="15" hidden="false" customHeight="false" outlineLevel="0" collapsed="false">
      <c r="A331" s="24"/>
      <c r="B331" s="24"/>
      <c r="C331" s="24"/>
      <c r="D331" s="24"/>
      <c r="E331" s="24"/>
      <c r="F331" s="24"/>
      <c r="G331" s="24"/>
      <c r="H331" s="24"/>
      <c r="I331" s="32"/>
      <c r="J331" s="32"/>
      <c r="K331" s="32"/>
      <c r="L331" s="32"/>
      <c r="M331" s="24"/>
      <c r="N331" s="24"/>
      <c r="O331" s="24"/>
      <c r="P331" s="33" t="str">
        <f aca="false">IF(AND(G331&lt;&gt;"",I331&lt;&gt;"",J331&lt;&gt;""),(J331-I331)*1440,"")</f>
        <v/>
      </c>
      <c r="Q331" s="33" t="str">
        <f aca="false">IF(AND(G331&lt;&gt;"",J331&lt;&gt;"",K331&lt;&gt;""),(K331-J331)*1440,"")</f>
        <v/>
      </c>
      <c r="R331" s="33" t="str">
        <f aca="false">IF(AND(G331&lt;&gt;"",K331&lt;&gt;"",L331&lt;&gt;""),(L331-K331)*1440,"")</f>
        <v/>
      </c>
      <c r="S331" s="33" t="str">
        <f aca="false">IF(AND(G331&lt;&gt;"",I331&lt;&gt;"",L331&lt;&gt;""),(L331-I331)*1440,"")</f>
        <v/>
      </c>
      <c r="T331" s="33" t="str">
        <f aca="false">IF(G331="","",IFERROR(INDEX(Settings!$B$5:$B$8,MATCH(G331,Settings!$A$5:$A$8,0)),""))</f>
        <v/>
      </c>
      <c r="U331" s="25" t="str">
        <f aca="false">IF(G331="","",IF(S331="","No",IF(S331&lt;=T331,"Yes","No")))</f>
        <v/>
      </c>
      <c r="V331" s="25" t="str">
        <f aca="false">IF(G331="","",IF(AND(J331="",K331="",L331=""),"Telemetry Blind Spot",IF(AND(K331="",L331=""),"Missed Alert",IF(L331="","Triage Delay",IF(S331&lt;=T331,"Detected - Within SLA",IF(AND(R331&lt;&gt;"",R331&gt;IFERROR(INDEX(Settings!$C$5:$C$8,MATCH(G331,Settings!$A$5:$A$8,0)),1E+099)),"Triage Delay","Detected - SLA Breach"))))))</f>
        <v/>
      </c>
      <c r="W331" s="25" t="str">
        <f aca="false">IF(G331="","",IF(L331&lt;&gt;"",1,0))</f>
        <v/>
      </c>
      <c r="X331" s="32"/>
      <c r="Y331" s="32"/>
      <c r="Z331" s="32"/>
      <c r="AA331" s="24"/>
      <c r="AB331" s="24"/>
      <c r="AC331" s="33" t="str">
        <f aca="false">IF(AND(G331&lt;&gt;"",L331&lt;&gt;"",X331&lt;&gt;""),(X331-L331)*1440,"")</f>
        <v/>
      </c>
      <c r="AD331" s="33" t="str">
        <f aca="false">IF(AND(G331&lt;&gt;"",X331&lt;&gt;"",Y331&lt;&gt;""),(Y331-X331)*1440,"")</f>
        <v/>
      </c>
      <c r="AE331" s="33" t="str">
        <f aca="false">IF(AND(G331&lt;&gt;"",Y331&lt;&gt;"",Z331&lt;&gt;""),(Z331-Y331)*1440,"")</f>
        <v/>
      </c>
      <c r="AF331" s="33" t="str">
        <f aca="false">IF(AND(G331&lt;&gt;"",L331&lt;&gt;"",Z331&lt;&gt;""),(Z331-L331)*1440,"")</f>
        <v/>
      </c>
      <c r="AG331" s="33" t="str">
        <f aca="false">IF(G331="","",IFERROR(INDEX(Settings!$D$5:$D$8,MATCH(G331,Settings!$A$5:$A$8,0)),""))</f>
        <v/>
      </c>
      <c r="AH331" s="25" t="str">
        <f aca="false">IF(G331="","",IF(AF331="","No",IF(AF331&lt;=AG331,"Yes","No")))</f>
        <v/>
      </c>
      <c r="AI331" s="25" t="str">
        <f aca="false">IF(G331="","",IF(L331="","N/A - Not Detected",IF(AND(X331="",Y331="",Z331=""),"No Containment Action",IF(Z331="",IF(Y331&lt;&gt;"","C2 Persisted","Host Isolation Gap"),IF(AF331&lt;=AG331,"Contained - Within SLA","Contained - SLA Breach")))))</f>
        <v/>
      </c>
      <c r="AJ331" s="25" t="str">
        <f aca="false">IF(G331="","",IF(Z331&lt;&gt;"",1,0))</f>
        <v/>
      </c>
      <c r="AK331" s="34"/>
      <c r="AL331" s="34"/>
      <c r="AM331" s="35"/>
      <c r="AN331" s="34"/>
      <c r="AO331" s="34"/>
      <c r="AP331" s="35"/>
      <c r="AQ331" s="34"/>
      <c r="AR331" s="34"/>
      <c r="AS331" s="34"/>
      <c r="AT331" s="35"/>
      <c r="AU331" s="35"/>
    </row>
    <row r="332" customFormat="false" ht="15" hidden="false" customHeight="false" outlineLevel="0" collapsed="false">
      <c r="A332" s="24"/>
      <c r="B332" s="24"/>
      <c r="C332" s="24"/>
      <c r="D332" s="24"/>
      <c r="E332" s="24"/>
      <c r="F332" s="24"/>
      <c r="G332" s="24"/>
      <c r="H332" s="24"/>
      <c r="I332" s="32"/>
      <c r="J332" s="32"/>
      <c r="K332" s="32"/>
      <c r="L332" s="32"/>
      <c r="M332" s="24"/>
      <c r="N332" s="24"/>
      <c r="O332" s="24"/>
      <c r="P332" s="33" t="str">
        <f aca="false">IF(AND(G332&lt;&gt;"",I332&lt;&gt;"",J332&lt;&gt;""),(J332-I332)*1440,"")</f>
        <v/>
      </c>
      <c r="Q332" s="33" t="str">
        <f aca="false">IF(AND(G332&lt;&gt;"",J332&lt;&gt;"",K332&lt;&gt;""),(K332-J332)*1440,"")</f>
        <v/>
      </c>
      <c r="R332" s="33" t="str">
        <f aca="false">IF(AND(G332&lt;&gt;"",K332&lt;&gt;"",L332&lt;&gt;""),(L332-K332)*1440,"")</f>
        <v/>
      </c>
      <c r="S332" s="33" t="str">
        <f aca="false">IF(AND(G332&lt;&gt;"",I332&lt;&gt;"",L332&lt;&gt;""),(L332-I332)*1440,"")</f>
        <v/>
      </c>
      <c r="T332" s="33" t="str">
        <f aca="false">IF(G332="","",IFERROR(INDEX(Settings!$B$5:$B$8,MATCH(G332,Settings!$A$5:$A$8,0)),""))</f>
        <v/>
      </c>
      <c r="U332" s="25" t="str">
        <f aca="false">IF(G332="","",IF(S332="","No",IF(S332&lt;=T332,"Yes","No")))</f>
        <v/>
      </c>
      <c r="V332" s="25" t="str">
        <f aca="false">IF(G332="","",IF(AND(J332="",K332="",L332=""),"Telemetry Blind Spot",IF(AND(K332="",L332=""),"Missed Alert",IF(L332="","Triage Delay",IF(S332&lt;=T332,"Detected - Within SLA",IF(AND(R332&lt;&gt;"",R332&gt;IFERROR(INDEX(Settings!$C$5:$C$8,MATCH(G332,Settings!$A$5:$A$8,0)),1E+099)),"Triage Delay","Detected - SLA Breach"))))))</f>
        <v/>
      </c>
      <c r="W332" s="25" t="str">
        <f aca="false">IF(G332="","",IF(L332&lt;&gt;"",1,0))</f>
        <v/>
      </c>
      <c r="X332" s="32"/>
      <c r="Y332" s="32"/>
      <c r="Z332" s="32"/>
      <c r="AA332" s="24"/>
      <c r="AB332" s="24"/>
      <c r="AC332" s="33" t="str">
        <f aca="false">IF(AND(G332&lt;&gt;"",L332&lt;&gt;"",X332&lt;&gt;""),(X332-L332)*1440,"")</f>
        <v/>
      </c>
      <c r="AD332" s="33" t="str">
        <f aca="false">IF(AND(G332&lt;&gt;"",X332&lt;&gt;"",Y332&lt;&gt;""),(Y332-X332)*1440,"")</f>
        <v/>
      </c>
      <c r="AE332" s="33" t="str">
        <f aca="false">IF(AND(G332&lt;&gt;"",Y332&lt;&gt;"",Z332&lt;&gt;""),(Z332-Y332)*1440,"")</f>
        <v/>
      </c>
      <c r="AF332" s="33" t="str">
        <f aca="false">IF(AND(G332&lt;&gt;"",L332&lt;&gt;"",Z332&lt;&gt;""),(Z332-L332)*1440,"")</f>
        <v/>
      </c>
      <c r="AG332" s="33" t="str">
        <f aca="false">IF(G332="","",IFERROR(INDEX(Settings!$D$5:$D$8,MATCH(G332,Settings!$A$5:$A$8,0)),""))</f>
        <v/>
      </c>
      <c r="AH332" s="25" t="str">
        <f aca="false">IF(G332="","",IF(AF332="","No",IF(AF332&lt;=AG332,"Yes","No")))</f>
        <v/>
      </c>
      <c r="AI332" s="25" t="str">
        <f aca="false">IF(G332="","",IF(L332="","N/A - Not Detected",IF(AND(X332="",Y332="",Z332=""),"No Containment Action",IF(Z332="",IF(Y332&lt;&gt;"","C2 Persisted","Host Isolation Gap"),IF(AF332&lt;=AG332,"Contained - Within SLA","Contained - SLA Breach")))))</f>
        <v/>
      </c>
      <c r="AJ332" s="25" t="str">
        <f aca="false">IF(G332="","",IF(Z332&lt;&gt;"",1,0))</f>
        <v/>
      </c>
      <c r="AK332" s="34"/>
      <c r="AL332" s="34"/>
      <c r="AM332" s="35"/>
      <c r="AN332" s="34"/>
      <c r="AO332" s="34"/>
      <c r="AP332" s="35"/>
      <c r="AQ332" s="34"/>
      <c r="AR332" s="34"/>
      <c r="AS332" s="34"/>
      <c r="AT332" s="35"/>
      <c r="AU332" s="35"/>
    </row>
    <row r="333" customFormat="false" ht="15" hidden="false" customHeight="false" outlineLevel="0" collapsed="false">
      <c r="A333" s="24"/>
      <c r="B333" s="24"/>
      <c r="C333" s="24"/>
      <c r="D333" s="24"/>
      <c r="E333" s="24"/>
      <c r="F333" s="24"/>
      <c r="G333" s="24"/>
      <c r="H333" s="24"/>
      <c r="I333" s="32"/>
      <c r="J333" s="32"/>
      <c r="K333" s="32"/>
      <c r="L333" s="32"/>
      <c r="M333" s="24"/>
      <c r="N333" s="24"/>
      <c r="O333" s="24"/>
      <c r="P333" s="33" t="str">
        <f aca="false">IF(AND(G333&lt;&gt;"",I333&lt;&gt;"",J333&lt;&gt;""),(J333-I333)*1440,"")</f>
        <v/>
      </c>
      <c r="Q333" s="33" t="str">
        <f aca="false">IF(AND(G333&lt;&gt;"",J333&lt;&gt;"",K333&lt;&gt;""),(K333-J333)*1440,"")</f>
        <v/>
      </c>
      <c r="R333" s="33" t="str">
        <f aca="false">IF(AND(G333&lt;&gt;"",K333&lt;&gt;"",L333&lt;&gt;""),(L333-K333)*1440,"")</f>
        <v/>
      </c>
      <c r="S333" s="33" t="str">
        <f aca="false">IF(AND(G333&lt;&gt;"",I333&lt;&gt;"",L333&lt;&gt;""),(L333-I333)*1440,"")</f>
        <v/>
      </c>
      <c r="T333" s="33" t="str">
        <f aca="false">IF(G333="","",IFERROR(INDEX(Settings!$B$5:$B$8,MATCH(G333,Settings!$A$5:$A$8,0)),""))</f>
        <v/>
      </c>
      <c r="U333" s="25" t="str">
        <f aca="false">IF(G333="","",IF(S333="","No",IF(S333&lt;=T333,"Yes","No")))</f>
        <v/>
      </c>
      <c r="V333" s="25" t="str">
        <f aca="false">IF(G333="","",IF(AND(J333="",K333="",L333=""),"Telemetry Blind Spot",IF(AND(K333="",L333=""),"Missed Alert",IF(L333="","Triage Delay",IF(S333&lt;=T333,"Detected - Within SLA",IF(AND(R333&lt;&gt;"",R333&gt;IFERROR(INDEX(Settings!$C$5:$C$8,MATCH(G333,Settings!$A$5:$A$8,0)),1E+099)),"Triage Delay","Detected - SLA Breach"))))))</f>
        <v/>
      </c>
      <c r="W333" s="25" t="str">
        <f aca="false">IF(G333="","",IF(L333&lt;&gt;"",1,0))</f>
        <v/>
      </c>
      <c r="X333" s="32"/>
      <c r="Y333" s="32"/>
      <c r="Z333" s="32"/>
      <c r="AA333" s="24"/>
      <c r="AB333" s="24"/>
      <c r="AC333" s="33" t="str">
        <f aca="false">IF(AND(G333&lt;&gt;"",L333&lt;&gt;"",X333&lt;&gt;""),(X333-L333)*1440,"")</f>
        <v/>
      </c>
      <c r="AD333" s="33" t="str">
        <f aca="false">IF(AND(G333&lt;&gt;"",X333&lt;&gt;"",Y333&lt;&gt;""),(Y333-X333)*1440,"")</f>
        <v/>
      </c>
      <c r="AE333" s="33" t="str">
        <f aca="false">IF(AND(G333&lt;&gt;"",Y333&lt;&gt;"",Z333&lt;&gt;""),(Z333-Y333)*1440,"")</f>
        <v/>
      </c>
      <c r="AF333" s="33" t="str">
        <f aca="false">IF(AND(G333&lt;&gt;"",L333&lt;&gt;"",Z333&lt;&gt;""),(Z333-L333)*1440,"")</f>
        <v/>
      </c>
      <c r="AG333" s="33" t="str">
        <f aca="false">IF(G333="","",IFERROR(INDEX(Settings!$D$5:$D$8,MATCH(G333,Settings!$A$5:$A$8,0)),""))</f>
        <v/>
      </c>
      <c r="AH333" s="25" t="str">
        <f aca="false">IF(G333="","",IF(AF333="","No",IF(AF333&lt;=AG333,"Yes","No")))</f>
        <v/>
      </c>
      <c r="AI333" s="25" t="str">
        <f aca="false">IF(G333="","",IF(L333="","N/A - Not Detected",IF(AND(X333="",Y333="",Z333=""),"No Containment Action",IF(Z333="",IF(Y333&lt;&gt;"","C2 Persisted","Host Isolation Gap"),IF(AF333&lt;=AG333,"Contained - Within SLA","Contained - SLA Breach")))))</f>
        <v/>
      </c>
      <c r="AJ333" s="25" t="str">
        <f aca="false">IF(G333="","",IF(Z333&lt;&gt;"",1,0))</f>
        <v/>
      </c>
      <c r="AK333" s="34"/>
      <c r="AL333" s="34"/>
      <c r="AM333" s="35"/>
      <c r="AN333" s="34"/>
      <c r="AO333" s="34"/>
      <c r="AP333" s="35"/>
      <c r="AQ333" s="34"/>
      <c r="AR333" s="34"/>
      <c r="AS333" s="34"/>
      <c r="AT333" s="35"/>
      <c r="AU333" s="35"/>
    </row>
    <row r="334" customFormat="false" ht="15" hidden="false" customHeight="false" outlineLevel="0" collapsed="false">
      <c r="A334" s="24"/>
      <c r="B334" s="24"/>
      <c r="C334" s="24"/>
      <c r="D334" s="24"/>
      <c r="E334" s="24"/>
      <c r="F334" s="24"/>
      <c r="G334" s="24"/>
      <c r="H334" s="24"/>
      <c r="I334" s="32"/>
      <c r="J334" s="32"/>
      <c r="K334" s="32"/>
      <c r="L334" s="32"/>
      <c r="M334" s="24"/>
      <c r="N334" s="24"/>
      <c r="O334" s="24"/>
      <c r="P334" s="33" t="str">
        <f aca="false">IF(AND(G334&lt;&gt;"",I334&lt;&gt;"",J334&lt;&gt;""),(J334-I334)*1440,"")</f>
        <v/>
      </c>
      <c r="Q334" s="33" t="str">
        <f aca="false">IF(AND(G334&lt;&gt;"",J334&lt;&gt;"",K334&lt;&gt;""),(K334-J334)*1440,"")</f>
        <v/>
      </c>
      <c r="R334" s="33" t="str">
        <f aca="false">IF(AND(G334&lt;&gt;"",K334&lt;&gt;"",L334&lt;&gt;""),(L334-K334)*1440,"")</f>
        <v/>
      </c>
      <c r="S334" s="33" t="str">
        <f aca="false">IF(AND(G334&lt;&gt;"",I334&lt;&gt;"",L334&lt;&gt;""),(L334-I334)*1440,"")</f>
        <v/>
      </c>
      <c r="T334" s="33" t="str">
        <f aca="false">IF(G334="","",IFERROR(INDEX(Settings!$B$5:$B$8,MATCH(G334,Settings!$A$5:$A$8,0)),""))</f>
        <v/>
      </c>
      <c r="U334" s="25" t="str">
        <f aca="false">IF(G334="","",IF(S334="","No",IF(S334&lt;=T334,"Yes","No")))</f>
        <v/>
      </c>
      <c r="V334" s="25" t="str">
        <f aca="false">IF(G334="","",IF(AND(J334="",K334="",L334=""),"Telemetry Blind Spot",IF(AND(K334="",L334=""),"Missed Alert",IF(L334="","Triage Delay",IF(S334&lt;=T334,"Detected - Within SLA",IF(AND(R334&lt;&gt;"",R334&gt;IFERROR(INDEX(Settings!$C$5:$C$8,MATCH(G334,Settings!$A$5:$A$8,0)),1E+099)),"Triage Delay","Detected - SLA Breach"))))))</f>
        <v/>
      </c>
      <c r="W334" s="25" t="str">
        <f aca="false">IF(G334="","",IF(L334&lt;&gt;"",1,0))</f>
        <v/>
      </c>
      <c r="X334" s="32"/>
      <c r="Y334" s="32"/>
      <c r="Z334" s="32"/>
      <c r="AA334" s="24"/>
      <c r="AB334" s="24"/>
      <c r="AC334" s="33" t="str">
        <f aca="false">IF(AND(G334&lt;&gt;"",L334&lt;&gt;"",X334&lt;&gt;""),(X334-L334)*1440,"")</f>
        <v/>
      </c>
      <c r="AD334" s="33" t="str">
        <f aca="false">IF(AND(G334&lt;&gt;"",X334&lt;&gt;"",Y334&lt;&gt;""),(Y334-X334)*1440,"")</f>
        <v/>
      </c>
      <c r="AE334" s="33" t="str">
        <f aca="false">IF(AND(G334&lt;&gt;"",Y334&lt;&gt;"",Z334&lt;&gt;""),(Z334-Y334)*1440,"")</f>
        <v/>
      </c>
      <c r="AF334" s="33" t="str">
        <f aca="false">IF(AND(G334&lt;&gt;"",L334&lt;&gt;"",Z334&lt;&gt;""),(Z334-L334)*1440,"")</f>
        <v/>
      </c>
      <c r="AG334" s="33" t="str">
        <f aca="false">IF(G334="","",IFERROR(INDEX(Settings!$D$5:$D$8,MATCH(G334,Settings!$A$5:$A$8,0)),""))</f>
        <v/>
      </c>
      <c r="AH334" s="25" t="str">
        <f aca="false">IF(G334="","",IF(AF334="","No",IF(AF334&lt;=AG334,"Yes","No")))</f>
        <v/>
      </c>
      <c r="AI334" s="25" t="str">
        <f aca="false">IF(G334="","",IF(L334="","N/A - Not Detected",IF(AND(X334="",Y334="",Z334=""),"No Containment Action",IF(Z334="",IF(Y334&lt;&gt;"","C2 Persisted","Host Isolation Gap"),IF(AF334&lt;=AG334,"Contained - Within SLA","Contained - SLA Breach")))))</f>
        <v/>
      </c>
      <c r="AJ334" s="25" t="str">
        <f aca="false">IF(G334="","",IF(Z334&lt;&gt;"",1,0))</f>
        <v/>
      </c>
      <c r="AK334" s="34"/>
      <c r="AL334" s="34"/>
      <c r="AM334" s="35"/>
      <c r="AN334" s="34"/>
      <c r="AO334" s="34"/>
      <c r="AP334" s="35"/>
      <c r="AQ334" s="34"/>
      <c r="AR334" s="34"/>
      <c r="AS334" s="34"/>
      <c r="AT334" s="35"/>
      <c r="AU334" s="35"/>
    </row>
    <row r="335" customFormat="false" ht="15" hidden="false" customHeight="false" outlineLevel="0" collapsed="false">
      <c r="A335" s="24"/>
      <c r="B335" s="24"/>
      <c r="C335" s="24"/>
      <c r="D335" s="24"/>
      <c r="E335" s="24"/>
      <c r="F335" s="24"/>
      <c r="G335" s="24"/>
      <c r="H335" s="24"/>
      <c r="I335" s="32"/>
      <c r="J335" s="32"/>
      <c r="K335" s="32"/>
      <c r="L335" s="32"/>
      <c r="M335" s="24"/>
      <c r="N335" s="24"/>
      <c r="O335" s="24"/>
      <c r="P335" s="33" t="str">
        <f aca="false">IF(AND(G335&lt;&gt;"",I335&lt;&gt;"",J335&lt;&gt;""),(J335-I335)*1440,"")</f>
        <v/>
      </c>
      <c r="Q335" s="33" t="str">
        <f aca="false">IF(AND(G335&lt;&gt;"",J335&lt;&gt;"",K335&lt;&gt;""),(K335-J335)*1440,"")</f>
        <v/>
      </c>
      <c r="R335" s="33" t="str">
        <f aca="false">IF(AND(G335&lt;&gt;"",K335&lt;&gt;"",L335&lt;&gt;""),(L335-K335)*1440,"")</f>
        <v/>
      </c>
      <c r="S335" s="33" t="str">
        <f aca="false">IF(AND(G335&lt;&gt;"",I335&lt;&gt;"",L335&lt;&gt;""),(L335-I335)*1440,"")</f>
        <v/>
      </c>
      <c r="T335" s="33" t="str">
        <f aca="false">IF(G335="","",IFERROR(INDEX(Settings!$B$5:$B$8,MATCH(G335,Settings!$A$5:$A$8,0)),""))</f>
        <v/>
      </c>
      <c r="U335" s="25" t="str">
        <f aca="false">IF(G335="","",IF(S335="","No",IF(S335&lt;=T335,"Yes","No")))</f>
        <v/>
      </c>
      <c r="V335" s="25" t="str">
        <f aca="false">IF(G335="","",IF(AND(J335="",K335="",L335=""),"Telemetry Blind Spot",IF(AND(K335="",L335=""),"Missed Alert",IF(L335="","Triage Delay",IF(S335&lt;=T335,"Detected - Within SLA",IF(AND(R335&lt;&gt;"",R335&gt;IFERROR(INDEX(Settings!$C$5:$C$8,MATCH(G335,Settings!$A$5:$A$8,0)),1E+099)),"Triage Delay","Detected - SLA Breach"))))))</f>
        <v/>
      </c>
      <c r="W335" s="25" t="str">
        <f aca="false">IF(G335="","",IF(L335&lt;&gt;"",1,0))</f>
        <v/>
      </c>
      <c r="X335" s="32"/>
      <c r="Y335" s="32"/>
      <c r="Z335" s="32"/>
      <c r="AA335" s="24"/>
      <c r="AB335" s="24"/>
      <c r="AC335" s="33" t="str">
        <f aca="false">IF(AND(G335&lt;&gt;"",L335&lt;&gt;"",X335&lt;&gt;""),(X335-L335)*1440,"")</f>
        <v/>
      </c>
      <c r="AD335" s="33" t="str">
        <f aca="false">IF(AND(G335&lt;&gt;"",X335&lt;&gt;"",Y335&lt;&gt;""),(Y335-X335)*1440,"")</f>
        <v/>
      </c>
      <c r="AE335" s="33" t="str">
        <f aca="false">IF(AND(G335&lt;&gt;"",Y335&lt;&gt;"",Z335&lt;&gt;""),(Z335-Y335)*1440,"")</f>
        <v/>
      </c>
      <c r="AF335" s="33" t="str">
        <f aca="false">IF(AND(G335&lt;&gt;"",L335&lt;&gt;"",Z335&lt;&gt;""),(Z335-L335)*1440,"")</f>
        <v/>
      </c>
      <c r="AG335" s="33" t="str">
        <f aca="false">IF(G335="","",IFERROR(INDEX(Settings!$D$5:$D$8,MATCH(G335,Settings!$A$5:$A$8,0)),""))</f>
        <v/>
      </c>
      <c r="AH335" s="25" t="str">
        <f aca="false">IF(G335="","",IF(AF335="","No",IF(AF335&lt;=AG335,"Yes","No")))</f>
        <v/>
      </c>
      <c r="AI335" s="25" t="str">
        <f aca="false">IF(G335="","",IF(L335="","N/A - Not Detected",IF(AND(X335="",Y335="",Z335=""),"No Containment Action",IF(Z335="",IF(Y335&lt;&gt;"","C2 Persisted","Host Isolation Gap"),IF(AF335&lt;=AG335,"Contained - Within SLA","Contained - SLA Breach")))))</f>
        <v/>
      </c>
      <c r="AJ335" s="25" t="str">
        <f aca="false">IF(G335="","",IF(Z335&lt;&gt;"",1,0))</f>
        <v/>
      </c>
      <c r="AK335" s="34"/>
      <c r="AL335" s="34"/>
      <c r="AM335" s="35"/>
      <c r="AN335" s="34"/>
      <c r="AO335" s="34"/>
      <c r="AP335" s="35"/>
      <c r="AQ335" s="34"/>
      <c r="AR335" s="34"/>
      <c r="AS335" s="34"/>
      <c r="AT335" s="35"/>
      <c r="AU335" s="35"/>
    </row>
    <row r="336" customFormat="false" ht="15" hidden="false" customHeight="false" outlineLevel="0" collapsed="false">
      <c r="A336" s="24"/>
      <c r="B336" s="24"/>
      <c r="C336" s="24"/>
      <c r="D336" s="24"/>
      <c r="E336" s="24"/>
      <c r="F336" s="24"/>
      <c r="G336" s="24"/>
      <c r="H336" s="24"/>
      <c r="I336" s="32"/>
      <c r="J336" s="32"/>
      <c r="K336" s="32"/>
      <c r="L336" s="32"/>
      <c r="M336" s="24"/>
      <c r="N336" s="24"/>
      <c r="O336" s="24"/>
      <c r="P336" s="33" t="str">
        <f aca="false">IF(AND(G336&lt;&gt;"",I336&lt;&gt;"",J336&lt;&gt;""),(J336-I336)*1440,"")</f>
        <v/>
      </c>
      <c r="Q336" s="33" t="str">
        <f aca="false">IF(AND(G336&lt;&gt;"",J336&lt;&gt;"",K336&lt;&gt;""),(K336-J336)*1440,"")</f>
        <v/>
      </c>
      <c r="R336" s="33" t="str">
        <f aca="false">IF(AND(G336&lt;&gt;"",K336&lt;&gt;"",L336&lt;&gt;""),(L336-K336)*1440,"")</f>
        <v/>
      </c>
      <c r="S336" s="33" t="str">
        <f aca="false">IF(AND(G336&lt;&gt;"",I336&lt;&gt;"",L336&lt;&gt;""),(L336-I336)*1440,"")</f>
        <v/>
      </c>
      <c r="T336" s="33" t="str">
        <f aca="false">IF(G336="","",IFERROR(INDEX(Settings!$B$5:$B$8,MATCH(G336,Settings!$A$5:$A$8,0)),""))</f>
        <v/>
      </c>
      <c r="U336" s="25" t="str">
        <f aca="false">IF(G336="","",IF(S336="","No",IF(S336&lt;=T336,"Yes","No")))</f>
        <v/>
      </c>
      <c r="V336" s="25" t="str">
        <f aca="false">IF(G336="","",IF(AND(J336="",K336="",L336=""),"Telemetry Blind Spot",IF(AND(K336="",L336=""),"Missed Alert",IF(L336="","Triage Delay",IF(S336&lt;=T336,"Detected - Within SLA",IF(AND(R336&lt;&gt;"",R336&gt;IFERROR(INDEX(Settings!$C$5:$C$8,MATCH(G336,Settings!$A$5:$A$8,0)),1E+099)),"Triage Delay","Detected - SLA Breach"))))))</f>
        <v/>
      </c>
      <c r="W336" s="25" t="str">
        <f aca="false">IF(G336="","",IF(L336&lt;&gt;"",1,0))</f>
        <v/>
      </c>
      <c r="X336" s="32"/>
      <c r="Y336" s="32"/>
      <c r="Z336" s="32"/>
      <c r="AA336" s="24"/>
      <c r="AB336" s="24"/>
      <c r="AC336" s="33" t="str">
        <f aca="false">IF(AND(G336&lt;&gt;"",L336&lt;&gt;"",X336&lt;&gt;""),(X336-L336)*1440,"")</f>
        <v/>
      </c>
      <c r="AD336" s="33" t="str">
        <f aca="false">IF(AND(G336&lt;&gt;"",X336&lt;&gt;"",Y336&lt;&gt;""),(Y336-X336)*1440,"")</f>
        <v/>
      </c>
      <c r="AE336" s="33" t="str">
        <f aca="false">IF(AND(G336&lt;&gt;"",Y336&lt;&gt;"",Z336&lt;&gt;""),(Z336-Y336)*1440,"")</f>
        <v/>
      </c>
      <c r="AF336" s="33" t="str">
        <f aca="false">IF(AND(G336&lt;&gt;"",L336&lt;&gt;"",Z336&lt;&gt;""),(Z336-L336)*1440,"")</f>
        <v/>
      </c>
      <c r="AG336" s="33" t="str">
        <f aca="false">IF(G336="","",IFERROR(INDEX(Settings!$D$5:$D$8,MATCH(G336,Settings!$A$5:$A$8,0)),""))</f>
        <v/>
      </c>
      <c r="AH336" s="25" t="str">
        <f aca="false">IF(G336="","",IF(AF336="","No",IF(AF336&lt;=AG336,"Yes","No")))</f>
        <v/>
      </c>
      <c r="AI336" s="25" t="str">
        <f aca="false">IF(G336="","",IF(L336="","N/A - Not Detected",IF(AND(X336="",Y336="",Z336=""),"No Containment Action",IF(Z336="",IF(Y336&lt;&gt;"","C2 Persisted","Host Isolation Gap"),IF(AF336&lt;=AG336,"Contained - Within SLA","Contained - SLA Breach")))))</f>
        <v/>
      </c>
      <c r="AJ336" s="25" t="str">
        <f aca="false">IF(G336="","",IF(Z336&lt;&gt;"",1,0))</f>
        <v/>
      </c>
      <c r="AK336" s="34"/>
      <c r="AL336" s="34"/>
      <c r="AM336" s="35"/>
      <c r="AN336" s="34"/>
      <c r="AO336" s="34"/>
      <c r="AP336" s="35"/>
      <c r="AQ336" s="34"/>
      <c r="AR336" s="34"/>
      <c r="AS336" s="34"/>
      <c r="AT336" s="35"/>
      <c r="AU336" s="35"/>
    </row>
    <row r="337" customFormat="false" ht="15" hidden="false" customHeight="false" outlineLevel="0" collapsed="false">
      <c r="A337" s="24"/>
      <c r="B337" s="24"/>
      <c r="C337" s="24"/>
      <c r="D337" s="24"/>
      <c r="E337" s="24"/>
      <c r="F337" s="24"/>
      <c r="G337" s="24"/>
      <c r="H337" s="24"/>
      <c r="I337" s="32"/>
      <c r="J337" s="32"/>
      <c r="K337" s="32"/>
      <c r="L337" s="32"/>
      <c r="M337" s="24"/>
      <c r="N337" s="24"/>
      <c r="O337" s="24"/>
      <c r="P337" s="33" t="str">
        <f aca="false">IF(AND(G337&lt;&gt;"",I337&lt;&gt;"",J337&lt;&gt;""),(J337-I337)*1440,"")</f>
        <v/>
      </c>
      <c r="Q337" s="33" t="str">
        <f aca="false">IF(AND(G337&lt;&gt;"",J337&lt;&gt;"",K337&lt;&gt;""),(K337-J337)*1440,"")</f>
        <v/>
      </c>
      <c r="R337" s="33" t="str">
        <f aca="false">IF(AND(G337&lt;&gt;"",K337&lt;&gt;"",L337&lt;&gt;""),(L337-K337)*1440,"")</f>
        <v/>
      </c>
      <c r="S337" s="33" t="str">
        <f aca="false">IF(AND(G337&lt;&gt;"",I337&lt;&gt;"",L337&lt;&gt;""),(L337-I337)*1440,"")</f>
        <v/>
      </c>
      <c r="T337" s="33" t="str">
        <f aca="false">IF(G337="","",IFERROR(INDEX(Settings!$B$5:$B$8,MATCH(G337,Settings!$A$5:$A$8,0)),""))</f>
        <v/>
      </c>
      <c r="U337" s="25" t="str">
        <f aca="false">IF(G337="","",IF(S337="","No",IF(S337&lt;=T337,"Yes","No")))</f>
        <v/>
      </c>
      <c r="V337" s="25" t="str">
        <f aca="false">IF(G337="","",IF(AND(J337="",K337="",L337=""),"Telemetry Blind Spot",IF(AND(K337="",L337=""),"Missed Alert",IF(L337="","Triage Delay",IF(S337&lt;=T337,"Detected - Within SLA",IF(AND(R337&lt;&gt;"",R337&gt;IFERROR(INDEX(Settings!$C$5:$C$8,MATCH(G337,Settings!$A$5:$A$8,0)),1E+099)),"Triage Delay","Detected - SLA Breach"))))))</f>
        <v/>
      </c>
      <c r="W337" s="25" t="str">
        <f aca="false">IF(G337="","",IF(L337&lt;&gt;"",1,0))</f>
        <v/>
      </c>
      <c r="X337" s="32"/>
      <c r="Y337" s="32"/>
      <c r="Z337" s="32"/>
      <c r="AA337" s="24"/>
      <c r="AB337" s="24"/>
      <c r="AC337" s="33" t="str">
        <f aca="false">IF(AND(G337&lt;&gt;"",L337&lt;&gt;"",X337&lt;&gt;""),(X337-L337)*1440,"")</f>
        <v/>
      </c>
      <c r="AD337" s="33" t="str">
        <f aca="false">IF(AND(G337&lt;&gt;"",X337&lt;&gt;"",Y337&lt;&gt;""),(Y337-X337)*1440,"")</f>
        <v/>
      </c>
      <c r="AE337" s="33" t="str">
        <f aca="false">IF(AND(G337&lt;&gt;"",Y337&lt;&gt;"",Z337&lt;&gt;""),(Z337-Y337)*1440,"")</f>
        <v/>
      </c>
      <c r="AF337" s="33" t="str">
        <f aca="false">IF(AND(G337&lt;&gt;"",L337&lt;&gt;"",Z337&lt;&gt;""),(Z337-L337)*1440,"")</f>
        <v/>
      </c>
      <c r="AG337" s="33" t="str">
        <f aca="false">IF(G337="","",IFERROR(INDEX(Settings!$D$5:$D$8,MATCH(G337,Settings!$A$5:$A$8,0)),""))</f>
        <v/>
      </c>
      <c r="AH337" s="25" t="str">
        <f aca="false">IF(G337="","",IF(AF337="","No",IF(AF337&lt;=AG337,"Yes","No")))</f>
        <v/>
      </c>
      <c r="AI337" s="25" t="str">
        <f aca="false">IF(G337="","",IF(L337="","N/A - Not Detected",IF(AND(X337="",Y337="",Z337=""),"No Containment Action",IF(Z337="",IF(Y337&lt;&gt;"","C2 Persisted","Host Isolation Gap"),IF(AF337&lt;=AG337,"Contained - Within SLA","Contained - SLA Breach")))))</f>
        <v/>
      </c>
      <c r="AJ337" s="25" t="str">
        <f aca="false">IF(G337="","",IF(Z337&lt;&gt;"",1,0))</f>
        <v/>
      </c>
      <c r="AK337" s="34"/>
      <c r="AL337" s="34"/>
      <c r="AM337" s="35"/>
      <c r="AN337" s="34"/>
      <c r="AO337" s="34"/>
      <c r="AP337" s="35"/>
      <c r="AQ337" s="34"/>
      <c r="AR337" s="34"/>
      <c r="AS337" s="34"/>
      <c r="AT337" s="35"/>
      <c r="AU337" s="35"/>
    </row>
    <row r="338" customFormat="false" ht="15" hidden="false" customHeight="false" outlineLevel="0" collapsed="false">
      <c r="A338" s="24"/>
      <c r="B338" s="24"/>
      <c r="C338" s="24"/>
      <c r="D338" s="24"/>
      <c r="E338" s="24"/>
      <c r="F338" s="24"/>
      <c r="G338" s="24"/>
      <c r="H338" s="24"/>
      <c r="I338" s="32"/>
      <c r="J338" s="32"/>
      <c r="K338" s="32"/>
      <c r="L338" s="32"/>
      <c r="M338" s="24"/>
      <c r="N338" s="24"/>
      <c r="O338" s="24"/>
      <c r="P338" s="33" t="str">
        <f aca="false">IF(AND(G338&lt;&gt;"",I338&lt;&gt;"",J338&lt;&gt;""),(J338-I338)*1440,"")</f>
        <v/>
      </c>
      <c r="Q338" s="33" t="str">
        <f aca="false">IF(AND(G338&lt;&gt;"",J338&lt;&gt;"",K338&lt;&gt;""),(K338-J338)*1440,"")</f>
        <v/>
      </c>
      <c r="R338" s="33" t="str">
        <f aca="false">IF(AND(G338&lt;&gt;"",K338&lt;&gt;"",L338&lt;&gt;""),(L338-K338)*1440,"")</f>
        <v/>
      </c>
      <c r="S338" s="33" t="str">
        <f aca="false">IF(AND(G338&lt;&gt;"",I338&lt;&gt;"",L338&lt;&gt;""),(L338-I338)*1440,"")</f>
        <v/>
      </c>
      <c r="T338" s="33" t="str">
        <f aca="false">IF(G338="","",IFERROR(INDEX(Settings!$B$5:$B$8,MATCH(G338,Settings!$A$5:$A$8,0)),""))</f>
        <v/>
      </c>
      <c r="U338" s="25" t="str">
        <f aca="false">IF(G338="","",IF(S338="","No",IF(S338&lt;=T338,"Yes","No")))</f>
        <v/>
      </c>
      <c r="V338" s="25" t="str">
        <f aca="false">IF(G338="","",IF(AND(J338="",K338="",L338=""),"Telemetry Blind Spot",IF(AND(K338="",L338=""),"Missed Alert",IF(L338="","Triage Delay",IF(S338&lt;=T338,"Detected - Within SLA",IF(AND(R338&lt;&gt;"",R338&gt;IFERROR(INDEX(Settings!$C$5:$C$8,MATCH(G338,Settings!$A$5:$A$8,0)),1E+099)),"Triage Delay","Detected - SLA Breach"))))))</f>
        <v/>
      </c>
      <c r="W338" s="25" t="str">
        <f aca="false">IF(G338="","",IF(L338&lt;&gt;"",1,0))</f>
        <v/>
      </c>
      <c r="X338" s="32"/>
      <c r="Y338" s="32"/>
      <c r="Z338" s="32"/>
      <c r="AA338" s="24"/>
      <c r="AB338" s="24"/>
      <c r="AC338" s="33" t="str">
        <f aca="false">IF(AND(G338&lt;&gt;"",L338&lt;&gt;"",X338&lt;&gt;""),(X338-L338)*1440,"")</f>
        <v/>
      </c>
      <c r="AD338" s="33" t="str">
        <f aca="false">IF(AND(G338&lt;&gt;"",X338&lt;&gt;"",Y338&lt;&gt;""),(Y338-X338)*1440,"")</f>
        <v/>
      </c>
      <c r="AE338" s="33" t="str">
        <f aca="false">IF(AND(G338&lt;&gt;"",Y338&lt;&gt;"",Z338&lt;&gt;""),(Z338-Y338)*1440,"")</f>
        <v/>
      </c>
      <c r="AF338" s="33" t="str">
        <f aca="false">IF(AND(G338&lt;&gt;"",L338&lt;&gt;"",Z338&lt;&gt;""),(Z338-L338)*1440,"")</f>
        <v/>
      </c>
      <c r="AG338" s="33" t="str">
        <f aca="false">IF(G338="","",IFERROR(INDEX(Settings!$D$5:$D$8,MATCH(G338,Settings!$A$5:$A$8,0)),""))</f>
        <v/>
      </c>
      <c r="AH338" s="25" t="str">
        <f aca="false">IF(G338="","",IF(AF338="","No",IF(AF338&lt;=AG338,"Yes","No")))</f>
        <v/>
      </c>
      <c r="AI338" s="25" t="str">
        <f aca="false">IF(G338="","",IF(L338="","N/A - Not Detected",IF(AND(X338="",Y338="",Z338=""),"No Containment Action",IF(Z338="",IF(Y338&lt;&gt;"","C2 Persisted","Host Isolation Gap"),IF(AF338&lt;=AG338,"Contained - Within SLA","Contained - SLA Breach")))))</f>
        <v/>
      </c>
      <c r="AJ338" s="25" t="str">
        <f aca="false">IF(G338="","",IF(Z338&lt;&gt;"",1,0))</f>
        <v/>
      </c>
      <c r="AK338" s="34"/>
      <c r="AL338" s="34"/>
      <c r="AM338" s="35"/>
      <c r="AN338" s="34"/>
      <c r="AO338" s="34"/>
      <c r="AP338" s="35"/>
      <c r="AQ338" s="34"/>
      <c r="AR338" s="34"/>
      <c r="AS338" s="34"/>
      <c r="AT338" s="35"/>
      <c r="AU338" s="35"/>
    </row>
    <row r="339" customFormat="false" ht="15" hidden="false" customHeight="false" outlineLevel="0" collapsed="false">
      <c r="A339" s="24"/>
      <c r="B339" s="24"/>
      <c r="C339" s="24"/>
      <c r="D339" s="24"/>
      <c r="E339" s="24"/>
      <c r="F339" s="24"/>
      <c r="G339" s="24"/>
      <c r="H339" s="24"/>
      <c r="I339" s="32"/>
      <c r="J339" s="32"/>
      <c r="K339" s="32"/>
      <c r="L339" s="32"/>
      <c r="M339" s="24"/>
      <c r="N339" s="24"/>
      <c r="O339" s="24"/>
      <c r="P339" s="33" t="str">
        <f aca="false">IF(AND(G339&lt;&gt;"",I339&lt;&gt;"",J339&lt;&gt;""),(J339-I339)*1440,"")</f>
        <v/>
      </c>
      <c r="Q339" s="33" t="str">
        <f aca="false">IF(AND(G339&lt;&gt;"",J339&lt;&gt;"",K339&lt;&gt;""),(K339-J339)*1440,"")</f>
        <v/>
      </c>
      <c r="R339" s="33" t="str">
        <f aca="false">IF(AND(G339&lt;&gt;"",K339&lt;&gt;"",L339&lt;&gt;""),(L339-K339)*1440,"")</f>
        <v/>
      </c>
      <c r="S339" s="33" t="str">
        <f aca="false">IF(AND(G339&lt;&gt;"",I339&lt;&gt;"",L339&lt;&gt;""),(L339-I339)*1440,"")</f>
        <v/>
      </c>
      <c r="T339" s="33" t="str">
        <f aca="false">IF(G339="","",IFERROR(INDEX(Settings!$B$5:$B$8,MATCH(G339,Settings!$A$5:$A$8,0)),""))</f>
        <v/>
      </c>
      <c r="U339" s="25" t="str">
        <f aca="false">IF(G339="","",IF(S339="","No",IF(S339&lt;=T339,"Yes","No")))</f>
        <v/>
      </c>
      <c r="V339" s="25" t="str">
        <f aca="false">IF(G339="","",IF(AND(J339="",K339="",L339=""),"Telemetry Blind Spot",IF(AND(K339="",L339=""),"Missed Alert",IF(L339="","Triage Delay",IF(S339&lt;=T339,"Detected - Within SLA",IF(AND(R339&lt;&gt;"",R339&gt;IFERROR(INDEX(Settings!$C$5:$C$8,MATCH(G339,Settings!$A$5:$A$8,0)),1E+099)),"Triage Delay","Detected - SLA Breach"))))))</f>
        <v/>
      </c>
      <c r="W339" s="25" t="str">
        <f aca="false">IF(G339="","",IF(L339&lt;&gt;"",1,0))</f>
        <v/>
      </c>
      <c r="X339" s="32"/>
      <c r="Y339" s="32"/>
      <c r="Z339" s="32"/>
      <c r="AA339" s="24"/>
      <c r="AB339" s="24"/>
      <c r="AC339" s="33" t="str">
        <f aca="false">IF(AND(G339&lt;&gt;"",L339&lt;&gt;"",X339&lt;&gt;""),(X339-L339)*1440,"")</f>
        <v/>
      </c>
      <c r="AD339" s="33" t="str">
        <f aca="false">IF(AND(G339&lt;&gt;"",X339&lt;&gt;"",Y339&lt;&gt;""),(Y339-X339)*1440,"")</f>
        <v/>
      </c>
      <c r="AE339" s="33" t="str">
        <f aca="false">IF(AND(G339&lt;&gt;"",Y339&lt;&gt;"",Z339&lt;&gt;""),(Z339-Y339)*1440,"")</f>
        <v/>
      </c>
      <c r="AF339" s="33" t="str">
        <f aca="false">IF(AND(G339&lt;&gt;"",L339&lt;&gt;"",Z339&lt;&gt;""),(Z339-L339)*1440,"")</f>
        <v/>
      </c>
      <c r="AG339" s="33" t="str">
        <f aca="false">IF(G339="","",IFERROR(INDEX(Settings!$D$5:$D$8,MATCH(G339,Settings!$A$5:$A$8,0)),""))</f>
        <v/>
      </c>
      <c r="AH339" s="25" t="str">
        <f aca="false">IF(G339="","",IF(AF339="","No",IF(AF339&lt;=AG339,"Yes","No")))</f>
        <v/>
      </c>
      <c r="AI339" s="25" t="str">
        <f aca="false">IF(G339="","",IF(L339="","N/A - Not Detected",IF(AND(X339="",Y339="",Z339=""),"No Containment Action",IF(Z339="",IF(Y339&lt;&gt;"","C2 Persisted","Host Isolation Gap"),IF(AF339&lt;=AG339,"Contained - Within SLA","Contained - SLA Breach")))))</f>
        <v/>
      </c>
      <c r="AJ339" s="25" t="str">
        <f aca="false">IF(G339="","",IF(Z339&lt;&gt;"",1,0))</f>
        <v/>
      </c>
      <c r="AK339" s="34"/>
      <c r="AL339" s="34"/>
      <c r="AM339" s="35"/>
      <c r="AN339" s="34"/>
      <c r="AO339" s="34"/>
      <c r="AP339" s="35"/>
      <c r="AQ339" s="34"/>
      <c r="AR339" s="34"/>
      <c r="AS339" s="34"/>
      <c r="AT339" s="35"/>
      <c r="AU339" s="35"/>
    </row>
    <row r="340" customFormat="false" ht="15" hidden="false" customHeight="false" outlineLevel="0" collapsed="false">
      <c r="A340" s="24"/>
      <c r="B340" s="24"/>
      <c r="C340" s="24"/>
      <c r="D340" s="24"/>
      <c r="E340" s="24"/>
      <c r="F340" s="24"/>
      <c r="G340" s="24"/>
      <c r="H340" s="24"/>
      <c r="I340" s="32"/>
      <c r="J340" s="32"/>
      <c r="K340" s="32"/>
      <c r="L340" s="32"/>
      <c r="M340" s="24"/>
      <c r="N340" s="24"/>
      <c r="O340" s="24"/>
      <c r="P340" s="33" t="str">
        <f aca="false">IF(AND(G340&lt;&gt;"",I340&lt;&gt;"",J340&lt;&gt;""),(J340-I340)*1440,"")</f>
        <v/>
      </c>
      <c r="Q340" s="33" t="str">
        <f aca="false">IF(AND(G340&lt;&gt;"",J340&lt;&gt;"",K340&lt;&gt;""),(K340-J340)*1440,"")</f>
        <v/>
      </c>
      <c r="R340" s="33" t="str">
        <f aca="false">IF(AND(G340&lt;&gt;"",K340&lt;&gt;"",L340&lt;&gt;""),(L340-K340)*1440,"")</f>
        <v/>
      </c>
      <c r="S340" s="33" t="str">
        <f aca="false">IF(AND(G340&lt;&gt;"",I340&lt;&gt;"",L340&lt;&gt;""),(L340-I340)*1440,"")</f>
        <v/>
      </c>
      <c r="T340" s="33" t="str">
        <f aca="false">IF(G340="","",IFERROR(INDEX(Settings!$B$5:$B$8,MATCH(G340,Settings!$A$5:$A$8,0)),""))</f>
        <v/>
      </c>
      <c r="U340" s="25" t="str">
        <f aca="false">IF(G340="","",IF(S340="","No",IF(S340&lt;=T340,"Yes","No")))</f>
        <v/>
      </c>
      <c r="V340" s="25" t="str">
        <f aca="false">IF(G340="","",IF(AND(J340="",K340="",L340=""),"Telemetry Blind Spot",IF(AND(K340="",L340=""),"Missed Alert",IF(L340="","Triage Delay",IF(S340&lt;=T340,"Detected - Within SLA",IF(AND(R340&lt;&gt;"",R340&gt;IFERROR(INDEX(Settings!$C$5:$C$8,MATCH(G340,Settings!$A$5:$A$8,0)),1E+099)),"Triage Delay","Detected - SLA Breach"))))))</f>
        <v/>
      </c>
      <c r="W340" s="25" t="str">
        <f aca="false">IF(G340="","",IF(L340&lt;&gt;"",1,0))</f>
        <v/>
      </c>
      <c r="X340" s="32"/>
      <c r="Y340" s="32"/>
      <c r="Z340" s="32"/>
      <c r="AA340" s="24"/>
      <c r="AB340" s="24"/>
      <c r="AC340" s="33" t="str">
        <f aca="false">IF(AND(G340&lt;&gt;"",L340&lt;&gt;"",X340&lt;&gt;""),(X340-L340)*1440,"")</f>
        <v/>
      </c>
      <c r="AD340" s="33" t="str">
        <f aca="false">IF(AND(G340&lt;&gt;"",X340&lt;&gt;"",Y340&lt;&gt;""),(Y340-X340)*1440,"")</f>
        <v/>
      </c>
      <c r="AE340" s="33" t="str">
        <f aca="false">IF(AND(G340&lt;&gt;"",Y340&lt;&gt;"",Z340&lt;&gt;""),(Z340-Y340)*1440,"")</f>
        <v/>
      </c>
      <c r="AF340" s="33" t="str">
        <f aca="false">IF(AND(G340&lt;&gt;"",L340&lt;&gt;"",Z340&lt;&gt;""),(Z340-L340)*1440,"")</f>
        <v/>
      </c>
      <c r="AG340" s="33" t="str">
        <f aca="false">IF(G340="","",IFERROR(INDEX(Settings!$D$5:$D$8,MATCH(G340,Settings!$A$5:$A$8,0)),""))</f>
        <v/>
      </c>
      <c r="AH340" s="25" t="str">
        <f aca="false">IF(G340="","",IF(AF340="","No",IF(AF340&lt;=AG340,"Yes","No")))</f>
        <v/>
      </c>
      <c r="AI340" s="25" t="str">
        <f aca="false">IF(G340="","",IF(L340="","N/A - Not Detected",IF(AND(X340="",Y340="",Z340=""),"No Containment Action",IF(Z340="",IF(Y340&lt;&gt;"","C2 Persisted","Host Isolation Gap"),IF(AF340&lt;=AG340,"Contained - Within SLA","Contained - SLA Breach")))))</f>
        <v/>
      </c>
      <c r="AJ340" s="25" t="str">
        <f aca="false">IF(G340="","",IF(Z340&lt;&gt;"",1,0))</f>
        <v/>
      </c>
      <c r="AK340" s="34"/>
      <c r="AL340" s="34"/>
      <c r="AM340" s="35"/>
      <c r="AN340" s="34"/>
      <c r="AO340" s="34"/>
      <c r="AP340" s="35"/>
      <c r="AQ340" s="34"/>
      <c r="AR340" s="34"/>
      <c r="AS340" s="34"/>
      <c r="AT340" s="35"/>
      <c r="AU340" s="35"/>
    </row>
    <row r="341" customFormat="false" ht="15" hidden="false" customHeight="false" outlineLevel="0" collapsed="false">
      <c r="A341" s="24"/>
      <c r="B341" s="24"/>
      <c r="C341" s="24"/>
      <c r="D341" s="24"/>
      <c r="E341" s="24"/>
      <c r="F341" s="24"/>
      <c r="G341" s="24"/>
      <c r="H341" s="24"/>
      <c r="I341" s="32"/>
      <c r="J341" s="32"/>
      <c r="K341" s="32"/>
      <c r="L341" s="32"/>
      <c r="M341" s="24"/>
      <c r="N341" s="24"/>
      <c r="O341" s="24"/>
      <c r="P341" s="33" t="str">
        <f aca="false">IF(AND(G341&lt;&gt;"",I341&lt;&gt;"",J341&lt;&gt;""),(J341-I341)*1440,"")</f>
        <v/>
      </c>
      <c r="Q341" s="33" t="str">
        <f aca="false">IF(AND(G341&lt;&gt;"",J341&lt;&gt;"",K341&lt;&gt;""),(K341-J341)*1440,"")</f>
        <v/>
      </c>
      <c r="R341" s="33" t="str">
        <f aca="false">IF(AND(G341&lt;&gt;"",K341&lt;&gt;"",L341&lt;&gt;""),(L341-K341)*1440,"")</f>
        <v/>
      </c>
      <c r="S341" s="33" t="str">
        <f aca="false">IF(AND(G341&lt;&gt;"",I341&lt;&gt;"",L341&lt;&gt;""),(L341-I341)*1440,"")</f>
        <v/>
      </c>
      <c r="T341" s="33" t="str">
        <f aca="false">IF(G341="","",IFERROR(INDEX(Settings!$B$5:$B$8,MATCH(G341,Settings!$A$5:$A$8,0)),""))</f>
        <v/>
      </c>
      <c r="U341" s="25" t="str">
        <f aca="false">IF(G341="","",IF(S341="","No",IF(S341&lt;=T341,"Yes","No")))</f>
        <v/>
      </c>
      <c r="V341" s="25" t="str">
        <f aca="false">IF(G341="","",IF(AND(J341="",K341="",L341=""),"Telemetry Blind Spot",IF(AND(K341="",L341=""),"Missed Alert",IF(L341="","Triage Delay",IF(S341&lt;=T341,"Detected - Within SLA",IF(AND(R341&lt;&gt;"",R341&gt;IFERROR(INDEX(Settings!$C$5:$C$8,MATCH(G341,Settings!$A$5:$A$8,0)),1E+099)),"Triage Delay","Detected - SLA Breach"))))))</f>
        <v/>
      </c>
      <c r="W341" s="25" t="str">
        <f aca="false">IF(G341="","",IF(L341&lt;&gt;"",1,0))</f>
        <v/>
      </c>
      <c r="X341" s="32"/>
      <c r="Y341" s="32"/>
      <c r="Z341" s="32"/>
      <c r="AA341" s="24"/>
      <c r="AB341" s="24"/>
      <c r="AC341" s="33" t="str">
        <f aca="false">IF(AND(G341&lt;&gt;"",L341&lt;&gt;"",X341&lt;&gt;""),(X341-L341)*1440,"")</f>
        <v/>
      </c>
      <c r="AD341" s="33" t="str">
        <f aca="false">IF(AND(G341&lt;&gt;"",X341&lt;&gt;"",Y341&lt;&gt;""),(Y341-X341)*1440,"")</f>
        <v/>
      </c>
      <c r="AE341" s="33" t="str">
        <f aca="false">IF(AND(G341&lt;&gt;"",Y341&lt;&gt;"",Z341&lt;&gt;""),(Z341-Y341)*1440,"")</f>
        <v/>
      </c>
      <c r="AF341" s="33" t="str">
        <f aca="false">IF(AND(G341&lt;&gt;"",L341&lt;&gt;"",Z341&lt;&gt;""),(Z341-L341)*1440,"")</f>
        <v/>
      </c>
      <c r="AG341" s="33" t="str">
        <f aca="false">IF(G341="","",IFERROR(INDEX(Settings!$D$5:$D$8,MATCH(G341,Settings!$A$5:$A$8,0)),""))</f>
        <v/>
      </c>
      <c r="AH341" s="25" t="str">
        <f aca="false">IF(G341="","",IF(AF341="","No",IF(AF341&lt;=AG341,"Yes","No")))</f>
        <v/>
      </c>
      <c r="AI341" s="25" t="str">
        <f aca="false">IF(G341="","",IF(L341="","N/A - Not Detected",IF(AND(X341="",Y341="",Z341=""),"No Containment Action",IF(Z341="",IF(Y341&lt;&gt;"","C2 Persisted","Host Isolation Gap"),IF(AF341&lt;=AG341,"Contained - Within SLA","Contained - SLA Breach")))))</f>
        <v/>
      </c>
      <c r="AJ341" s="25" t="str">
        <f aca="false">IF(G341="","",IF(Z341&lt;&gt;"",1,0))</f>
        <v/>
      </c>
      <c r="AK341" s="34"/>
      <c r="AL341" s="34"/>
      <c r="AM341" s="35"/>
      <c r="AN341" s="34"/>
      <c r="AO341" s="34"/>
      <c r="AP341" s="35"/>
      <c r="AQ341" s="34"/>
      <c r="AR341" s="34"/>
      <c r="AS341" s="34"/>
      <c r="AT341" s="35"/>
      <c r="AU341" s="35"/>
    </row>
    <row r="342" customFormat="false" ht="15" hidden="false" customHeight="false" outlineLevel="0" collapsed="false">
      <c r="A342" s="24"/>
      <c r="B342" s="24"/>
      <c r="C342" s="24"/>
      <c r="D342" s="24"/>
      <c r="E342" s="24"/>
      <c r="F342" s="24"/>
      <c r="G342" s="24"/>
      <c r="H342" s="24"/>
      <c r="I342" s="32"/>
      <c r="J342" s="32"/>
      <c r="K342" s="32"/>
      <c r="L342" s="32"/>
      <c r="M342" s="24"/>
      <c r="N342" s="24"/>
      <c r="O342" s="24"/>
      <c r="P342" s="33" t="str">
        <f aca="false">IF(AND(G342&lt;&gt;"",I342&lt;&gt;"",J342&lt;&gt;""),(J342-I342)*1440,"")</f>
        <v/>
      </c>
      <c r="Q342" s="33" t="str">
        <f aca="false">IF(AND(G342&lt;&gt;"",J342&lt;&gt;"",K342&lt;&gt;""),(K342-J342)*1440,"")</f>
        <v/>
      </c>
      <c r="R342" s="33" t="str">
        <f aca="false">IF(AND(G342&lt;&gt;"",K342&lt;&gt;"",L342&lt;&gt;""),(L342-K342)*1440,"")</f>
        <v/>
      </c>
      <c r="S342" s="33" t="str">
        <f aca="false">IF(AND(G342&lt;&gt;"",I342&lt;&gt;"",L342&lt;&gt;""),(L342-I342)*1440,"")</f>
        <v/>
      </c>
      <c r="T342" s="33" t="str">
        <f aca="false">IF(G342="","",IFERROR(INDEX(Settings!$B$5:$B$8,MATCH(G342,Settings!$A$5:$A$8,0)),""))</f>
        <v/>
      </c>
      <c r="U342" s="25" t="str">
        <f aca="false">IF(G342="","",IF(S342="","No",IF(S342&lt;=T342,"Yes","No")))</f>
        <v/>
      </c>
      <c r="V342" s="25" t="str">
        <f aca="false">IF(G342="","",IF(AND(J342="",K342="",L342=""),"Telemetry Blind Spot",IF(AND(K342="",L342=""),"Missed Alert",IF(L342="","Triage Delay",IF(S342&lt;=T342,"Detected - Within SLA",IF(AND(R342&lt;&gt;"",R342&gt;IFERROR(INDEX(Settings!$C$5:$C$8,MATCH(G342,Settings!$A$5:$A$8,0)),1E+099)),"Triage Delay","Detected - SLA Breach"))))))</f>
        <v/>
      </c>
      <c r="W342" s="25" t="str">
        <f aca="false">IF(G342="","",IF(L342&lt;&gt;"",1,0))</f>
        <v/>
      </c>
      <c r="X342" s="32"/>
      <c r="Y342" s="32"/>
      <c r="Z342" s="32"/>
      <c r="AA342" s="24"/>
      <c r="AB342" s="24"/>
      <c r="AC342" s="33" t="str">
        <f aca="false">IF(AND(G342&lt;&gt;"",L342&lt;&gt;"",X342&lt;&gt;""),(X342-L342)*1440,"")</f>
        <v/>
      </c>
      <c r="AD342" s="33" t="str">
        <f aca="false">IF(AND(G342&lt;&gt;"",X342&lt;&gt;"",Y342&lt;&gt;""),(Y342-X342)*1440,"")</f>
        <v/>
      </c>
      <c r="AE342" s="33" t="str">
        <f aca="false">IF(AND(G342&lt;&gt;"",Y342&lt;&gt;"",Z342&lt;&gt;""),(Z342-Y342)*1440,"")</f>
        <v/>
      </c>
      <c r="AF342" s="33" t="str">
        <f aca="false">IF(AND(G342&lt;&gt;"",L342&lt;&gt;"",Z342&lt;&gt;""),(Z342-L342)*1440,"")</f>
        <v/>
      </c>
      <c r="AG342" s="33" t="str">
        <f aca="false">IF(G342="","",IFERROR(INDEX(Settings!$D$5:$D$8,MATCH(G342,Settings!$A$5:$A$8,0)),""))</f>
        <v/>
      </c>
      <c r="AH342" s="25" t="str">
        <f aca="false">IF(G342="","",IF(AF342="","No",IF(AF342&lt;=AG342,"Yes","No")))</f>
        <v/>
      </c>
      <c r="AI342" s="25" t="str">
        <f aca="false">IF(G342="","",IF(L342="","N/A - Not Detected",IF(AND(X342="",Y342="",Z342=""),"No Containment Action",IF(Z342="",IF(Y342&lt;&gt;"","C2 Persisted","Host Isolation Gap"),IF(AF342&lt;=AG342,"Contained - Within SLA","Contained - SLA Breach")))))</f>
        <v/>
      </c>
      <c r="AJ342" s="25" t="str">
        <f aca="false">IF(G342="","",IF(Z342&lt;&gt;"",1,0))</f>
        <v/>
      </c>
      <c r="AK342" s="34"/>
      <c r="AL342" s="34"/>
      <c r="AM342" s="35"/>
      <c r="AN342" s="34"/>
      <c r="AO342" s="34"/>
      <c r="AP342" s="35"/>
      <c r="AQ342" s="34"/>
      <c r="AR342" s="34"/>
      <c r="AS342" s="34"/>
      <c r="AT342" s="35"/>
      <c r="AU342" s="35"/>
    </row>
    <row r="343" customFormat="false" ht="15" hidden="false" customHeight="false" outlineLevel="0" collapsed="false">
      <c r="A343" s="24"/>
      <c r="B343" s="24"/>
      <c r="C343" s="24"/>
      <c r="D343" s="24"/>
      <c r="E343" s="24"/>
      <c r="F343" s="24"/>
      <c r="G343" s="24"/>
      <c r="H343" s="24"/>
      <c r="I343" s="32"/>
      <c r="J343" s="32"/>
      <c r="K343" s="32"/>
      <c r="L343" s="32"/>
      <c r="M343" s="24"/>
      <c r="N343" s="24"/>
      <c r="O343" s="24"/>
      <c r="P343" s="33" t="str">
        <f aca="false">IF(AND(G343&lt;&gt;"",I343&lt;&gt;"",J343&lt;&gt;""),(J343-I343)*1440,"")</f>
        <v/>
      </c>
      <c r="Q343" s="33" t="str">
        <f aca="false">IF(AND(G343&lt;&gt;"",J343&lt;&gt;"",K343&lt;&gt;""),(K343-J343)*1440,"")</f>
        <v/>
      </c>
      <c r="R343" s="33" t="str">
        <f aca="false">IF(AND(G343&lt;&gt;"",K343&lt;&gt;"",L343&lt;&gt;""),(L343-K343)*1440,"")</f>
        <v/>
      </c>
      <c r="S343" s="33" t="str">
        <f aca="false">IF(AND(G343&lt;&gt;"",I343&lt;&gt;"",L343&lt;&gt;""),(L343-I343)*1440,"")</f>
        <v/>
      </c>
      <c r="T343" s="33" t="str">
        <f aca="false">IF(G343="","",IFERROR(INDEX(Settings!$B$5:$B$8,MATCH(G343,Settings!$A$5:$A$8,0)),""))</f>
        <v/>
      </c>
      <c r="U343" s="25" t="str">
        <f aca="false">IF(G343="","",IF(S343="","No",IF(S343&lt;=T343,"Yes","No")))</f>
        <v/>
      </c>
      <c r="V343" s="25" t="str">
        <f aca="false">IF(G343="","",IF(AND(J343="",K343="",L343=""),"Telemetry Blind Spot",IF(AND(K343="",L343=""),"Missed Alert",IF(L343="","Triage Delay",IF(S343&lt;=T343,"Detected - Within SLA",IF(AND(R343&lt;&gt;"",R343&gt;IFERROR(INDEX(Settings!$C$5:$C$8,MATCH(G343,Settings!$A$5:$A$8,0)),1E+099)),"Triage Delay","Detected - SLA Breach"))))))</f>
        <v/>
      </c>
      <c r="W343" s="25" t="str">
        <f aca="false">IF(G343="","",IF(L343&lt;&gt;"",1,0))</f>
        <v/>
      </c>
      <c r="X343" s="32"/>
      <c r="Y343" s="32"/>
      <c r="Z343" s="32"/>
      <c r="AA343" s="24"/>
      <c r="AB343" s="24"/>
      <c r="AC343" s="33" t="str">
        <f aca="false">IF(AND(G343&lt;&gt;"",L343&lt;&gt;"",X343&lt;&gt;""),(X343-L343)*1440,"")</f>
        <v/>
      </c>
      <c r="AD343" s="33" t="str">
        <f aca="false">IF(AND(G343&lt;&gt;"",X343&lt;&gt;"",Y343&lt;&gt;""),(Y343-X343)*1440,"")</f>
        <v/>
      </c>
      <c r="AE343" s="33" t="str">
        <f aca="false">IF(AND(G343&lt;&gt;"",Y343&lt;&gt;"",Z343&lt;&gt;""),(Z343-Y343)*1440,"")</f>
        <v/>
      </c>
      <c r="AF343" s="33" t="str">
        <f aca="false">IF(AND(G343&lt;&gt;"",L343&lt;&gt;"",Z343&lt;&gt;""),(Z343-L343)*1440,"")</f>
        <v/>
      </c>
      <c r="AG343" s="33" t="str">
        <f aca="false">IF(G343="","",IFERROR(INDEX(Settings!$D$5:$D$8,MATCH(G343,Settings!$A$5:$A$8,0)),""))</f>
        <v/>
      </c>
      <c r="AH343" s="25" t="str">
        <f aca="false">IF(G343="","",IF(AF343="","No",IF(AF343&lt;=AG343,"Yes","No")))</f>
        <v/>
      </c>
      <c r="AI343" s="25" t="str">
        <f aca="false">IF(G343="","",IF(L343="","N/A - Not Detected",IF(AND(X343="",Y343="",Z343=""),"No Containment Action",IF(Z343="",IF(Y343&lt;&gt;"","C2 Persisted","Host Isolation Gap"),IF(AF343&lt;=AG343,"Contained - Within SLA","Contained - SLA Breach")))))</f>
        <v/>
      </c>
      <c r="AJ343" s="25" t="str">
        <f aca="false">IF(G343="","",IF(Z343&lt;&gt;"",1,0))</f>
        <v/>
      </c>
      <c r="AK343" s="34"/>
      <c r="AL343" s="34"/>
      <c r="AM343" s="35"/>
      <c r="AN343" s="34"/>
      <c r="AO343" s="34"/>
      <c r="AP343" s="35"/>
      <c r="AQ343" s="34"/>
      <c r="AR343" s="34"/>
      <c r="AS343" s="34"/>
      <c r="AT343" s="35"/>
      <c r="AU343" s="35"/>
    </row>
    <row r="344" customFormat="false" ht="15" hidden="false" customHeight="false" outlineLevel="0" collapsed="false">
      <c r="A344" s="24"/>
      <c r="B344" s="24"/>
      <c r="C344" s="24"/>
      <c r="D344" s="24"/>
      <c r="E344" s="24"/>
      <c r="F344" s="24"/>
      <c r="G344" s="24"/>
      <c r="H344" s="24"/>
      <c r="I344" s="32"/>
      <c r="J344" s="32"/>
      <c r="K344" s="32"/>
      <c r="L344" s="32"/>
      <c r="M344" s="24"/>
      <c r="N344" s="24"/>
      <c r="O344" s="24"/>
      <c r="P344" s="33" t="str">
        <f aca="false">IF(AND(G344&lt;&gt;"",I344&lt;&gt;"",J344&lt;&gt;""),(J344-I344)*1440,"")</f>
        <v/>
      </c>
      <c r="Q344" s="33" t="str">
        <f aca="false">IF(AND(G344&lt;&gt;"",J344&lt;&gt;"",K344&lt;&gt;""),(K344-J344)*1440,"")</f>
        <v/>
      </c>
      <c r="R344" s="33" t="str">
        <f aca="false">IF(AND(G344&lt;&gt;"",K344&lt;&gt;"",L344&lt;&gt;""),(L344-K344)*1440,"")</f>
        <v/>
      </c>
      <c r="S344" s="33" t="str">
        <f aca="false">IF(AND(G344&lt;&gt;"",I344&lt;&gt;"",L344&lt;&gt;""),(L344-I344)*1440,"")</f>
        <v/>
      </c>
      <c r="T344" s="33" t="str">
        <f aca="false">IF(G344="","",IFERROR(INDEX(Settings!$B$5:$B$8,MATCH(G344,Settings!$A$5:$A$8,0)),""))</f>
        <v/>
      </c>
      <c r="U344" s="25" t="str">
        <f aca="false">IF(G344="","",IF(S344="","No",IF(S344&lt;=T344,"Yes","No")))</f>
        <v/>
      </c>
      <c r="V344" s="25" t="str">
        <f aca="false">IF(G344="","",IF(AND(J344="",K344="",L344=""),"Telemetry Blind Spot",IF(AND(K344="",L344=""),"Missed Alert",IF(L344="","Triage Delay",IF(S344&lt;=T344,"Detected - Within SLA",IF(AND(R344&lt;&gt;"",R344&gt;IFERROR(INDEX(Settings!$C$5:$C$8,MATCH(G344,Settings!$A$5:$A$8,0)),1E+099)),"Triage Delay","Detected - SLA Breach"))))))</f>
        <v/>
      </c>
      <c r="W344" s="25" t="str">
        <f aca="false">IF(G344="","",IF(L344&lt;&gt;"",1,0))</f>
        <v/>
      </c>
      <c r="X344" s="32"/>
      <c r="Y344" s="32"/>
      <c r="Z344" s="32"/>
      <c r="AA344" s="24"/>
      <c r="AB344" s="24"/>
      <c r="AC344" s="33" t="str">
        <f aca="false">IF(AND(G344&lt;&gt;"",L344&lt;&gt;"",X344&lt;&gt;""),(X344-L344)*1440,"")</f>
        <v/>
      </c>
      <c r="AD344" s="33" t="str">
        <f aca="false">IF(AND(G344&lt;&gt;"",X344&lt;&gt;"",Y344&lt;&gt;""),(Y344-X344)*1440,"")</f>
        <v/>
      </c>
      <c r="AE344" s="33" t="str">
        <f aca="false">IF(AND(G344&lt;&gt;"",Y344&lt;&gt;"",Z344&lt;&gt;""),(Z344-Y344)*1440,"")</f>
        <v/>
      </c>
      <c r="AF344" s="33" t="str">
        <f aca="false">IF(AND(G344&lt;&gt;"",L344&lt;&gt;"",Z344&lt;&gt;""),(Z344-L344)*1440,"")</f>
        <v/>
      </c>
      <c r="AG344" s="33" t="str">
        <f aca="false">IF(G344="","",IFERROR(INDEX(Settings!$D$5:$D$8,MATCH(G344,Settings!$A$5:$A$8,0)),""))</f>
        <v/>
      </c>
      <c r="AH344" s="25" t="str">
        <f aca="false">IF(G344="","",IF(AF344="","No",IF(AF344&lt;=AG344,"Yes","No")))</f>
        <v/>
      </c>
      <c r="AI344" s="25" t="str">
        <f aca="false">IF(G344="","",IF(L344="","N/A - Not Detected",IF(AND(X344="",Y344="",Z344=""),"No Containment Action",IF(Z344="",IF(Y344&lt;&gt;"","C2 Persisted","Host Isolation Gap"),IF(AF344&lt;=AG344,"Contained - Within SLA","Contained - SLA Breach")))))</f>
        <v/>
      </c>
      <c r="AJ344" s="25" t="str">
        <f aca="false">IF(G344="","",IF(Z344&lt;&gt;"",1,0))</f>
        <v/>
      </c>
      <c r="AK344" s="34"/>
      <c r="AL344" s="34"/>
      <c r="AM344" s="35"/>
      <c r="AN344" s="34"/>
      <c r="AO344" s="34"/>
      <c r="AP344" s="35"/>
      <c r="AQ344" s="34"/>
      <c r="AR344" s="34"/>
      <c r="AS344" s="34"/>
      <c r="AT344" s="35"/>
      <c r="AU344" s="35"/>
    </row>
    <row r="345" customFormat="false" ht="15" hidden="false" customHeight="false" outlineLevel="0" collapsed="false">
      <c r="A345" s="24"/>
      <c r="B345" s="24"/>
      <c r="C345" s="24"/>
      <c r="D345" s="24"/>
      <c r="E345" s="24"/>
      <c r="F345" s="24"/>
      <c r="G345" s="24"/>
      <c r="H345" s="24"/>
      <c r="I345" s="32"/>
      <c r="J345" s="32"/>
      <c r="K345" s="32"/>
      <c r="L345" s="32"/>
      <c r="M345" s="24"/>
      <c r="N345" s="24"/>
      <c r="O345" s="24"/>
      <c r="P345" s="33" t="str">
        <f aca="false">IF(AND(G345&lt;&gt;"",I345&lt;&gt;"",J345&lt;&gt;""),(J345-I345)*1440,"")</f>
        <v/>
      </c>
      <c r="Q345" s="33" t="str">
        <f aca="false">IF(AND(G345&lt;&gt;"",J345&lt;&gt;"",K345&lt;&gt;""),(K345-J345)*1440,"")</f>
        <v/>
      </c>
      <c r="R345" s="33" t="str">
        <f aca="false">IF(AND(G345&lt;&gt;"",K345&lt;&gt;"",L345&lt;&gt;""),(L345-K345)*1440,"")</f>
        <v/>
      </c>
      <c r="S345" s="33" t="str">
        <f aca="false">IF(AND(G345&lt;&gt;"",I345&lt;&gt;"",L345&lt;&gt;""),(L345-I345)*1440,"")</f>
        <v/>
      </c>
      <c r="T345" s="33" t="str">
        <f aca="false">IF(G345="","",IFERROR(INDEX(Settings!$B$5:$B$8,MATCH(G345,Settings!$A$5:$A$8,0)),""))</f>
        <v/>
      </c>
      <c r="U345" s="25" t="str">
        <f aca="false">IF(G345="","",IF(S345="","No",IF(S345&lt;=T345,"Yes","No")))</f>
        <v/>
      </c>
      <c r="V345" s="25" t="str">
        <f aca="false">IF(G345="","",IF(AND(J345="",K345="",L345=""),"Telemetry Blind Spot",IF(AND(K345="",L345=""),"Missed Alert",IF(L345="","Triage Delay",IF(S345&lt;=T345,"Detected - Within SLA",IF(AND(R345&lt;&gt;"",R345&gt;IFERROR(INDEX(Settings!$C$5:$C$8,MATCH(G345,Settings!$A$5:$A$8,0)),1E+099)),"Triage Delay","Detected - SLA Breach"))))))</f>
        <v/>
      </c>
      <c r="W345" s="25" t="str">
        <f aca="false">IF(G345="","",IF(L345&lt;&gt;"",1,0))</f>
        <v/>
      </c>
      <c r="X345" s="32"/>
      <c r="Y345" s="32"/>
      <c r="Z345" s="32"/>
      <c r="AA345" s="24"/>
      <c r="AB345" s="24"/>
      <c r="AC345" s="33" t="str">
        <f aca="false">IF(AND(G345&lt;&gt;"",L345&lt;&gt;"",X345&lt;&gt;""),(X345-L345)*1440,"")</f>
        <v/>
      </c>
      <c r="AD345" s="33" t="str">
        <f aca="false">IF(AND(G345&lt;&gt;"",X345&lt;&gt;"",Y345&lt;&gt;""),(Y345-X345)*1440,"")</f>
        <v/>
      </c>
      <c r="AE345" s="33" t="str">
        <f aca="false">IF(AND(G345&lt;&gt;"",Y345&lt;&gt;"",Z345&lt;&gt;""),(Z345-Y345)*1440,"")</f>
        <v/>
      </c>
      <c r="AF345" s="33" t="str">
        <f aca="false">IF(AND(G345&lt;&gt;"",L345&lt;&gt;"",Z345&lt;&gt;""),(Z345-L345)*1440,"")</f>
        <v/>
      </c>
      <c r="AG345" s="33" t="str">
        <f aca="false">IF(G345="","",IFERROR(INDEX(Settings!$D$5:$D$8,MATCH(G345,Settings!$A$5:$A$8,0)),""))</f>
        <v/>
      </c>
      <c r="AH345" s="25" t="str">
        <f aca="false">IF(G345="","",IF(AF345="","No",IF(AF345&lt;=AG345,"Yes","No")))</f>
        <v/>
      </c>
      <c r="AI345" s="25" t="str">
        <f aca="false">IF(G345="","",IF(L345="","N/A - Not Detected",IF(AND(X345="",Y345="",Z345=""),"No Containment Action",IF(Z345="",IF(Y345&lt;&gt;"","C2 Persisted","Host Isolation Gap"),IF(AF345&lt;=AG345,"Contained - Within SLA","Contained - SLA Breach")))))</f>
        <v/>
      </c>
      <c r="AJ345" s="25" t="str">
        <f aca="false">IF(G345="","",IF(Z345&lt;&gt;"",1,0))</f>
        <v/>
      </c>
      <c r="AK345" s="34"/>
      <c r="AL345" s="34"/>
      <c r="AM345" s="35"/>
      <c r="AN345" s="34"/>
      <c r="AO345" s="34"/>
      <c r="AP345" s="35"/>
      <c r="AQ345" s="34"/>
      <c r="AR345" s="34"/>
      <c r="AS345" s="34"/>
      <c r="AT345" s="35"/>
      <c r="AU345" s="35"/>
    </row>
    <row r="346" customFormat="false" ht="15" hidden="false" customHeight="false" outlineLevel="0" collapsed="false">
      <c r="A346" s="24"/>
      <c r="B346" s="24"/>
      <c r="C346" s="24"/>
      <c r="D346" s="24"/>
      <c r="E346" s="24"/>
      <c r="F346" s="24"/>
      <c r="G346" s="24"/>
      <c r="H346" s="24"/>
      <c r="I346" s="32"/>
      <c r="J346" s="32"/>
      <c r="K346" s="32"/>
      <c r="L346" s="32"/>
      <c r="M346" s="24"/>
      <c r="N346" s="24"/>
      <c r="O346" s="24"/>
      <c r="P346" s="33" t="str">
        <f aca="false">IF(AND(G346&lt;&gt;"",I346&lt;&gt;"",J346&lt;&gt;""),(J346-I346)*1440,"")</f>
        <v/>
      </c>
      <c r="Q346" s="33" t="str">
        <f aca="false">IF(AND(G346&lt;&gt;"",J346&lt;&gt;"",K346&lt;&gt;""),(K346-J346)*1440,"")</f>
        <v/>
      </c>
      <c r="R346" s="33" t="str">
        <f aca="false">IF(AND(G346&lt;&gt;"",K346&lt;&gt;"",L346&lt;&gt;""),(L346-K346)*1440,"")</f>
        <v/>
      </c>
      <c r="S346" s="33" t="str">
        <f aca="false">IF(AND(G346&lt;&gt;"",I346&lt;&gt;"",L346&lt;&gt;""),(L346-I346)*1440,"")</f>
        <v/>
      </c>
      <c r="T346" s="33" t="str">
        <f aca="false">IF(G346="","",IFERROR(INDEX(Settings!$B$5:$B$8,MATCH(G346,Settings!$A$5:$A$8,0)),""))</f>
        <v/>
      </c>
      <c r="U346" s="25" t="str">
        <f aca="false">IF(G346="","",IF(S346="","No",IF(S346&lt;=T346,"Yes","No")))</f>
        <v/>
      </c>
      <c r="V346" s="25" t="str">
        <f aca="false">IF(G346="","",IF(AND(J346="",K346="",L346=""),"Telemetry Blind Spot",IF(AND(K346="",L346=""),"Missed Alert",IF(L346="","Triage Delay",IF(S346&lt;=T346,"Detected - Within SLA",IF(AND(R346&lt;&gt;"",R346&gt;IFERROR(INDEX(Settings!$C$5:$C$8,MATCH(G346,Settings!$A$5:$A$8,0)),1E+099)),"Triage Delay","Detected - SLA Breach"))))))</f>
        <v/>
      </c>
      <c r="W346" s="25" t="str">
        <f aca="false">IF(G346="","",IF(L346&lt;&gt;"",1,0))</f>
        <v/>
      </c>
      <c r="X346" s="32"/>
      <c r="Y346" s="32"/>
      <c r="Z346" s="32"/>
      <c r="AA346" s="24"/>
      <c r="AB346" s="24"/>
      <c r="AC346" s="33" t="str">
        <f aca="false">IF(AND(G346&lt;&gt;"",L346&lt;&gt;"",X346&lt;&gt;""),(X346-L346)*1440,"")</f>
        <v/>
      </c>
      <c r="AD346" s="33" t="str">
        <f aca="false">IF(AND(G346&lt;&gt;"",X346&lt;&gt;"",Y346&lt;&gt;""),(Y346-X346)*1440,"")</f>
        <v/>
      </c>
      <c r="AE346" s="33" t="str">
        <f aca="false">IF(AND(G346&lt;&gt;"",Y346&lt;&gt;"",Z346&lt;&gt;""),(Z346-Y346)*1440,"")</f>
        <v/>
      </c>
      <c r="AF346" s="33" t="str">
        <f aca="false">IF(AND(G346&lt;&gt;"",L346&lt;&gt;"",Z346&lt;&gt;""),(Z346-L346)*1440,"")</f>
        <v/>
      </c>
      <c r="AG346" s="33" t="str">
        <f aca="false">IF(G346="","",IFERROR(INDEX(Settings!$D$5:$D$8,MATCH(G346,Settings!$A$5:$A$8,0)),""))</f>
        <v/>
      </c>
      <c r="AH346" s="25" t="str">
        <f aca="false">IF(G346="","",IF(AF346="","No",IF(AF346&lt;=AG346,"Yes","No")))</f>
        <v/>
      </c>
      <c r="AI346" s="25" t="str">
        <f aca="false">IF(G346="","",IF(L346="","N/A - Not Detected",IF(AND(X346="",Y346="",Z346=""),"No Containment Action",IF(Z346="",IF(Y346&lt;&gt;"","C2 Persisted","Host Isolation Gap"),IF(AF346&lt;=AG346,"Contained - Within SLA","Contained - SLA Breach")))))</f>
        <v/>
      </c>
      <c r="AJ346" s="25" t="str">
        <f aca="false">IF(G346="","",IF(Z346&lt;&gt;"",1,0))</f>
        <v/>
      </c>
      <c r="AK346" s="34"/>
      <c r="AL346" s="34"/>
      <c r="AM346" s="35"/>
      <c r="AN346" s="34"/>
      <c r="AO346" s="34"/>
      <c r="AP346" s="35"/>
      <c r="AQ346" s="34"/>
      <c r="AR346" s="34"/>
      <c r="AS346" s="34"/>
      <c r="AT346" s="35"/>
      <c r="AU346" s="35"/>
    </row>
    <row r="347" customFormat="false" ht="15" hidden="false" customHeight="false" outlineLevel="0" collapsed="false">
      <c r="A347" s="24"/>
      <c r="B347" s="24"/>
      <c r="C347" s="24"/>
      <c r="D347" s="24"/>
      <c r="E347" s="24"/>
      <c r="F347" s="24"/>
      <c r="G347" s="24"/>
      <c r="H347" s="24"/>
      <c r="I347" s="32"/>
      <c r="J347" s="32"/>
      <c r="K347" s="32"/>
      <c r="L347" s="32"/>
      <c r="M347" s="24"/>
      <c r="N347" s="24"/>
      <c r="O347" s="24"/>
      <c r="P347" s="33" t="str">
        <f aca="false">IF(AND(G347&lt;&gt;"",I347&lt;&gt;"",J347&lt;&gt;""),(J347-I347)*1440,"")</f>
        <v/>
      </c>
      <c r="Q347" s="33" t="str">
        <f aca="false">IF(AND(G347&lt;&gt;"",J347&lt;&gt;"",K347&lt;&gt;""),(K347-J347)*1440,"")</f>
        <v/>
      </c>
      <c r="R347" s="33" t="str">
        <f aca="false">IF(AND(G347&lt;&gt;"",K347&lt;&gt;"",L347&lt;&gt;""),(L347-K347)*1440,"")</f>
        <v/>
      </c>
      <c r="S347" s="33" t="str">
        <f aca="false">IF(AND(G347&lt;&gt;"",I347&lt;&gt;"",L347&lt;&gt;""),(L347-I347)*1440,"")</f>
        <v/>
      </c>
      <c r="T347" s="33" t="str">
        <f aca="false">IF(G347="","",IFERROR(INDEX(Settings!$B$5:$B$8,MATCH(G347,Settings!$A$5:$A$8,0)),""))</f>
        <v/>
      </c>
      <c r="U347" s="25" t="str">
        <f aca="false">IF(G347="","",IF(S347="","No",IF(S347&lt;=T347,"Yes","No")))</f>
        <v/>
      </c>
      <c r="V347" s="25" t="str">
        <f aca="false">IF(G347="","",IF(AND(J347="",K347="",L347=""),"Telemetry Blind Spot",IF(AND(K347="",L347=""),"Missed Alert",IF(L347="","Triage Delay",IF(S347&lt;=T347,"Detected - Within SLA",IF(AND(R347&lt;&gt;"",R347&gt;IFERROR(INDEX(Settings!$C$5:$C$8,MATCH(G347,Settings!$A$5:$A$8,0)),1E+099)),"Triage Delay","Detected - SLA Breach"))))))</f>
        <v/>
      </c>
      <c r="W347" s="25" t="str">
        <f aca="false">IF(G347="","",IF(L347&lt;&gt;"",1,0))</f>
        <v/>
      </c>
      <c r="X347" s="32"/>
      <c r="Y347" s="32"/>
      <c r="Z347" s="32"/>
      <c r="AA347" s="24"/>
      <c r="AB347" s="24"/>
      <c r="AC347" s="33" t="str">
        <f aca="false">IF(AND(G347&lt;&gt;"",L347&lt;&gt;"",X347&lt;&gt;""),(X347-L347)*1440,"")</f>
        <v/>
      </c>
      <c r="AD347" s="33" t="str">
        <f aca="false">IF(AND(G347&lt;&gt;"",X347&lt;&gt;"",Y347&lt;&gt;""),(Y347-X347)*1440,"")</f>
        <v/>
      </c>
      <c r="AE347" s="33" t="str">
        <f aca="false">IF(AND(G347&lt;&gt;"",Y347&lt;&gt;"",Z347&lt;&gt;""),(Z347-Y347)*1440,"")</f>
        <v/>
      </c>
      <c r="AF347" s="33" t="str">
        <f aca="false">IF(AND(G347&lt;&gt;"",L347&lt;&gt;"",Z347&lt;&gt;""),(Z347-L347)*1440,"")</f>
        <v/>
      </c>
      <c r="AG347" s="33" t="str">
        <f aca="false">IF(G347="","",IFERROR(INDEX(Settings!$D$5:$D$8,MATCH(G347,Settings!$A$5:$A$8,0)),""))</f>
        <v/>
      </c>
      <c r="AH347" s="25" t="str">
        <f aca="false">IF(G347="","",IF(AF347="","No",IF(AF347&lt;=AG347,"Yes","No")))</f>
        <v/>
      </c>
      <c r="AI347" s="25" t="str">
        <f aca="false">IF(G347="","",IF(L347="","N/A - Not Detected",IF(AND(X347="",Y347="",Z347=""),"No Containment Action",IF(Z347="",IF(Y347&lt;&gt;"","C2 Persisted","Host Isolation Gap"),IF(AF347&lt;=AG347,"Contained - Within SLA","Contained - SLA Breach")))))</f>
        <v/>
      </c>
      <c r="AJ347" s="25" t="str">
        <f aca="false">IF(G347="","",IF(Z347&lt;&gt;"",1,0))</f>
        <v/>
      </c>
      <c r="AK347" s="34"/>
      <c r="AL347" s="34"/>
      <c r="AM347" s="35"/>
      <c r="AN347" s="34"/>
      <c r="AO347" s="34"/>
      <c r="AP347" s="35"/>
      <c r="AQ347" s="34"/>
      <c r="AR347" s="34"/>
      <c r="AS347" s="34"/>
      <c r="AT347" s="35"/>
      <c r="AU347" s="35"/>
    </row>
    <row r="348" customFormat="false" ht="15" hidden="false" customHeight="false" outlineLevel="0" collapsed="false">
      <c r="A348" s="24"/>
      <c r="B348" s="24"/>
      <c r="C348" s="24"/>
      <c r="D348" s="24"/>
      <c r="E348" s="24"/>
      <c r="F348" s="24"/>
      <c r="G348" s="24"/>
      <c r="H348" s="24"/>
      <c r="I348" s="32"/>
      <c r="J348" s="32"/>
      <c r="K348" s="32"/>
      <c r="L348" s="32"/>
      <c r="M348" s="24"/>
      <c r="N348" s="24"/>
      <c r="O348" s="24"/>
      <c r="P348" s="33" t="str">
        <f aca="false">IF(AND(G348&lt;&gt;"",I348&lt;&gt;"",J348&lt;&gt;""),(J348-I348)*1440,"")</f>
        <v/>
      </c>
      <c r="Q348" s="33" t="str">
        <f aca="false">IF(AND(G348&lt;&gt;"",J348&lt;&gt;"",K348&lt;&gt;""),(K348-J348)*1440,"")</f>
        <v/>
      </c>
      <c r="R348" s="33" t="str">
        <f aca="false">IF(AND(G348&lt;&gt;"",K348&lt;&gt;"",L348&lt;&gt;""),(L348-K348)*1440,"")</f>
        <v/>
      </c>
      <c r="S348" s="33" t="str">
        <f aca="false">IF(AND(G348&lt;&gt;"",I348&lt;&gt;"",L348&lt;&gt;""),(L348-I348)*1440,"")</f>
        <v/>
      </c>
      <c r="T348" s="33" t="str">
        <f aca="false">IF(G348="","",IFERROR(INDEX(Settings!$B$5:$B$8,MATCH(G348,Settings!$A$5:$A$8,0)),""))</f>
        <v/>
      </c>
      <c r="U348" s="25" t="str">
        <f aca="false">IF(G348="","",IF(S348="","No",IF(S348&lt;=T348,"Yes","No")))</f>
        <v/>
      </c>
      <c r="V348" s="25" t="str">
        <f aca="false">IF(G348="","",IF(AND(J348="",K348="",L348=""),"Telemetry Blind Spot",IF(AND(K348="",L348=""),"Missed Alert",IF(L348="","Triage Delay",IF(S348&lt;=T348,"Detected - Within SLA",IF(AND(R348&lt;&gt;"",R348&gt;IFERROR(INDEX(Settings!$C$5:$C$8,MATCH(G348,Settings!$A$5:$A$8,0)),1E+099)),"Triage Delay","Detected - SLA Breach"))))))</f>
        <v/>
      </c>
      <c r="W348" s="25" t="str">
        <f aca="false">IF(G348="","",IF(L348&lt;&gt;"",1,0))</f>
        <v/>
      </c>
      <c r="X348" s="32"/>
      <c r="Y348" s="32"/>
      <c r="Z348" s="32"/>
      <c r="AA348" s="24"/>
      <c r="AB348" s="24"/>
      <c r="AC348" s="33" t="str">
        <f aca="false">IF(AND(G348&lt;&gt;"",L348&lt;&gt;"",X348&lt;&gt;""),(X348-L348)*1440,"")</f>
        <v/>
      </c>
      <c r="AD348" s="33" t="str">
        <f aca="false">IF(AND(G348&lt;&gt;"",X348&lt;&gt;"",Y348&lt;&gt;""),(Y348-X348)*1440,"")</f>
        <v/>
      </c>
      <c r="AE348" s="33" t="str">
        <f aca="false">IF(AND(G348&lt;&gt;"",Y348&lt;&gt;"",Z348&lt;&gt;""),(Z348-Y348)*1440,"")</f>
        <v/>
      </c>
      <c r="AF348" s="33" t="str">
        <f aca="false">IF(AND(G348&lt;&gt;"",L348&lt;&gt;"",Z348&lt;&gt;""),(Z348-L348)*1440,"")</f>
        <v/>
      </c>
      <c r="AG348" s="33" t="str">
        <f aca="false">IF(G348="","",IFERROR(INDEX(Settings!$D$5:$D$8,MATCH(G348,Settings!$A$5:$A$8,0)),""))</f>
        <v/>
      </c>
      <c r="AH348" s="25" t="str">
        <f aca="false">IF(G348="","",IF(AF348="","No",IF(AF348&lt;=AG348,"Yes","No")))</f>
        <v/>
      </c>
      <c r="AI348" s="25" t="str">
        <f aca="false">IF(G348="","",IF(L348="","N/A - Not Detected",IF(AND(X348="",Y348="",Z348=""),"No Containment Action",IF(Z348="",IF(Y348&lt;&gt;"","C2 Persisted","Host Isolation Gap"),IF(AF348&lt;=AG348,"Contained - Within SLA","Contained - SLA Breach")))))</f>
        <v/>
      </c>
      <c r="AJ348" s="25" t="str">
        <f aca="false">IF(G348="","",IF(Z348&lt;&gt;"",1,0))</f>
        <v/>
      </c>
      <c r="AK348" s="34"/>
      <c r="AL348" s="34"/>
      <c r="AM348" s="35"/>
      <c r="AN348" s="34"/>
      <c r="AO348" s="34"/>
      <c r="AP348" s="35"/>
      <c r="AQ348" s="34"/>
      <c r="AR348" s="34"/>
      <c r="AS348" s="34"/>
      <c r="AT348" s="35"/>
      <c r="AU348" s="35"/>
    </row>
    <row r="349" customFormat="false" ht="15" hidden="false" customHeight="false" outlineLevel="0" collapsed="false">
      <c r="A349" s="24"/>
      <c r="B349" s="24"/>
      <c r="C349" s="24"/>
      <c r="D349" s="24"/>
      <c r="E349" s="24"/>
      <c r="F349" s="24"/>
      <c r="G349" s="24"/>
      <c r="H349" s="24"/>
      <c r="I349" s="32"/>
      <c r="J349" s="32"/>
      <c r="K349" s="32"/>
      <c r="L349" s="32"/>
      <c r="M349" s="24"/>
      <c r="N349" s="24"/>
      <c r="O349" s="24"/>
      <c r="P349" s="33" t="str">
        <f aca="false">IF(AND(G349&lt;&gt;"",I349&lt;&gt;"",J349&lt;&gt;""),(J349-I349)*1440,"")</f>
        <v/>
      </c>
      <c r="Q349" s="33" t="str">
        <f aca="false">IF(AND(G349&lt;&gt;"",J349&lt;&gt;"",K349&lt;&gt;""),(K349-J349)*1440,"")</f>
        <v/>
      </c>
      <c r="R349" s="33" t="str">
        <f aca="false">IF(AND(G349&lt;&gt;"",K349&lt;&gt;"",L349&lt;&gt;""),(L349-K349)*1440,"")</f>
        <v/>
      </c>
      <c r="S349" s="33" t="str">
        <f aca="false">IF(AND(G349&lt;&gt;"",I349&lt;&gt;"",L349&lt;&gt;""),(L349-I349)*1440,"")</f>
        <v/>
      </c>
      <c r="T349" s="33" t="str">
        <f aca="false">IF(G349="","",IFERROR(INDEX(Settings!$B$5:$B$8,MATCH(G349,Settings!$A$5:$A$8,0)),""))</f>
        <v/>
      </c>
      <c r="U349" s="25" t="str">
        <f aca="false">IF(G349="","",IF(S349="","No",IF(S349&lt;=T349,"Yes","No")))</f>
        <v/>
      </c>
      <c r="V349" s="25" t="str">
        <f aca="false">IF(G349="","",IF(AND(J349="",K349="",L349=""),"Telemetry Blind Spot",IF(AND(K349="",L349=""),"Missed Alert",IF(L349="","Triage Delay",IF(S349&lt;=T349,"Detected - Within SLA",IF(AND(R349&lt;&gt;"",R349&gt;IFERROR(INDEX(Settings!$C$5:$C$8,MATCH(G349,Settings!$A$5:$A$8,0)),1E+099)),"Triage Delay","Detected - SLA Breach"))))))</f>
        <v/>
      </c>
      <c r="W349" s="25" t="str">
        <f aca="false">IF(G349="","",IF(L349&lt;&gt;"",1,0))</f>
        <v/>
      </c>
      <c r="X349" s="32"/>
      <c r="Y349" s="32"/>
      <c r="Z349" s="32"/>
      <c r="AA349" s="24"/>
      <c r="AB349" s="24"/>
      <c r="AC349" s="33" t="str">
        <f aca="false">IF(AND(G349&lt;&gt;"",L349&lt;&gt;"",X349&lt;&gt;""),(X349-L349)*1440,"")</f>
        <v/>
      </c>
      <c r="AD349" s="33" t="str">
        <f aca="false">IF(AND(G349&lt;&gt;"",X349&lt;&gt;"",Y349&lt;&gt;""),(Y349-X349)*1440,"")</f>
        <v/>
      </c>
      <c r="AE349" s="33" t="str">
        <f aca="false">IF(AND(G349&lt;&gt;"",Y349&lt;&gt;"",Z349&lt;&gt;""),(Z349-Y349)*1440,"")</f>
        <v/>
      </c>
      <c r="AF349" s="33" t="str">
        <f aca="false">IF(AND(G349&lt;&gt;"",L349&lt;&gt;"",Z349&lt;&gt;""),(Z349-L349)*1440,"")</f>
        <v/>
      </c>
      <c r="AG349" s="33" t="str">
        <f aca="false">IF(G349="","",IFERROR(INDEX(Settings!$D$5:$D$8,MATCH(G349,Settings!$A$5:$A$8,0)),""))</f>
        <v/>
      </c>
      <c r="AH349" s="25" t="str">
        <f aca="false">IF(G349="","",IF(AF349="","No",IF(AF349&lt;=AG349,"Yes","No")))</f>
        <v/>
      </c>
      <c r="AI349" s="25" t="str">
        <f aca="false">IF(G349="","",IF(L349="","N/A - Not Detected",IF(AND(X349="",Y349="",Z349=""),"No Containment Action",IF(Z349="",IF(Y349&lt;&gt;"","C2 Persisted","Host Isolation Gap"),IF(AF349&lt;=AG349,"Contained - Within SLA","Contained - SLA Breach")))))</f>
        <v/>
      </c>
      <c r="AJ349" s="25" t="str">
        <f aca="false">IF(G349="","",IF(Z349&lt;&gt;"",1,0))</f>
        <v/>
      </c>
      <c r="AK349" s="34"/>
      <c r="AL349" s="34"/>
      <c r="AM349" s="35"/>
      <c r="AN349" s="34"/>
      <c r="AO349" s="34"/>
      <c r="AP349" s="35"/>
      <c r="AQ349" s="34"/>
      <c r="AR349" s="34"/>
      <c r="AS349" s="34"/>
      <c r="AT349" s="35"/>
      <c r="AU349" s="35"/>
    </row>
    <row r="350" customFormat="false" ht="15" hidden="false" customHeight="false" outlineLevel="0" collapsed="false">
      <c r="A350" s="24"/>
      <c r="B350" s="24"/>
      <c r="C350" s="24"/>
      <c r="D350" s="24"/>
      <c r="E350" s="24"/>
      <c r="F350" s="24"/>
      <c r="G350" s="24"/>
      <c r="H350" s="24"/>
      <c r="I350" s="32"/>
      <c r="J350" s="32"/>
      <c r="K350" s="32"/>
      <c r="L350" s="32"/>
      <c r="M350" s="24"/>
      <c r="N350" s="24"/>
      <c r="O350" s="24"/>
      <c r="P350" s="33" t="str">
        <f aca="false">IF(AND(G350&lt;&gt;"",I350&lt;&gt;"",J350&lt;&gt;""),(J350-I350)*1440,"")</f>
        <v/>
      </c>
      <c r="Q350" s="33" t="str">
        <f aca="false">IF(AND(G350&lt;&gt;"",J350&lt;&gt;"",K350&lt;&gt;""),(K350-J350)*1440,"")</f>
        <v/>
      </c>
      <c r="R350" s="33" t="str">
        <f aca="false">IF(AND(G350&lt;&gt;"",K350&lt;&gt;"",L350&lt;&gt;""),(L350-K350)*1440,"")</f>
        <v/>
      </c>
      <c r="S350" s="33" t="str">
        <f aca="false">IF(AND(G350&lt;&gt;"",I350&lt;&gt;"",L350&lt;&gt;""),(L350-I350)*1440,"")</f>
        <v/>
      </c>
      <c r="T350" s="33" t="str">
        <f aca="false">IF(G350="","",IFERROR(INDEX(Settings!$B$5:$B$8,MATCH(G350,Settings!$A$5:$A$8,0)),""))</f>
        <v/>
      </c>
      <c r="U350" s="25" t="str">
        <f aca="false">IF(G350="","",IF(S350="","No",IF(S350&lt;=T350,"Yes","No")))</f>
        <v/>
      </c>
      <c r="V350" s="25" t="str">
        <f aca="false">IF(G350="","",IF(AND(J350="",K350="",L350=""),"Telemetry Blind Spot",IF(AND(K350="",L350=""),"Missed Alert",IF(L350="","Triage Delay",IF(S350&lt;=T350,"Detected - Within SLA",IF(AND(R350&lt;&gt;"",R350&gt;IFERROR(INDEX(Settings!$C$5:$C$8,MATCH(G350,Settings!$A$5:$A$8,0)),1E+099)),"Triage Delay","Detected - SLA Breach"))))))</f>
        <v/>
      </c>
      <c r="W350" s="25" t="str">
        <f aca="false">IF(G350="","",IF(L350&lt;&gt;"",1,0))</f>
        <v/>
      </c>
      <c r="X350" s="32"/>
      <c r="Y350" s="32"/>
      <c r="Z350" s="32"/>
      <c r="AA350" s="24"/>
      <c r="AB350" s="24"/>
      <c r="AC350" s="33" t="str">
        <f aca="false">IF(AND(G350&lt;&gt;"",L350&lt;&gt;"",X350&lt;&gt;""),(X350-L350)*1440,"")</f>
        <v/>
      </c>
      <c r="AD350" s="33" t="str">
        <f aca="false">IF(AND(G350&lt;&gt;"",X350&lt;&gt;"",Y350&lt;&gt;""),(Y350-X350)*1440,"")</f>
        <v/>
      </c>
      <c r="AE350" s="33" t="str">
        <f aca="false">IF(AND(G350&lt;&gt;"",Y350&lt;&gt;"",Z350&lt;&gt;""),(Z350-Y350)*1440,"")</f>
        <v/>
      </c>
      <c r="AF350" s="33" t="str">
        <f aca="false">IF(AND(G350&lt;&gt;"",L350&lt;&gt;"",Z350&lt;&gt;""),(Z350-L350)*1440,"")</f>
        <v/>
      </c>
      <c r="AG350" s="33" t="str">
        <f aca="false">IF(G350="","",IFERROR(INDEX(Settings!$D$5:$D$8,MATCH(G350,Settings!$A$5:$A$8,0)),""))</f>
        <v/>
      </c>
      <c r="AH350" s="25" t="str">
        <f aca="false">IF(G350="","",IF(AF350="","No",IF(AF350&lt;=AG350,"Yes","No")))</f>
        <v/>
      </c>
      <c r="AI350" s="25" t="str">
        <f aca="false">IF(G350="","",IF(L350="","N/A - Not Detected",IF(AND(X350="",Y350="",Z350=""),"No Containment Action",IF(Z350="",IF(Y350&lt;&gt;"","C2 Persisted","Host Isolation Gap"),IF(AF350&lt;=AG350,"Contained - Within SLA","Contained - SLA Breach")))))</f>
        <v/>
      </c>
      <c r="AJ350" s="25" t="str">
        <f aca="false">IF(G350="","",IF(Z350&lt;&gt;"",1,0))</f>
        <v/>
      </c>
      <c r="AK350" s="34"/>
      <c r="AL350" s="34"/>
      <c r="AM350" s="35"/>
      <c r="AN350" s="34"/>
      <c r="AO350" s="34"/>
      <c r="AP350" s="35"/>
      <c r="AQ350" s="34"/>
      <c r="AR350" s="34"/>
      <c r="AS350" s="34"/>
      <c r="AT350" s="35"/>
      <c r="AU350" s="35"/>
    </row>
    <row r="351" customFormat="false" ht="15" hidden="false" customHeight="false" outlineLevel="0" collapsed="false">
      <c r="A351" s="24"/>
      <c r="B351" s="24"/>
      <c r="C351" s="24"/>
      <c r="D351" s="24"/>
      <c r="E351" s="24"/>
      <c r="F351" s="24"/>
      <c r="G351" s="24"/>
      <c r="H351" s="24"/>
      <c r="I351" s="32"/>
      <c r="J351" s="32"/>
      <c r="K351" s="32"/>
      <c r="L351" s="32"/>
      <c r="M351" s="24"/>
      <c r="N351" s="24"/>
      <c r="O351" s="24"/>
      <c r="P351" s="33" t="str">
        <f aca="false">IF(AND(G351&lt;&gt;"",I351&lt;&gt;"",J351&lt;&gt;""),(J351-I351)*1440,"")</f>
        <v/>
      </c>
      <c r="Q351" s="33" t="str">
        <f aca="false">IF(AND(G351&lt;&gt;"",J351&lt;&gt;"",K351&lt;&gt;""),(K351-J351)*1440,"")</f>
        <v/>
      </c>
      <c r="R351" s="33" t="str">
        <f aca="false">IF(AND(G351&lt;&gt;"",K351&lt;&gt;"",L351&lt;&gt;""),(L351-K351)*1440,"")</f>
        <v/>
      </c>
      <c r="S351" s="33" t="str">
        <f aca="false">IF(AND(G351&lt;&gt;"",I351&lt;&gt;"",L351&lt;&gt;""),(L351-I351)*1440,"")</f>
        <v/>
      </c>
      <c r="T351" s="33" t="str">
        <f aca="false">IF(G351="","",IFERROR(INDEX(Settings!$B$5:$B$8,MATCH(G351,Settings!$A$5:$A$8,0)),""))</f>
        <v/>
      </c>
      <c r="U351" s="25" t="str">
        <f aca="false">IF(G351="","",IF(S351="","No",IF(S351&lt;=T351,"Yes","No")))</f>
        <v/>
      </c>
      <c r="V351" s="25" t="str">
        <f aca="false">IF(G351="","",IF(AND(J351="",K351="",L351=""),"Telemetry Blind Spot",IF(AND(K351="",L351=""),"Missed Alert",IF(L351="","Triage Delay",IF(S351&lt;=T351,"Detected - Within SLA",IF(AND(R351&lt;&gt;"",R351&gt;IFERROR(INDEX(Settings!$C$5:$C$8,MATCH(G351,Settings!$A$5:$A$8,0)),1E+099)),"Triage Delay","Detected - SLA Breach"))))))</f>
        <v/>
      </c>
      <c r="W351" s="25" t="str">
        <f aca="false">IF(G351="","",IF(L351&lt;&gt;"",1,0))</f>
        <v/>
      </c>
      <c r="X351" s="32"/>
      <c r="Y351" s="32"/>
      <c r="Z351" s="32"/>
      <c r="AA351" s="24"/>
      <c r="AB351" s="24"/>
      <c r="AC351" s="33" t="str">
        <f aca="false">IF(AND(G351&lt;&gt;"",L351&lt;&gt;"",X351&lt;&gt;""),(X351-L351)*1440,"")</f>
        <v/>
      </c>
      <c r="AD351" s="33" t="str">
        <f aca="false">IF(AND(G351&lt;&gt;"",X351&lt;&gt;"",Y351&lt;&gt;""),(Y351-X351)*1440,"")</f>
        <v/>
      </c>
      <c r="AE351" s="33" t="str">
        <f aca="false">IF(AND(G351&lt;&gt;"",Y351&lt;&gt;"",Z351&lt;&gt;""),(Z351-Y351)*1440,"")</f>
        <v/>
      </c>
      <c r="AF351" s="33" t="str">
        <f aca="false">IF(AND(G351&lt;&gt;"",L351&lt;&gt;"",Z351&lt;&gt;""),(Z351-L351)*1440,"")</f>
        <v/>
      </c>
      <c r="AG351" s="33" t="str">
        <f aca="false">IF(G351="","",IFERROR(INDEX(Settings!$D$5:$D$8,MATCH(G351,Settings!$A$5:$A$8,0)),""))</f>
        <v/>
      </c>
      <c r="AH351" s="25" t="str">
        <f aca="false">IF(G351="","",IF(AF351="","No",IF(AF351&lt;=AG351,"Yes","No")))</f>
        <v/>
      </c>
      <c r="AI351" s="25" t="str">
        <f aca="false">IF(G351="","",IF(L351="","N/A - Not Detected",IF(AND(X351="",Y351="",Z351=""),"No Containment Action",IF(Z351="",IF(Y351&lt;&gt;"","C2 Persisted","Host Isolation Gap"),IF(AF351&lt;=AG351,"Contained - Within SLA","Contained - SLA Breach")))))</f>
        <v/>
      </c>
      <c r="AJ351" s="25" t="str">
        <f aca="false">IF(G351="","",IF(Z351&lt;&gt;"",1,0))</f>
        <v/>
      </c>
      <c r="AK351" s="34"/>
      <c r="AL351" s="34"/>
      <c r="AM351" s="35"/>
      <c r="AN351" s="34"/>
      <c r="AO351" s="34"/>
      <c r="AP351" s="35"/>
      <c r="AQ351" s="34"/>
      <c r="AR351" s="34"/>
      <c r="AS351" s="34"/>
      <c r="AT351" s="35"/>
      <c r="AU351" s="35"/>
    </row>
    <row r="352" customFormat="false" ht="15" hidden="false" customHeight="false" outlineLevel="0" collapsed="false">
      <c r="A352" s="24"/>
      <c r="B352" s="24"/>
      <c r="C352" s="24"/>
      <c r="D352" s="24"/>
      <c r="E352" s="24"/>
      <c r="F352" s="24"/>
      <c r="G352" s="24"/>
      <c r="H352" s="24"/>
      <c r="I352" s="32"/>
      <c r="J352" s="32"/>
      <c r="K352" s="32"/>
      <c r="L352" s="32"/>
      <c r="M352" s="24"/>
      <c r="N352" s="24"/>
      <c r="O352" s="24"/>
      <c r="P352" s="33" t="str">
        <f aca="false">IF(AND(G352&lt;&gt;"",I352&lt;&gt;"",J352&lt;&gt;""),(J352-I352)*1440,"")</f>
        <v/>
      </c>
      <c r="Q352" s="33" t="str">
        <f aca="false">IF(AND(G352&lt;&gt;"",J352&lt;&gt;"",K352&lt;&gt;""),(K352-J352)*1440,"")</f>
        <v/>
      </c>
      <c r="R352" s="33" t="str">
        <f aca="false">IF(AND(G352&lt;&gt;"",K352&lt;&gt;"",L352&lt;&gt;""),(L352-K352)*1440,"")</f>
        <v/>
      </c>
      <c r="S352" s="33" t="str">
        <f aca="false">IF(AND(G352&lt;&gt;"",I352&lt;&gt;"",L352&lt;&gt;""),(L352-I352)*1440,"")</f>
        <v/>
      </c>
      <c r="T352" s="33" t="str">
        <f aca="false">IF(G352="","",IFERROR(INDEX(Settings!$B$5:$B$8,MATCH(G352,Settings!$A$5:$A$8,0)),""))</f>
        <v/>
      </c>
      <c r="U352" s="25" t="str">
        <f aca="false">IF(G352="","",IF(S352="","No",IF(S352&lt;=T352,"Yes","No")))</f>
        <v/>
      </c>
      <c r="V352" s="25" t="str">
        <f aca="false">IF(G352="","",IF(AND(J352="",K352="",L352=""),"Telemetry Blind Spot",IF(AND(K352="",L352=""),"Missed Alert",IF(L352="","Triage Delay",IF(S352&lt;=T352,"Detected - Within SLA",IF(AND(R352&lt;&gt;"",R352&gt;IFERROR(INDEX(Settings!$C$5:$C$8,MATCH(G352,Settings!$A$5:$A$8,0)),1E+099)),"Triage Delay","Detected - SLA Breach"))))))</f>
        <v/>
      </c>
      <c r="W352" s="25" t="str">
        <f aca="false">IF(G352="","",IF(L352&lt;&gt;"",1,0))</f>
        <v/>
      </c>
      <c r="X352" s="32"/>
      <c r="Y352" s="32"/>
      <c r="Z352" s="32"/>
      <c r="AA352" s="24"/>
      <c r="AB352" s="24"/>
      <c r="AC352" s="33" t="str">
        <f aca="false">IF(AND(G352&lt;&gt;"",L352&lt;&gt;"",X352&lt;&gt;""),(X352-L352)*1440,"")</f>
        <v/>
      </c>
      <c r="AD352" s="33" t="str">
        <f aca="false">IF(AND(G352&lt;&gt;"",X352&lt;&gt;"",Y352&lt;&gt;""),(Y352-X352)*1440,"")</f>
        <v/>
      </c>
      <c r="AE352" s="33" t="str">
        <f aca="false">IF(AND(G352&lt;&gt;"",Y352&lt;&gt;"",Z352&lt;&gt;""),(Z352-Y352)*1440,"")</f>
        <v/>
      </c>
      <c r="AF352" s="33" t="str">
        <f aca="false">IF(AND(G352&lt;&gt;"",L352&lt;&gt;"",Z352&lt;&gt;""),(Z352-L352)*1440,"")</f>
        <v/>
      </c>
      <c r="AG352" s="33" t="str">
        <f aca="false">IF(G352="","",IFERROR(INDEX(Settings!$D$5:$D$8,MATCH(G352,Settings!$A$5:$A$8,0)),""))</f>
        <v/>
      </c>
      <c r="AH352" s="25" t="str">
        <f aca="false">IF(G352="","",IF(AF352="","No",IF(AF352&lt;=AG352,"Yes","No")))</f>
        <v/>
      </c>
      <c r="AI352" s="25" t="str">
        <f aca="false">IF(G352="","",IF(L352="","N/A - Not Detected",IF(AND(X352="",Y352="",Z352=""),"No Containment Action",IF(Z352="",IF(Y352&lt;&gt;"","C2 Persisted","Host Isolation Gap"),IF(AF352&lt;=AG352,"Contained - Within SLA","Contained - SLA Breach")))))</f>
        <v/>
      </c>
      <c r="AJ352" s="25" t="str">
        <f aca="false">IF(G352="","",IF(Z352&lt;&gt;"",1,0))</f>
        <v/>
      </c>
      <c r="AK352" s="34"/>
      <c r="AL352" s="34"/>
      <c r="AM352" s="35"/>
      <c r="AN352" s="34"/>
      <c r="AO352" s="34"/>
      <c r="AP352" s="35"/>
      <c r="AQ352" s="34"/>
      <c r="AR352" s="34"/>
      <c r="AS352" s="34"/>
      <c r="AT352" s="35"/>
      <c r="AU352" s="35"/>
    </row>
    <row r="353" customFormat="false" ht="15" hidden="false" customHeight="false" outlineLevel="0" collapsed="false">
      <c r="A353" s="24"/>
      <c r="B353" s="24"/>
      <c r="C353" s="24"/>
      <c r="D353" s="24"/>
      <c r="E353" s="24"/>
      <c r="F353" s="24"/>
      <c r="G353" s="24"/>
      <c r="H353" s="24"/>
      <c r="I353" s="32"/>
      <c r="J353" s="32"/>
      <c r="K353" s="32"/>
      <c r="L353" s="32"/>
      <c r="M353" s="24"/>
      <c r="N353" s="24"/>
      <c r="O353" s="24"/>
      <c r="P353" s="33" t="str">
        <f aca="false">IF(AND(G353&lt;&gt;"",I353&lt;&gt;"",J353&lt;&gt;""),(J353-I353)*1440,"")</f>
        <v/>
      </c>
      <c r="Q353" s="33" t="str">
        <f aca="false">IF(AND(G353&lt;&gt;"",J353&lt;&gt;"",K353&lt;&gt;""),(K353-J353)*1440,"")</f>
        <v/>
      </c>
      <c r="R353" s="33" t="str">
        <f aca="false">IF(AND(G353&lt;&gt;"",K353&lt;&gt;"",L353&lt;&gt;""),(L353-K353)*1440,"")</f>
        <v/>
      </c>
      <c r="S353" s="33" t="str">
        <f aca="false">IF(AND(G353&lt;&gt;"",I353&lt;&gt;"",L353&lt;&gt;""),(L353-I353)*1440,"")</f>
        <v/>
      </c>
      <c r="T353" s="33" t="str">
        <f aca="false">IF(G353="","",IFERROR(INDEX(Settings!$B$5:$B$8,MATCH(G353,Settings!$A$5:$A$8,0)),""))</f>
        <v/>
      </c>
      <c r="U353" s="25" t="str">
        <f aca="false">IF(G353="","",IF(S353="","No",IF(S353&lt;=T353,"Yes","No")))</f>
        <v/>
      </c>
      <c r="V353" s="25" t="str">
        <f aca="false">IF(G353="","",IF(AND(J353="",K353="",L353=""),"Telemetry Blind Spot",IF(AND(K353="",L353=""),"Missed Alert",IF(L353="","Triage Delay",IF(S353&lt;=T353,"Detected - Within SLA",IF(AND(R353&lt;&gt;"",R353&gt;IFERROR(INDEX(Settings!$C$5:$C$8,MATCH(G353,Settings!$A$5:$A$8,0)),1E+099)),"Triage Delay","Detected - SLA Breach"))))))</f>
        <v/>
      </c>
      <c r="W353" s="25" t="str">
        <f aca="false">IF(G353="","",IF(L353&lt;&gt;"",1,0))</f>
        <v/>
      </c>
      <c r="X353" s="32"/>
      <c r="Y353" s="32"/>
      <c r="Z353" s="32"/>
      <c r="AA353" s="24"/>
      <c r="AB353" s="24"/>
      <c r="AC353" s="33" t="str">
        <f aca="false">IF(AND(G353&lt;&gt;"",L353&lt;&gt;"",X353&lt;&gt;""),(X353-L353)*1440,"")</f>
        <v/>
      </c>
      <c r="AD353" s="33" t="str">
        <f aca="false">IF(AND(G353&lt;&gt;"",X353&lt;&gt;"",Y353&lt;&gt;""),(Y353-X353)*1440,"")</f>
        <v/>
      </c>
      <c r="AE353" s="33" t="str">
        <f aca="false">IF(AND(G353&lt;&gt;"",Y353&lt;&gt;"",Z353&lt;&gt;""),(Z353-Y353)*1440,"")</f>
        <v/>
      </c>
      <c r="AF353" s="33" t="str">
        <f aca="false">IF(AND(G353&lt;&gt;"",L353&lt;&gt;"",Z353&lt;&gt;""),(Z353-L353)*1440,"")</f>
        <v/>
      </c>
      <c r="AG353" s="33" t="str">
        <f aca="false">IF(G353="","",IFERROR(INDEX(Settings!$D$5:$D$8,MATCH(G353,Settings!$A$5:$A$8,0)),""))</f>
        <v/>
      </c>
      <c r="AH353" s="25" t="str">
        <f aca="false">IF(G353="","",IF(AF353="","No",IF(AF353&lt;=AG353,"Yes","No")))</f>
        <v/>
      </c>
      <c r="AI353" s="25" t="str">
        <f aca="false">IF(G353="","",IF(L353="","N/A - Not Detected",IF(AND(X353="",Y353="",Z353=""),"No Containment Action",IF(Z353="",IF(Y353&lt;&gt;"","C2 Persisted","Host Isolation Gap"),IF(AF353&lt;=AG353,"Contained - Within SLA","Contained - SLA Breach")))))</f>
        <v/>
      </c>
      <c r="AJ353" s="25" t="str">
        <f aca="false">IF(G353="","",IF(Z353&lt;&gt;"",1,0))</f>
        <v/>
      </c>
      <c r="AK353" s="34"/>
      <c r="AL353" s="34"/>
      <c r="AM353" s="35"/>
      <c r="AN353" s="34"/>
      <c r="AO353" s="34"/>
      <c r="AP353" s="35"/>
      <c r="AQ353" s="34"/>
      <c r="AR353" s="34"/>
      <c r="AS353" s="34"/>
      <c r="AT353" s="35"/>
      <c r="AU353" s="35"/>
    </row>
    <row r="354" customFormat="false" ht="15" hidden="false" customHeight="false" outlineLevel="0" collapsed="false">
      <c r="A354" s="24"/>
      <c r="B354" s="24"/>
      <c r="C354" s="24"/>
      <c r="D354" s="24"/>
      <c r="E354" s="24"/>
      <c r="F354" s="24"/>
      <c r="G354" s="24"/>
      <c r="H354" s="24"/>
      <c r="I354" s="32"/>
      <c r="J354" s="32"/>
      <c r="K354" s="32"/>
      <c r="L354" s="32"/>
      <c r="M354" s="24"/>
      <c r="N354" s="24"/>
      <c r="O354" s="24"/>
      <c r="P354" s="33" t="str">
        <f aca="false">IF(AND(G354&lt;&gt;"",I354&lt;&gt;"",J354&lt;&gt;""),(J354-I354)*1440,"")</f>
        <v/>
      </c>
      <c r="Q354" s="33" t="str">
        <f aca="false">IF(AND(G354&lt;&gt;"",J354&lt;&gt;"",K354&lt;&gt;""),(K354-J354)*1440,"")</f>
        <v/>
      </c>
      <c r="R354" s="33" t="str">
        <f aca="false">IF(AND(G354&lt;&gt;"",K354&lt;&gt;"",L354&lt;&gt;""),(L354-K354)*1440,"")</f>
        <v/>
      </c>
      <c r="S354" s="33" t="str">
        <f aca="false">IF(AND(G354&lt;&gt;"",I354&lt;&gt;"",L354&lt;&gt;""),(L354-I354)*1440,"")</f>
        <v/>
      </c>
      <c r="T354" s="33" t="str">
        <f aca="false">IF(G354="","",IFERROR(INDEX(Settings!$B$5:$B$8,MATCH(G354,Settings!$A$5:$A$8,0)),""))</f>
        <v/>
      </c>
      <c r="U354" s="25" t="str">
        <f aca="false">IF(G354="","",IF(S354="","No",IF(S354&lt;=T354,"Yes","No")))</f>
        <v/>
      </c>
      <c r="V354" s="25" t="str">
        <f aca="false">IF(G354="","",IF(AND(J354="",K354="",L354=""),"Telemetry Blind Spot",IF(AND(K354="",L354=""),"Missed Alert",IF(L354="","Triage Delay",IF(S354&lt;=T354,"Detected - Within SLA",IF(AND(R354&lt;&gt;"",R354&gt;IFERROR(INDEX(Settings!$C$5:$C$8,MATCH(G354,Settings!$A$5:$A$8,0)),1E+099)),"Triage Delay","Detected - SLA Breach"))))))</f>
        <v/>
      </c>
      <c r="W354" s="25" t="str">
        <f aca="false">IF(G354="","",IF(L354&lt;&gt;"",1,0))</f>
        <v/>
      </c>
      <c r="X354" s="32"/>
      <c r="Y354" s="32"/>
      <c r="Z354" s="32"/>
      <c r="AA354" s="24"/>
      <c r="AB354" s="24"/>
      <c r="AC354" s="33" t="str">
        <f aca="false">IF(AND(G354&lt;&gt;"",L354&lt;&gt;"",X354&lt;&gt;""),(X354-L354)*1440,"")</f>
        <v/>
      </c>
      <c r="AD354" s="33" t="str">
        <f aca="false">IF(AND(G354&lt;&gt;"",X354&lt;&gt;"",Y354&lt;&gt;""),(Y354-X354)*1440,"")</f>
        <v/>
      </c>
      <c r="AE354" s="33" t="str">
        <f aca="false">IF(AND(G354&lt;&gt;"",Y354&lt;&gt;"",Z354&lt;&gt;""),(Z354-Y354)*1440,"")</f>
        <v/>
      </c>
      <c r="AF354" s="33" t="str">
        <f aca="false">IF(AND(G354&lt;&gt;"",L354&lt;&gt;"",Z354&lt;&gt;""),(Z354-L354)*1440,"")</f>
        <v/>
      </c>
      <c r="AG354" s="33" t="str">
        <f aca="false">IF(G354="","",IFERROR(INDEX(Settings!$D$5:$D$8,MATCH(G354,Settings!$A$5:$A$8,0)),""))</f>
        <v/>
      </c>
      <c r="AH354" s="25" t="str">
        <f aca="false">IF(G354="","",IF(AF354="","No",IF(AF354&lt;=AG354,"Yes","No")))</f>
        <v/>
      </c>
      <c r="AI354" s="25" t="str">
        <f aca="false">IF(G354="","",IF(L354="","N/A - Not Detected",IF(AND(X354="",Y354="",Z354=""),"No Containment Action",IF(Z354="",IF(Y354&lt;&gt;"","C2 Persisted","Host Isolation Gap"),IF(AF354&lt;=AG354,"Contained - Within SLA","Contained - SLA Breach")))))</f>
        <v/>
      </c>
      <c r="AJ354" s="25" t="str">
        <f aca="false">IF(G354="","",IF(Z354&lt;&gt;"",1,0))</f>
        <v/>
      </c>
      <c r="AK354" s="34"/>
      <c r="AL354" s="34"/>
      <c r="AM354" s="35"/>
      <c r="AN354" s="34"/>
      <c r="AO354" s="34"/>
      <c r="AP354" s="35"/>
      <c r="AQ354" s="34"/>
      <c r="AR354" s="34"/>
      <c r="AS354" s="34"/>
      <c r="AT354" s="35"/>
      <c r="AU354" s="35"/>
    </row>
    <row r="355" customFormat="false" ht="15" hidden="false" customHeight="false" outlineLevel="0" collapsed="false">
      <c r="A355" s="24"/>
      <c r="B355" s="24"/>
      <c r="C355" s="24"/>
      <c r="D355" s="24"/>
      <c r="E355" s="24"/>
      <c r="F355" s="24"/>
      <c r="G355" s="24"/>
      <c r="H355" s="24"/>
      <c r="I355" s="32"/>
      <c r="J355" s="32"/>
      <c r="K355" s="32"/>
      <c r="L355" s="32"/>
      <c r="M355" s="24"/>
      <c r="N355" s="24"/>
      <c r="O355" s="24"/>
      <c r="P355" s="33" t="str">
        <f aca="false">IF(AND(G355&lt;&gt;"",I355&lt;&gt;"",J355&lt;&gt;""),(J355-I355)*1440,"")</f>
        <v/>
      </c>
      <c r="Q355" s="33" t="str">
        <f aca="false">IF(AND(G355&lt;&gt;"",J355&lt;&gt;"",K355&lt;&gt;""),(K355-J355)*1440,"")</f>
        <v/>
      </c>
      <c r="R355" s="33" t="str">
        <f aca="false">IF(AND(G355&lt;&gt;"",K355&lt;&gt;"",L355&lt;&gt;""),(L355-K355)*1440,"")</f>
        <v/>
      </c>
      <c r="S355" s="33" t="str">
        <f aca="false">IF(AND(G355&lt;&gt;"",I355&lt;&gt;"",L355&lt;&gt;""),(L355-I355)*1440,"")</f>
        <v/>
      </c>
      <c r="T355" s="33" t="str">
        <f aca="false">IF(G355="","",IFERROR(INDEX(Settings!$B$5:$B$8,MATCH(G355,Settings!$A$5:$A$8,0)),""))</f>
        <v/>
      </c>
      <c r="U355" s="25" t="str">
        <f aca="false">IF(G355="","",IF(S355="","No",IF(S355&lt;=T355,"Yes","No")))</f>
        <v/>
      </c>
      <c r="V355" s="25" t="str">
        <f aca="false">IF(G355="","",IF(AND(J355="",K355="",L355=""),"Telemetry Blind Spot",IF(AND(K355="",L355=""),"Missed Alert",IF(L355="","Triage Delay",IF(S355&lt;=T355,"Detected - Within SLA",IF(AND(R355&lt;&gt;"",R355&gt;IFERROR(INDEX(Settings!$C$5:$C$8,MATCH(G355,Settings!$A$5:$A$8,0)),1E+099)),"Triage Delay","Detected - SLA Breach"))))))</f>
        <v/>
      </c>
      <c r="W355" s="25" t="str">
        <f aca="false">IF(G355="","",IF(L355&lt;&gt;"",1,0))</f>
        <v/>
      </c>
      <c r="X355" s="32"/>
      <c r="Y355" s="32"/>
      <c r="Z355" s="32"/>
      <c r="AA355" s="24"/>
      <c r="AB355" s="24"/>
      <c r="AC355" s="33" t="str">
        <f aca="false">IF(AND(G355&lt;&gt;"",L355&lt;&gt;"",X355&lt;&gt;""),(X355-L355)*1440,"")</f>
        <v/>
      </c>
      <c r="AD355" s="33" t="str">
        <f aca="false">IF(AND(G355&lt;&gt;"",X355&lt;&gt;"",Y355&lt;&gt;""),(Y355-X355)*1440,"")</f>
        <v/>
      </c>
      <c r="AE355" s="33" t="str">
        <f aca="false">IF(AND(G355&lt;&gt;"",Y355&lt;&gt;"",Z355&lt;&gt;""),(Z355-Y355)*1440,"")</f>
        <v/>
      </c>
      <c r="AF355" s="33" t="str">
        <f aca="false">IF(AND(G355&lt;&gt;"",L355&lt;&gt;"",Z355&lt;&gt;""),(Z355-L355)*1440,"")</f>
        <v/>
      </c>
      <c r="AG355" s="33" t="str">
        <f aca="false">IF(G355="","",IFERROR(INDEX(Settings!$D$5:$D$8,MATCH(G355,Settings!$A$5:$A$8,0)),""))</f>
        <v/>
      </c>
      <c r="AH355" s="25" t="str">
        <f aca="false">IF(G355="","",IF(AF355="","No",IF(AF355&lt;=AG355,"Yes","No")))</f>
        <v/>
      </c>
      <c r="AI355" s="25" t="str">
        <f aca="false">IF(G355="","",IF(L355="","N/A - Not Detected",IF(AND(X355="",Y355="",Z355=""),"No Containment Action",IF(Z355="",IF(Y355&lt;&gt;"","C2 Persisted","Host Isolation Gap"),IF(AF355&lt;=AG355,"Contained - Within SLA","Contained - SLA Breach")))))</f>
        <v/>
      </c>
      <c r="AJ355" s="25" t="str">
        <f aca="false">IF(G355="","",IF(Z355&lt;&gt;"",1,0))</f>
        <v/>
      </c>
      <c r="AK355" s="34"/>
      <c r="AL355" s="34"/>
      <c r="AM355" s="35"/>
      <c r="AN355" s="34"/>
      <c r="AO355" s="34"/>
      <c r="AP355" s="35"/>
      <c r="AQ355" s="34"/>
      <c r="AR355" s="34"/>
      <c r="AS355" s="34"/>
      <c r="AT355" s="35"/>
      <c r="AU355" s="35"/>
    </row>
    <row r="356" customFormat="false" ht="15" hidden="false" customHeight="false" outlineLevel="0" collapsed="false">
      <c r="A356" s="24"/>
      <c r="B356" s="24"/>
      <c r="C356" s="24"/>
      <c r="D356" s="24"/>
      <c r="E356" s="24"/>
      <c r="F356" s="24"/>
      <c r="G356" s="24"/>
      <c r="H356" s="24"/>
      <c r="I356" s="32"/>
      <c r="J356" s="32"/>
      <c r="K356" s="32"/>
      <c r="L356" s="32"/>
      <c r="M356" s="24"/>
      <c r="N356" s="24"/>
      <c r="O356" s="24"/>
      <c r="P356" s="33" t="str">
        <f aca="false">IF(AND(G356&lt;&gt;"",I356&lt;&gt;"",J356&lt;&gt;""),(J356-I356)*1440,"")</f>
        <v/>
      </c>
      <c r="Q356" s="33" t="str">
        <f aca="false">IF(AND(G356&lt;&gt;"",J356&lt;&gt;"",K356&lt;&gt;""),(K356-J356)*1440,"")</f>
        <v/>
      </c>
      <c r="R356" s="33" t="str">
        <f aca="false">IF(AND(G356&lt;&gt;"",K356&lt;&gt;"",L356&lt;&gt;""),(L356-K356)*1440,"")</f>
        <v/>
      </c>
      <c r="S356" s="33" t="str">
        <f aca="false">IF(AND(G356&lt;&gt;"",I356&lt;&gt;"",L356&lt;&gt;""),(L356-I356)*1440,"")</f>
        <v/>
      </c>
      <c r="T356" s="33" t="str">
        <f aca="false">IF(G356="","",IFERROR(INDEX(Settings!$B$5:$B$8,MATCH(G356,Settings!$A$5:$A$8,0)),""))</f>
        <v/>
      </c>
      <c r="U356" s="25" t="str">
        <f aca="false">IF(G356="","",IF(S356="","No",IF(S356&lt;=T356,"Yes","No")))</f>
        <v/>
      </c>
      <c r="V356" s="25" t="str">
        <f aca="false">IF(G356="","",IF(AND(J356="",K356="",L356=""),"Telemetry Blind Spot",IF(AND(K356="",L356=""),"Missed Alert",IF(L356="","Triage Delay",IF(S356&lt;=T356,"Detected - Within SLA",IF(AND(R356&lt;&gt;"",R356&gt;IFERROR(INDEX(Settings!$C$5:$C$8,MATCH(G356,Settings!$A$5:$A$8,0)),1E+099)),"Triage Delay","Detected - SLA Breach"))))))</f>
        <v/>
      </c>
      <c r="W356" s="25" t="str">
        <f aca="false">IF(G356="","",IF(L356&lt;&gt;"",1,0))</f>
        <v/>
      </c>
      <c r="X356" s="32"/>
      <c r="Y356" s="32"/>
      <c r="Z356" s="32"/>
      <c r="AA356" s="24"/>
      <c r="AB356" s="24"/>
      <c r="AC356" s="33" t="str">
        <f aca="false">IF(AND(G356&lt;&gt;"",L356&lt;&gt;"",X356&lt;&gt;""),(X356-L356)*1440,"")</f>
        <v/>
      </c>
      <c r="AD356" s="33" t="str">
        <f aca="false">IF(AND(G356&lt;&gt;"",X356&lt;&gt;"",Y356&lt;&gt;""),(Y356-X356)*1440,"")</f>
        <v/>
      </c>
      <c r="AE356" s="33" t="str">
        <f aca="false">IF(AND(G356&lt;&gt;"",Y356&lt;&gt;"",Z356&lt;&gt;""),(Z356-Y356)*1440,"")</f>
        <v/>
      </c>
      <c r="AF356" s="33" t="str">
        <f aca="false">IF(AND(G356&lt;&gt;"",L356&lt;&gt;"",Z356&lt;&gt;""),(Z356-L356)*1440,"")</f>
        <v/>
      </c>
      <c r="AG356" s="33" t="str">
        <f aca="false">IF(G356="","",IFERROR(INDEX(Settings!$D$5:$D$8,MATCH(G356,Settings!$A$5:$A$8,0)),""))</f>
        <v/>
      </c>
      <c r="AH356" s="25" t="str">
        <f aca="false">IF(G356="","",IF(AF356="","No",IF(AF356&lt;=AG356,"Yes","No")))</f>
        <v/>
      </c>
      <c r="AI356" s="25" t="str">
        <f aca="false">IF(G356="","",IF(L356="","N/A - Not Detected",IF(AND(X356="",Y356="",Z356=""),"No Containment Action",IF(Z356="",IF(Y356&lt;&gt;"","C2 Persisted","Host Isolation Gap"),IF(AF356&lt;=AG356,"Contained - Within SLA","Contained - SLA Breach")))))</f>
        <v/>
      </c>
      <c r="AJ356" s="25" t="str">
        <f aca="false">IF(G356="","",IF(Z356&lt;&gt;"",1,0))</f>
        <v/>
      </c>
      <c r="AK356" s="34"/>
      <c r="AL356" s="34"/>
      <c r="AM356" s="35"/>
      <c r="AN356" s="34"/>
      <c r="AO356" s="34"/>
      <c r="AP356" s="35"/>
      <c r="AQ356" s="34"/>
      <c r="AR356" s="34"/>
      <c r="AS356" s="34"/>
      <c r="AT356" s="35"/>
      <c r="AU356" s="35"/>
    </row>
    <row r="357" customFormat="false" ht="15" hidden="false" customHeight="false" outlineLevel="0" collapsed="false">
      <c r="A357" s="24"/>
      <c r="B357" s="24"/>
      <c r="C357" s="24"/>
      <c r="D357" s="24"/>
      <c r="E357" s="24"/>
      <c r="F357" s="24"/>
      <c r="G357" s="24"/>
      <c r="H357" s="24"/>
      <c r="I357" s="32"/>
      <c r="J357" s="32"/>
      <c r="K357" s="32"/>
      <c r="L357" s="32"/>
      <c r="M357" s="24"/>
      <c r="N357" s="24"/>
      <c r="O357" s="24"/>
      <c r="P357" s="33" t="str">
        <f aca="false">IF(AND(G357&lt;&gt;"",I357&lt;&gt;"",J357&lt;&gt;""),(J357-I357)*1440,"")</f>
        <v/>
      </c>
      <c r="Q357" s="33" t="str">
        <f aca="false">IF(AND(G357&lt;&gt;"",J357&lt;&gt;"",K357&lt;&gt;""),(K357-J357)*1440,"")</f>
        <v/>
      </c>
      <c r="R357" s="33" t="str">
        <f aca="false">IF(AND(G357&lt;&gt;"",K357&lt;&gt;"",L357&lt;&gt;""),(L357-K357)*1440,"")</f>
        <v/>
      </c>
      <c r="S357" s="33" t="str">
        <f aca="false">IF(AND(G357&lt;&gt;"",I357&lt;&gt;"",L357&lt;&gt;""),(L357-I357)*1440,"")</f>
        <v/>
      </c>
      <c r="T357" s="33" t="str">
        <f aca="false">IF(G357="","",IFERROR(INDEX(Settings!$B$5:$B$8,MATCH(G357,Settings!$A$5:$A$8,0)),""))</f>
        <v/>
      </c>
      <c r="U357" s="25" t="str">
        <f aca="false">IF(G357="","",IF(S357="","No",IF(S357&lt;=T357,"Yes","No")))</f>
        <v/>
      </c>
      <c r="V357" s="25" t="str">
        <f aca="false">IF(G357="","",IF(AND(J357="",K357="",L357=""),"Telemetry Blind Spot",IF(AND(K357="",L357=""),"Missed Alert",IF(L357="","Triage Delay",IF(S357&lt;=T357,"Detected - Within SLA",IF(AND(R357&lt;&gt;"",R357&gt;IFERROR(INDEX(Settings!$C$5:$C$8,MATCH(G357,Settings!$A$5:$A$8,0)),1E+099)),"Triage Delay","Detected - SLA Breach"))))))</f>
        <v/>
      </c>
      <c r="W357" s="25" t="str">
        <f aca="false">IF(G357="","",IF(L357&lt;&gt;"",1,0))</f>
        <v/>
      </c>
      <c r="X357" s="32"/>
      <c r="Y357" s="32"/>
      <c r="Z357" s="32"/>
      <c r="AA357" s="24"/>
      <c r="AB357" s="24"/>
      <c r="AC357" s="33" t="str">
        <f aca="false">IF(AND(G357&lt;&gt;"",L357&lt;&gt;"",X357&lt;&gt;""),(X357-L357)*1440,"")</f>
        <v/>
      </c>
      <c r="AD357" s="33" t="str">
        <f aca="false">IF(AND(G357&lt;&gt;"",X357&lt;&gt;"",Y357&lt;&gt;""),(Y357-X357)*1440,"")</f>
        <v/>
      </c>
      <c r="AE357" s="33" t="str">
        <f aca="false">IF(AND(G357&lt;&gt;"",Y357&lt;&gt;"",Z357&lt;&gt;""),(Z357-Y357)*1440,"")</f>
        <v/>
      </c>
      <c r="AF357" s="33" t="str">
        <f aca="false">IF(AND(G357&lt;&gt;"",L357&lt;&gt;"",Z357&lt;&gt;""),(Z357-L357)*1440,"")</f>
        <v/>
      </c>
      <c r="AG357" s="33" t="str">
        <f aca="false">IF(G357="","",IFERROR(INDEX(Settings!$D$5:$D$8,MATCH(G357,Settings!$A$5:$A$8,0)),""))</f>
        <v/>
      </c>
      <c r="AH357" s="25" t="str">
        <f aca="false">IF(G357="","",IF(AF357="","No",IF(AF357&lt;=AG357,"Yes","No")))</f>
        <v/>
      </c>
      <c r="AI357" s="25" t="str">
        <f aca="false">IF(G357="","",IF(L357="","N/A - Not Detected",IF(AND(X357="",Y357="",Z357=""),"No Containment Action",IF(Z357="",IF(Y357&lt;&gt;"","C2 Persisted","Host Isolation Gap"),IF(AF357&lt;=AG357,"Contained - Within SLA","Contained - SLA Breach")))))</f>
        <v/>
      </c>
      <c r="AJ357" s="25" t="str">
        <f aca="false">IF(G357="","",IF(Z357&lt;&gt;"",1,0))</f>
        <v/>
      </c>
      <c r="AK357" s="34"/>
      <c r="AL357" s="34"/>
      <c r="AM357" s="35"/>
      <c r="AN357" s="34"/>
      <c r="AO357" s="34"/>
      <c r="AP357" s="35"/>
      <c r="AQ357" s="34"/>
      <c r="AR357" s="34"/>
      <c r="AS357" s="34"/>
      <c r="AT357" s="35"/>
      <c r="AU357" s="35"/>
    </row>
    <row r="358" customFormat="false" ht="15" hidden="false" customHeight="false" outlineLevel="0" collapsed="false">
      <c r="A358" s="24"/>
      <c r="B358" s="24"/>
      <c r="C358" s="24"/>
      <c r="D358" s="24"/>
      <c r="E358" s="24"/>
      <c r="F358" s="24"/>
      <c r="G358" s="24"/>
      <c r="H358" s="24"/>
      <c r="I358" s="32"/>
      <c r="J358" s="32"/>
      <c r="K358" s="32"/>
      <c r="L358" s="32"/>
      <c r="M358" s="24"/>
      <c r="N358" s="24"/>
      <c r="O358" s="24"/>
      <c r="P358" s="33" t="str">
        <f aca="false">IF(AND(G358&lt;&gt;"",I358&lt;&gt;"",J358&lt;&gt;""),(J358-I358)*1440,"")</f>
        <v/>
      </c>
      <c r="Q358" s="33" t="str">
        <f aca="false">IF(AND(G358&lt;&gt;"",J358&lt;&gt;"",K358&lt;&gt;""),(K358-J358)*1440,"")</f>
        <v/>
      </c>
      <c r="R358" s="33" t="str">
        <f aca="false">IF(AND(G358&lt;&gt;"",K358&lt;&gt;"",L358&lt;&gt;""),(L358-K358)*1440,"")</f>
        <v/>
      </c>
      <c r="S358" s="33" t="str">
        <f aca="false">IF(AND(G358&lt;&gt;"",I358&lt;&gt;"",L358&lt;&gt;""),(L358-I358)*1440,"")</f>
        <v/>
      </c>
      <c r="T358" s="33" t="str">
        <f aca="false">IF(G358="","",IFERROR(INDEX(Settings!$B$5:$B$8,MATCH(G358,Settings!$A$5:$A$8,0)),""))</f>
        <v/>
      </c>
      <c r="U358" s="25" t="str">
        <f aca="false">IF(G358="","",IF(S358="","No",IF(S358&lt;=T358,"Yes","No")))</f>
        <v/>
      </c>
      <c r="V358" s="25" t="str">
        <f aca="false">IF(G358="","",IF(AND(J358="",K358="",L358=""),"Telemetry Blind Spot",IF(AND(K358="",L358=""),"Missed Alert",IF(L358="","Triage Delay",IF(S358&lt;=T358,"Detected - Within SLA",IF(AND(R358&lt;&gt;"",R358&gt;IFERROR(INDEX(Settings!$C$5:$C$8,MATCH(G358,Settings!$A$5:$A$8,0)),1E+099)),"Triage Delay","Detected - SLA Breach"))))))</f>
        <v/>
      </c>
      <c r="W358" s="25" t="str">
        <f aca="false">IF(G358="","",IF(L358&lt;&gt;"",1,0))</f>
        <v/>
      </c>
      <c r="X358" s="32"/>
      <c r="Y358" s="32"/>
      <c r="Z358" s="32"/>
      <c r="AA358" s="24"/>
      <c r="AB358" s="24"/>
      <c r="AC358" s="33" t="str">
        <f aca="false">IF(AND(G358&lt;&gt;"",L358&lt;&gt;"",X358&lt;&gt;""),(X358-L358)*1440,"")</f>
        <v/>
      </c>
      <c r="AD358" s="33" t="str">
        <f aca="false">IF(AND(G358&lt;&gt;"",X358&lt;&gt;"",Y358&lt;&gt;""),(Y358-X358)*1440,"")</f>
        <v/>
      </c>
      <c r="AE358" s="33" t="str">
        <f aca="false">IF(AND(G358&lt;&gt;"",Y358&lt;&gt;"",Z358&lt;&gt;""),(Z358-Y358)*1440,"")</f>
        <v/>
      </c>
      <c r="AF358" s="33" t="str">
        <f aca="false">IF(AND(G358&lt;&gt;"",L358&lt;&gt;"",Z358&lt;&gt;""),(Z358-L358)*1440,"")</f>
        <v/>
      </c>
      <c r="AG358" s="33" t="str">
        <f aca="false">IF(G358="","",IFERROR(INDEX(Settings!$D$5:$D$8,MATCH(G358,Settings!$A$5:$A$8,0)),""))</f>
        <v/>
      </c>
      <c r="AH358" s="25" t="str">
        <f aca="false">IF(G358="","",IF(AF358="","No",IF(AF358&lt;=AG358,"Yes","No")))</f>
        <v/>
      </c>
      <c r="AI358" s="25" t="str">
        <f aca="false">IF(G358="","",IF(L358="","N/A - Not Detected",IF(AND(X358="",Y358="",Z358=""),"No Containment Action",IF(Z358="",IF(Y358&lt;&gt;"","C2 Persisted","Host Isolation Gap"),IF(AF358&lt;=AG358,"Contained - Within SLA","Contained - SLA Breach")))))</f>
        <v/>
      </c>
      <c r="AJ358" s="25" t="str">
        <f aca="false">IF(G358="","",IF(Z358&lt;&gt;"",1,0))</f>
        <v/>
      </c>
      <c r="AK358" s="34"/>
      <c r="AL358" s="34"/>
      <c r="AM358" s="35"/>
      <c r="AN358" s="34"/>
      <c r="AO358" s="34"/>
      <c r="AP358" s="35"/>
      <c r="AQ358" s="34"/>
      <c r="AR358" s="34"/>
      <c r="AS358" s="34"/>
      <c r="AT358" s="35"/>
      <c r="AU358" s="35"/>
    </row>
    <row r="359" customFormat="false" ht="15" hidden="false" customHeight="false" outlineLevel="0" collapsed="false">
      <c r="A359" s="24"/>
      <c r="B359" s="24"/>
      <c r="C359" s="24"/>
      <c r="D359" s="24"/>
      <c r="E359" s="24"/>
      <c r="F359" s="24"/>
      <c r="G359" s="24"/>
      <c r="H359" s="24"/>
      <c r="I359" s="32"/>
      <c r="J359" s="32"/>
      <c r="K359" s="32"/>
      <c r="L359" s="32"/>
      <c r="M359" s="24"/>
      <c r="N359" s="24"/>
      <c r="O359" s="24"/>
      <c r="P359" s="33" t="str">
        <f aca="false">IF(AND(G359&lt;&gt;"",I359&lt;&gt;"",J359&lt;&gt;""),(J359-I359)*1440,"")</f>
        <v/>
      </c>
      <c r="Q359" s="33" t="str">
        <f aca="false">IF(AND(G359&lt;&gt;"",J359&lt;&gt;"",K359&lt;&gt;""),(K359-J359)*1440,"")</f>
        <v/>
      </c>
      <c r="R359" s="33" t="str">
        <f aca="false">IF(AND(G359&lt;&gt;"",K359&lt;&gt;"",L359&lt;&gt;""),(L359-K359)*1440,"")</f>
        <v/>
      </c>
      <c r="S359" s="33" t="str">
        <f aca="false">IF(AND(G359&lt;&gt;"",I359&lt;&gt;"",L359&lt;&gt;""),(L359-I359)*1440,"")</f>
        <v/>
      </c>
      <c r="T359" s="33" t="str">
        <f aca="false">IF(G359="","",IFERROR(INDEX(Settings!$B$5:$B$8,MATCH(G359,Settings!$A$5:$A$8,0)),""))</f>
        <v/>
      </c>
      <c r="U359" s="25" t="str">
        <f aca="false">IF(G359="","",IF(S359="","No",IF(S359&lt;=T359,"Yes","No")))</f>
        <v/>
      </c>
      <c r="V359" s="25" t="str">
        <f aca="false">IF(G359="","",IF(AND(J359="",K359="",L359=""),"Telemetry Blind Spot",IF(AND(K359="",L359=""),"Missed Alert",IF(L359="","Triage Delay",IF(S359&lt;=T359,"Detected - Within SLA",IF(AND(R359&lt;&gt;"",R359&gt;IFERROR(INDEX(Settings!$C$5:$C$8,MATCH(G359,Settings!$A$5:$A$8,0)),1E+099)),"Triage Delay","Detected - SLA Breach"))))))</f>
        <v/>
      </c>
      <c r="W359" s="25" t="str">
        <f aca="false">IF(G359="","",IF(L359&lt;&gt;"",1,0))</f>
        <v/>
      </c>
      <c r="X359" s="32"/>
      <c r="Y359" s="32"/>
      <c r="Z359" s="32"/>
      <c r="AA359" s="24"/>
      <c r="AB359" s="24"/>
      <c r="AC359" s="33" t="str">
        <f aca="false">IF(AND(G359&lt;&gt;"",L359&lt;&gt;"",X359&lt;&gt;""),(X359-L359)*1440,"")</f>
        <v/>
      </c>
      <c r="AD359" s="33" t="str">
        <f aca="false">IF(AND(G359&lt;&gt;"",X359&lt;&gt;"",Y359&lt;&gt;""),(Y359-X359)*1440,"")</f>
        <v/>
      </c>
      <c r="AE359" s="33" t="str">
        <f aca="false">IF(AND(G359&lt;&gt;"",Y359&lt;&gt;"",Z359&lt;&gt;""),(Z359-Y359)*1440,"")</f>
        <v/>
      </c>
      <c r="AF359" s="33" t="str">
        <f aca="false">IF(AND(G359&lt;&gt;"",L359&lt;&gt;"",Z359&lt;&gt;""),(Z359-L359)*1440,"")</f>
        <v/>
      </c>
      <c r="AG359" s="33" t="str">
        <f aca="false">IF(G359="","",IFERROR(INDEX(Settings!$D$5:$D$8,MATCH(G359,Settings!$A$5:$A$8,0)),""))</f>
        <v/>
      </c>
      <c r="AH359" s="25" t="str">
        <f aca="false">IF(G359="","",IF(AF359="","No",IF(AF359&lt;=AG359,"Yes","No")))</f>
        <v/>
      </c>
      <c r="AI359" s="25" t="str">
        <f aca="false">IF(G359="","",IF(L359="","N/A - Not Detected",IF(AND(X359="",Y359="",Z359=""),"No Containment Action",IF(Z359="",IF(Y359&lt;&gt;"","C2 Persisted","Host Isolation Gap"),IF(AF359&lt;=AG359,"Contained - Within SLA","Contained - SLA Breach")))))</f>
        <v/>
      </c>
      <c r="AJ359" s="25" t="str">
        <f aca="false">IF(G359="","",IF(Z359&lt;&gt;"",1,0))</f>
        <v/>
      </c>
      <c r="AK359" s="34"/>
      <c r="AL359" s="34"/>
      <c r="AM359" s="35"/>
      <c r="AN359" s="34"/>
      <c r="AO359" s="34"/>
      <c r="AP359" s="35"/>
      <c r="AQ359" s="34"/>
      <c r="AR359" s="34"/>
      <c r="AS359" s="34"/>
      <c r="AT359" s="35"/>
      <c r="AU359" s="35"/>
    </row>
    <row r="360" customFormat="false" ht="15" hidden="false" customHeight="false" outlineLevel="0" collapsed="false">
      <c r="A360" s="24"/>
      <c r="B360" s="24"/>
      <c r="C360" s="24"/>
      <c r="D360" s="24"/>
      <c r="E360" s="24"/>
      <c r="F360" s="24"/>
      <c r="G360" s="24"/>
      <c r="H360" s="24"/>
      <c r="I360" s="32"/>
      <c r="J360" s="32"/>
      <c r="K360" s="32"/>
      <c r="L360" s="32"/>
      <c r="M360" s="24"/>
      <c r="N360" s="24"/>
      <c r="O360" s="24"/>
      <c r="P360" s="33" t="str">
        <f aca="false">IF(AND(G360&lt;&gt;"",I360&lt;&gt;"",J360&lt;&gt;""),(J360-I360)*1440,"")</f>
        <v/>
      </c>
      <c r="Q360" s="33" t="str">
        <f aca="false">IF(AND(G360&lt;&gt;"",J360&lt;&gt;"",K360&lt;&gt;""),(K360-J360)*1440,"")</f>
        <v/>
      </c>
      <c r="R360" s="33" t="str">
        <f aca="false">IF(AND(G360&lt;&gt;"",K360&lt;&gt;"",L360&lt;&gt;""),(L360-K360)*1440,"")</f>
        <v/>
      </c>
      <c r="S360" s="33" t="str">
        <f aca="false">IF(AND(G360&lt;&gt;"",I360&lt;&gt;"",L360&lt;&gt;""),(L360-I360)*1440,"")</f>
        <v/>
      </c>
      <c r="T360" s="33" t="str">
        <f aca="false">IF(G360="","",IFERROR(INDEX(Settings!$B$5:$B$8,MATCH(G360,Settings!$A$5:$A$8,0)),""))</f>
        <v/>
      </c>
      <c r="U360" s="25" t="str">
        <f aca="false">IF(G360="","",IF(S360="","No",IF(S360&lt;=T360,"Yes","No")))</f>
        <v/>
      </c>
      <c r="V360" s="25" t="str">
        <f aca="false">IF(G360="","",IF(AND(J360="",K360="",L360=""),"Telemetry Blind Spot",IF(AND(K360="",L360=""),"Missed Alert",IF(L360="","Triage Delay",IF(S360&lt;=T360,"Detected - Within SLA",IF(AND(R360&lt;&gt;"",R360&gt;IFERROR(INDEX(Settings!$C$5:$C$8,MATCH(G360,Settings!$A$5:$A$8,0)),1E+099)),"Triage Delay","Detected - SLA Breach"))))))</f>
        <v/>
      </c>
      <c r="W360" s="25" t="str">
        <f aca="false">IF(G360="","",IF(L360&lt;&gt;"",1,0))</f>
        <v/>
      </c>
      <c r="X360" s="32"/>
      <c r="Y360" s="32"/>
      <c r="Z360" s="32"/>
      <c r="AA360" s="24"/>
      <c r="AB360" s="24"/>
      <c r="AC360" s="33" t="str">
        <f aca="false">IF(AND(G360&lt;&gt;"",L360&lt;&gt;"",X360&lt;&gt;""),(X360-L360)*1440,"")</f>
        <v/>
      </c>
      <c r="AD360" s="33" t="str">
        <f aca="false">IF(AND(G360&lt;&gt;"",X360&lt;&gt;"",Y360&lt;&gt;""),(Y360-X360)*1440,"")</f>
        <v/>
      </c>
      <c r="AE360" s="33" t="str">
        <f aca="false">IF(AND(G360&lt;&gt;"",Y360&lt;&gt;"",Z360&lt;&gt;""),(Z360-Y360)*1440,"")</f>
        <v/>
      </c>
      <c r="AF360" s="33" t="str">
        <f aca="false">IF(AND(G360&lt;&gt;"",L360&lt;&gt;"",Z360&lt;&gt;""),(Z360-L360)*1440,"")</f>
        <v/>
      </c>
      <c r="AG360" s="33" t="str">
        <f aca="false">IF(G360="","",IFERROR(INDEX(Settings!$D$5:$D$8,MATCH(G360,Settings!$A$5:$A$8,0)),""))</f>
        <v/>
      </c>
      <c r="AH360" s="25" t="str">
        <f aca="false">IF(G360="","",IF(AF360="","No",IF(AF360&lt;=AG360,"Yes","No")))</f>
        <v/>
      </c>
      <c r="AI360" s="25" t="str">
        <f aca="false">IF(G360="","",IF(L360="","N/A - Not Detected",IF(AND(X360="",Y360="",Z360=""),"No Containment Action",IF(Z360="",IF(Y360&lt;&gt;"","C2 Persisted","Host Isolation Gap"),IF(AF360&lt;=AG360,"Contained - Within SLA","Contained - SLA Breach")))))</f>
        <v/>
      </c>
      <c r="AJ360" s="25" t="str">
        <f aca="false">IF(G360="","",IF(Z360&lt;&gt;"",1,0))</f>
        <v/>
      </c>
      <c r="AK360" s="34"/>
      <c r="AL360" s="34"/>
      <c r="AM360" s="35"/>
      <c r="AN360" s="34"/>
      <c r="AO360" s="34"/>
      <c r="AP360" s="35"/>
      <c r="AQ360" s="34"/>
      <c r="AR360" s="34"/>
      <c r="AS360" s="34"/>
      <c r="AT360" s="35"/>
      <c r="AU360" s="35"/>
    </row>
    <row r="361" customFormat="false" ht="15" hidden="false" customHeight="false" outlineLevel="0" collapsed="false">
      <c r="A361" s="24"/>
      <c r="B361" s="24"/>
      <c r="C361" s="24"/>
      <c r="D361" s="24"/>
      <c r="E361" s="24"/>
      <c r="F361" s="24"/>
      <c r="G361" s="24"/>
      <c r="H361" s="24"/>
      <c r="I361" s="32"/>
      <c r="J361" s="32"/>
      <c r="K361" s="32"/>
      <c r="L361" s="32"/>
      <c r="M361" s="24"/>
      <c r="N361" s="24"/>
      <c r="O361" s="24"/>
      <c r="P361" s="33" t="str">
        <f aca="false">IF(AND(G361&lt;&gt;"",I361&lt;&gt;"",J361&lt;&gt;""),(J361-I361)*1440,"")</f>
        <v/>
      </c>
      <c r="Q361" s="33" t="str">
        <f aca="false">IF(AND(G361&lt;&gt;"",J361&lt;&gt;"",K361&lt;&gt;""),(K361-J361)*1440,"")</f>
        <v/>
      </c>
      <c r="R361" s="33" t="str">
        <f aca="false">IF(AND(G361&lt;&gt;"",K361&lt;&gt;"",L361&lt;&gt;""),(L361-K361)*1440,"")</f>
        <v/>
      </c>
      <c r="S361" s="33" t="str">
        <f aca="false">IF(AND(G361&lt;&gt;"",I361&lt;&gt;"",L361&lt;&gt;""),(L361-I361)*1440,"")</f>
        <v/>
      </c>
      <c r="T361" s="33" t="str">
        <f aca="false">IF(G361="","",IFERROR(INDEX(Settings!$B$5:$B$8,MATCH(G361,Settings!$A$5:$A$8,0)),""))</f>
        <v/>
      </c>
      <c r="U361" s="25" t="str">
        <f aca="false">IF(G361="","",IF(S361="","No",IF(S361&lt;=T361,"Yes","No")))</f>
        <v/>
      </c>
      <c r="V361" s="25" t="str">
        <f aca="false">IF(G361="","",IF(AND(J361="",K361="",L361=""),"Telemetry Blind Spot",IF(AND(K361="",L361=""),"Missed Alert",IF(L361="","Triage Delay",IF(S361&lt;=T361,"Detected - Within SLA",IF(AND(R361&lt;&gt;"",R361&gt;IFERROR(INDEX(Settings!$C$5:$C$8,MATCH(G361,Settings!$A$5:$A$8,0)),1E+099)),"Triage Delay","Detected - SLA Breach"))))))</f>
        <v/>
      </c>
      <c r="W361" s="25" t="str">
        <f aca="false">IF(G361="","",IF(L361&lt;&gt;"",1,0))</f>
        <v/>
      </c>
      <c r="X361" s="32"/>
      <c r="Y361" s="32"/>
      <c r="Z361" s="32"/>
      <c r="AA361" s="24"/>
      <c r="AB361" s="24"/>
      <c r="AC361" s="33" t="str">
        <f aca="false">IF(AND(G361&lt;&gt;"",L361&lt;&gt;"",X361&lt;&gt;""),(X361-L361)*1440,"")</f>
        <v/>
      </c>
      <c r="AD361" s="33" t="str">
        <f aca="false">IF(AND(G361&lt;&gt;"",X361&lt;&gt;"",Y361&lt;&gt;""),(Y361-X361)*1440,"")</f>
        <v/>
      </c>
      <c r="AE361" s="33" t="str">
        <f aca="false">IF(AND(G361&lt;&gt;"",Y361&lt;&gt;"",Z361&lt;&gt;""),(Z361-Y361)*1440,"")</f>
        <v/>
      </c>
      <c r="AF361" s="33" t="str">
        <f aca="false">IF(AND(G361&lt;&gt;"",L361&lt;&gt;"",Z361&lt;&gt;""),(Z361-L361)*1440,"")</f>
        <v/>
      </c>
      <c r="AG361" s="33" t="str">
        <f aca="false">IF(G361="","",IFERROR(INDEX(Settings!$D$5:$D$8,MATCH(G361,Settings!$A$5:$A$8,0)),""))</f>
        <v/>
      </c>
      <c r="AH361" s="25" t="str">
        <f aca="false">IF(G361="","",IF(AF361="","No",IF(AF361&lt;=AG361,"Yes","No")))</f>
        <v/>
      </c>
      <c r="AI361" s="25" t="str">
        <f aca="false">IF(G361="","",IF(L361="","N/A - Not Detected",IF(AND(X361="",Y361="",Z361=""),"No Containment Action",IF(Z361="",IF(Y361&lt;&gt;"","C2 Persisted","Host Isolation Gap"),IF(AF361&lt;=AG361,"Contained - Within SLA","Contained - SLA Breach")))))</f>
        <v/>
      </c>
      <c r="AJ361" s="25" t="str">
        <f aca="false">IF(G361="","",IF(Z361&lt;&gt;"",1,0))</f>
        <v/>
      </c>
      <c r="AK361" s="34"/>
      <c r="AL361" s="34"/>
      <c r="AM361" s="35"/>
      <c r="AN361" s="34"/>
      <c r="AO361" s="34"/>
      <c r="AP361" s="35"/>
      <c r="AQ361" s="34"/>
      <c r="AR361" s="34"/>
      <c r="AS361" s="34"/>
      <c r="AT361" s="35"/>
      <c r="AU361" s="35"/>
    </row>
    <row r="362" customFormat="false" ht="15" hidden="false" customHeight="false" outlineLevel="0" collapsed="false">
      <c r="A362" s="24"/>
      <c r="B362" s="24"/>
      <c r="C362" s="24"/>
      <c r="D362" s="24"/>
      <c r="E362" s="24"/>
      <c r="F362" s="24"/>
      <c r="G362" s="24"/>
      <c r="H362" s="24"/>
      <c r="I362" s="32"/>
      <c r="J362" s="32"/>
      <c r="K362" s="32"/>
      <c r="L362" s="32"/>
      <c r="M362" s="24"/>
      <c r="N362" s="24"/>
      <c r="O362" s="24"/>
      <c r="P362" s="33" t="str">
        <f aca="false">IF(AND(G362&lt;&gt;"",I362&lt;&gt;"",J362&lt;&gt;""),(J362-I362)*1440,"")</f>
        <v/>
      </c>
      <c r="Q362" s="33" t="str">
        <f aca="false">IF(AND(G362&lt;&gt;"",J362&lt;&gt;"",K362&lt;&gt;""),(K362-J362)*1440,"")</f>
        <v/>
      </c>
      <c r="R362" s="33" t="str">
        <f aca="false">IF(AND(G362&lt;&gt;"",K362&lt;&gt;"",L362&lt;&gt;""),(L362-K362)*1440,"")</f>
        <v/>
      </c>
      <c r="S362" s="33" t="str">
        <f aca="false">IF(AND(G362&lt;&gt;"",I362&lt;&gt;"",L362&lt;&gt;""),(L362-I362)*1440,"")</f>
        <v/>
      </c>
      <c r="T362" s="33" t="str">
        <f aca="false">IF(G362="","",IFERROR(INDEX(Settings!$B$5:$B$8,MATCH(G362,Settings!$A$5:$A$8,0)),""))</f>
        <v/>
      </c>
      <c r="U362" s="25" t="str">
        <f aca="false">IF(G362="","",IF(S362="","No",IF(S362&lt;=T362,"Yes","No")))</f>
        <v/>
      </c>
      <c r="V362" s="25" t="str">
        <f aca="false">IF(G362="","",IF(AND(J362="",K362="",L362=""),"Telemetry Blind Spot",IF(AND(K362="",L362=""),"Missed Alert",IF(L362="","Triage Delay",IF(S362&lt;=T362,"Detected - Within SLA",IF(AND(R362&lt;&gt;"",R362&gt;IFERROR(INDEX(Settings!$C$5:$C$8,MATCH(G362,Settings!$A$5:$A$8,0)),1E+099)),"Triage Delay","Detected - SLA Breach"))))))</f>
        <v/>
      </c>
      <c r="W362" s="25" t="str">
        <f aca="false">IF(G362="","",IF(L362&lt;&gt;"",1,0))</f>
        <v/>
      </c>
      <c r="X362" s="32"/>
      <c r="Y362" s="32"/>
      <c r="Z362" s="32"/>
      <c r="AA362" s="24"/>
      <c r="AB362" s="24"/>
      <c r="AC362" s="33" t="str">
        <f aca="false">IF(AND(G362&lt;&gt;"",L362&lt;&gt;"",X362&lt;&gt;""),(X362-L362)*1440,"")</f>
        <v/>
      </c>
      <c r="AD362" s="33" t="str">
        <f aca="false">IF(AND(G362&lt;&gt;"",X362&lt;&gt;"",Y362&lt;&gt;""),(Y362-X362)*1440,"")</f>
        <v/>
      </c>
      <c r="AE362" s="33" t="str">
        <f aca="false">IF(AND(G362&lt;&gt;"",Y362&lt;&gt;"",Z362&lt;&gt;""),(Z362-Y362)*1440,"")</f>
        <v/>
      </c>
      <c r="AF362" s="33" t="str">
        <f aca="false">IF(AND(G362&lt;&gt;"",L362&lt;&gt;"",Z362&lt;&gt;""),(Z362-L362)*1440,"")</f>
        <v/>
      </c>
      <c r="AG362" s="33" t="str">
        <f aca="false">IF(G362="","",IFERROR(INDEX(Settings!$D$5:$D$8,MATCH(G362,Settings!$A$5:$A$8,0)),""))</f>
        <v/>
      </c>
      <c r="AH362" s="25" t="str">
        <f aca="false">IF(G362="","",IF(AF362="","No",IF(AF362&lt;=AG362,"Yes","No")))</f>
        <v/>
      </c>
      <c r="AI362" s="25" t="str">
        <f aca="false">IF(G362="","",IF(L362="","N/A - Not Detected",IF(AND(X362="",Y362="",Z362=""),"No Containment Action",IF(Z362="",IF(Y362&lt;&gt;"","C2 Persisted","Host Isolation Gap"),IF(AF362&lt;=AG362,"Contained - Within SLA","Contained - SLA Breach")))))</f>
        <v/>
      </c>
      <c r="AJ362" s="25" t="str">
        <f aca="false">IF(G362="","",IF(Z362&lt;&gt;"",1,0))</f>
        <v/>
      </c>
      <c r="AK362" s="34"/>
      <c r="AL362" s="34"/>
      <c r="AM362" s="35"/>
      <c r="AN362" s="34"/>
      <c r="AO362" s="34"/>
      <c r="AP362" s="35"/>
      <c r="AQ362" s="34"/>
      <c r="AR362" s="34"/>
      <c r="AS362" s="34"/>
      <c r="AT362" s="35"/>
      <c r="AU362" s="35"/>
    </row>
    <row r="363" customFormat="false" ht="15" hidden="false" customHeight="false" outlineLevel="0" collapsed="false">
      <c r="A363" s="24"/>
      <c r="B363" s="24"/>
      <c r="C363" s="24"/>
      <c r="D363" s="24"/>
      <c r="E363" s="24"/>
      <c r="F363" s="24"/>
      <c r="G363" s="24"/>
      <c r="H363" s="24"/>
      <c r="I363" s="32"/>
      <c r="J363" s="32"/>
      <c r="K363" s="32"/>
      <c r="L363" s="32"/>
      <c r="M363" s="24"/>
      <c r="N363" s="24"/>
      <c r="O363" s="24"/>
      <c r="P363" s="33" t="str">
        <f aca="false">IF(AND(G363&lt;&gt;"",I363&lt;&gt;"",J363&lt;&gt;""),(J363-I363)*1440,"")</f>
        <v/>
      </c>
      <c r="Q363" s="33" t="str">
        <f aca="false">IF(AND(G363&lt;&gt;"",J363&lt;&gt;"",K363&lt;&gt;""),(K363-J363)*1440,"")</f>
        <v/>
      </c>
      <c r="R363" s="33" t="str">
        <f aca="false">IF(AND(G363&lt;&gt;"",K363&lt;&gt;"",L363&lt;&gt;""),(L363-K363)*1440,"")</f>
        <v/>
      </c>
      <c r="S363" s="33" t="str">
        <f aca="false">IF(AND(G363&lt;&gt;"",I363&lt;&gt;"",L363&lt;&gt;""),(L363-I363)*1440,"")</f>
        <v/>
      </c>
      <c r="T363" s="33" t="str">
        <f aca="false">IF(G363="","",IFERROR(INDEX(Settings!$B$5:$B$8,MATCH(G363,Settings!$A$5:$A$8,0)),""))</f>
        <v/>
      </c>
      <c r="U363" s="25" t="str">
        <f aca="false">IF(G363="","",IF(S363="","No",IF(S363&lt;=T363,"Yes","No")))</f>
        <v/>
      </c>
      <c r="V363" s="25" t="str">
        <f aca="false">IF(G363="","",IF(AND(J363="",K363="",L363=""),"Telemetry Blind Spot",IF(AND(K363="",L363=""),"Missed Alert",IF(L363="","Triage Delay",IF(S363&lt;=T363,"Detected - Within SLA",IF(AND(R363&lt;&gt;"",R363&gt;IFERROR(INDEX(Settings!$C$5:$C$8,MATCH(G363,Settings!$A$5:$A$8,0)),1E+099)),"Triage Delay","Detected - SLA Breach"))))))</f>
        <v/>
      </c>
      <c r="W363" s="25" t="str">
        <f aca="false">IF(G363="","",IF(L363&lt;&gt;"",1,0))</f>
        <v/>
      </c>
      <c r="X363" s="32"/>
      <c r="Y363" s="32"/>
      <c r="Z363" s="32"/>
      <c r="AA363" s="24"/>
      <c r="AB363" s="24"/>
      <c r="AC363" s="33" t="str">
        <f aca="false">IF(AND(G363&lt;&gt;"",L363&lt;&gt;"",X363&lt;&gt;""),(X363-L363)*1440,"")</f>
        <v/>
      </c>
      <c r="AD363" s="33" t="str">
        <f aca="false">IF(AND(G363&lt;&gt;"",X363&lt;&gt;"",Y363&lt;&gt;""),(Y363-X363)*1440,"")</f>
        <v/>
      </c>
      <c r="AE363" s="33" t="str">
        <f aca="false">IF(AND(G363&lt;&gt;"",Y363&lt;&gt;"",Z363&lt;&gt;""),(Z363-Y363)*1440,"")</f>
        <v/>
      </c>
      <c r="AF363" s="33" t="str">
        <f aca="false">IF(AND(G363&lt;&gt;"",L363&lt;&gt;"",Z363&lt;&gt;""),(Z363-L363)*1440,"")</f>
        <v/>
      </c>
      <c r="AG363" s="33" t="str">
        <f aca="false">IF(G363="","",IFERROR(INDEX(Settings!$D$5:$D$8,MATCH(G363,Settings!$A$5:$A$8,0)),""))</f>
        <v/>
      </c>
      <c r="AH363" s="25" t="str">
        <f aca="false">IF(G363="","",IF(AF363="","No",IF(AF363&lt;=AG363,"Yes","No")))</f>
        <v/>
      </c>
      <c r="AI363" s="25" t="str">
        <f aca="false">IF(G363="","",IF(L363="","N/A - Not Detected",IF(AND(X363="",Y363="",Z363=""),"No Containment Action",IF(Z363="",IF(Y363&lt;&gt;"","C2 Persisted","Host Isolation Gap"),IF(AF363&lt;=AG363,"Contained - Within SLA","Contained - SLA Breach")))))</f>
        <v/>
      </c>
      <c r="AJ363" s="25" t="str">
        <f aca="false">IF(G363="","",IF(Z363&lt;&gt;"",1,0))</f>
        <v/>
      </c>
      <c r="AK363" s="34"/>
      <c r="AL363" s="34"/>
      <c r="AM363" s="35"/>
      <c r="AN363" s="34"/>
      <c r="AO363" s="34"/>
      <c r="AP363" s="35"/>
      <c r="AQ363" s="34"/>
      <c r="AR363" s="34"/>
      <c r="AS363" s="34"/>
      <c r="AT363" s="35"/>
      <c r="AU363" s="35"/>
    </row>
    <row r="364" customFormat="false" ht="15" hidden="false" customHeight="false" outlineLevel="0" collapsed="false">
      <c r="A364" s="24"/>
      <c r="B364" s="24"/>
      <c r="C364" s="24"/>
      <c r="D364" s="24"/>
      <c r="E364" s="24"/>
      <c r="F364" s="24"/>
      <c r="G364" s="24"/>
      <c r="H364" s="24"/>
      <c r="I364" s="32"/>
      <c r="J364" s="32"/>
      <c r="K364" s="32"/>
      <c r="L364" s="32"/>
      <c r="M364" s="24"/>
      <c r="N364" s="24"/>
      <c r="O364" s="24"/>
      <c r="P364" s="33" t="str">
        <f aca="false">IF(AND(G364&lt;&gt;"",I364&lt;&gt;"",J364&lt;&gt;""),(J364-I364)*1440,"")</f>
        <v/>
      </c>
      <c r="Q364" s="33" t="str">
        <f aca="false">IF(AND(G364&lt;&gt;"",J364&lt;&gt;"",K364&lt;&gt;""),(K364-J364)*1440,"")</f>
        <v/>
      </c>
      <c r="R364" s="33" t="str">
        <f aca="false">IF(AND(G364&lt;&gt;"",K364&lt;&gt;"",L364&lt;&gt;""),(L364-K364)*1440,"")</f>
        <v/>
      </c>
      <c r="S364" s="33" t="str">
        <f aca="false">IF(AND(G364&lt;&gt;"",I364&lt;&gt;"",L364&lt;&gt;""),(L364-I364)*1440,"")</f>
        <v/>
      </c>
      <c r="T364" s="33" t="str">
        <f aca="false">IF(G364="","",IFERROR(INDEX(Settings!$B$5:$B$8,MATCH(G364,Settings!$A$5:$A$8,0)),""))</f>
        <v/>
      </c>
      <c r="U364" s="25" t="str">
        <f aca="false">IF(G364="","",IF(S364="","No",IF(S364&lt;=T364,"Yes","No")))</f>
        <v/>
      </c>
      <c r="V364" s="25" t="str">
        <f aca="false">IF(G364="","",IF(AND(J364="",K364="",L364=""),"Telemetry Blind Spot",IF(AND(K364="",L364=""),"Missed Alert",IF(L364="","Triage Delay",IF(S364&lt;=T364,"Detected - Within SLA",IF(AND(R364&lt;&gt;"",R364&gt;IFERROR(INDEX(Settings!$C$5:$C$8,MATCH(G364,Settings!$A$5:$A$8,0)),1E+099)),"Triage Delay","Detected - SLA Breach"))))))</f>
        <v/>
      </c>
      <c r="W364" s="25" t="str">
        <f aca="false">IF(G364="","",IF(L364&lt;&gt;"",1,0))</f>
        <v/>
      </c>
      <c r="X364" s="32"/>
      <c r="Y364" s="32"/>
      <c r="Z364" s="32"/>
      <c r="AA364" s="24"/>
      <c r="AB364" s="24"/>
      <c r="AC364" s="33" t="str">
        <f aca="false">IF(AND(G364&lt;&gt;"",L364&lt;&gt;"",X364&lt;&gt;""),(X364-L364)*1440,"")</f>
        <v/>
      </c>
      <c r="AD364" s="33" t="str">
        <f aca="false">IF(AND(G364&lt;&gt;"",X364&lt;&gt;"",Y364&lt;&gt;""),(Y364-X364)*1440,"")</f>
        <v/>
      </c>
      <c r="AE364" s="33" t="str">
        <f aca="false">IF(AND(G364&lt;&gt;"",Y364&lt;&gt;"",Z364&lt;&gt;""),(Z364-Y364)*1440,"")</f>
        <v/>
      </c>
      <c r="AF364" s="33" t="str">
        <f aca="false">IF(AND(G364&lt;&gt;"",L364&lt;&gt;"",Z364&lt;&gt;""),(Z364-L364)*1440,"")</f>
        <v/>
      </c>
      <c r="AG364" s="33" t="str">
        <f aca="false">IF(G364="","",IFERROR(INDEX(Settings!$D$5:$D$8,MATCH(G364,Settings!$A$5:$A$8,0)),""))</f>
        <v/>
      </c>
      <c r="AH364" s="25" t="str">
        <f aca="false">IF(G364="","",IF(AF364="","No",IF(AF364&lt;=AG364,"Yes","No")))</f>
        <v/>
      </c>
      <c r="AI364" s="25" t="str">
        <f aca="false">IF(G364="","",IF(L364="","N/A - Not Detected",IF(AND(X364="",Y364="",Z364=""),"No Containment Action",IF(Z364="",IF(Y364&lt;&gt;"","C2 Persisted","Host Isolation Gap"),IF(AF364&lt;=AG364,"Contained - Within SLA","Contained - SLA Breach")))))</f>
        <v/>
      </c>
      <c r="AJ364" s="25" t="str">
        <f aca="false">IF(G364="","",IF(Z364&lt;&gt;"",1,0))</f>
        <v/>
      </c>
      <c r="AK364" s="34"/>
      <c r="AL364" s="34"/>
      <c r="AM364" s="35"/>
      <c r="AN364" s="34"/>
      <c r="AO364" s="34"/>
      <c r="AP364" s="35"/>
      <c r="AQ364" s="34"/>
      <c r="AR364" s="34"/>
      <c r="AS364" s="34"/>
      <c r="AT364" s="35"/>
      <c r="AU364" s="35"/>
    </row>
    <row r="365" customFormat="false" ht="15" hidden="false" customHeight="false" outlineLevel="0" collapsed="false">
      <c r="A365" s="24"/>
      <c r="B365" s="24"/>
      <c r="C365" s="24"/>
      <c r="D365" s="24"/>
      <c r="E365" s="24"/>
      <c r="F365" s="24"/>
      <c r="G365" s="24"/>
      <c r="H365" s="24"/>
      <c r="I365" s="32"/>
      <c r="J365" s="32"/>
      <c r="K365" s="32"/>
      <c r="L365" s="32"/>
      <c r="M365" s="24"/>
      <c r="N365" s="24"/>
      <c r="O365" s="24"/>
      <c r="P365" s="33" t="str">
        <f aca="false">IF(AND(G365&lt;&gt;"",I365&lt;&gt;"",J365&lt;&gt;""),(J365-I365)*1440,"")</f>
        <v/>
      </c>
      <c r="Q365" s="33" t="str">
        <f aca="false">IF(AND(G365&lt;&gt;"",J365&lt;&gt;"",K365&lt;&gt;""),(K365-J365)*1440,"")</f>
        <v/>
      </c>
      <c r="R365" s="33" t="str">
        <f aca="false">IF(AND(G365&lt;&gt;"",K365&lt;&gt;"",L365&lt;&gt;""),(L365-K365)*1440,"")</f>
        <v/>
      </c>
      <c r="S365" s="33" t="str">
        <f aca="false">IF(AND(G365&lt;&gt;"",I365&lt;&gt;"",L365&lt;&gt;""),(L365-I365)*1440,"")</f>
        <v/>
      </c>
      <c r="T365" s="33" t="str">
        <f aca="false">IF(G365="","",IFERROR(INDEX(Settings!$B$5:$B$8,MATCH(G365,Settings!$A$5:$A$8,0)),""))</f>
        <v/>
      </c>
      <c r="U365" s="25" t="str">
        <f aca="false">IF(G365="","",IF(S365="","No",IF(S365&lt;=T365,"Yes","No")))</f>
        <v/>
      </c>
      <c r="V365" s="25" t="str">
        <f aca="false">IF(G365="","",IF(AND(J365="",K365="",L365=""),"Telemetry Blind Spot",IF(AND(K365="",L365=""),"Missed Alert",IF(L365="","Triage Delay",IF(S365&lt;=T365,"Detected - Within SLA",IF(AND(R365&lt;&gt;"",R365&gt;IFERROR(INDEX(Settings!$C$5:$C$8,MATCH(G365,Settings!$A$5:$A$8,0)),1E+099)),"Triage Delay","Detected - SLA Breach"))))))</f>
        <v/>
      </c>
      <c r="W365" s="25" t="str">
        <f aca="false">IF(G365="","",IF(L365&lt;&gt;"",1,0))</f>
        <v/>
      </c>
      <c r="X365" s="32"/>
      <c r="Y365" s="32"/>
      <c r="Z365" s="32"/>
      <c r="AA365" s="24"/>
      <c r="AB365" s="24"/>
      <c r="AC365" s="33" t="str">
        <f aca="false">IF(AND(G365&lt;&gt;"",L365&lt;&gt;"",X365&lt;&gt;""),(X365-L365)*1440,"")</f>
        <v/>
      </c>
      <c r="AD365" s="33" t="str">
        <f aca="false">IF(AND(G365&lt;&gt;"",X365&lt;&gt;"",Y365&lt;&gt;""),(Y365-X365)*1440,"")</f>
        <v/>
      </c>
      <c r="AE365" s="33" t="str">
        <f aca="false">IF(AND(G365&lt;&gt;"",Y365&lt;&gt;"",Z365&lt;&gt;""),(Z365-Y365)*1440,"")</f>
        <v/>
      </c>
      <c r="AF365" s="33" t="str">
        <f aca="false">IF(AND(G365&lt;&gt;"",L365&lt;&gt;"",Z365&lt;&gt;""),(Z365-L365)*1440,"")</f>
        <v/>
      </c>
      <c r="AG365" s="33" t="str">
        <f aca="false">IF(G365="","",IFERROR(INDEX(Settings!$D$5:$D$8,MATCH(G365,Settings!$A$5:$A$8,0)),""))</f>
        <v/>
      </c>
      <c r="AH365" s="25" t="str">
        <f aca="false">IF(G365="","",IF(AF365="","No",IF(AF365&lt;=AG365,"Yes","No")))</f>
        <v/>
      </c>
      <c r="AI365" s="25" t="str">
        <f aca="false">IF(G365="","",IF(L365="","N/A - Not Detected",IF(AND(X365="",Y365="",Z365=""),"No Containment Action",IF(Z365="",IF(Y365&lt;&gt;"","C2 Persisted","Host Isolation Gap"),IF(AF365&lt;=AG365,"Contained - Within SLA","Contained - SLA Breach")))))</f>
        <v/>
      </c>
      <c r="AJ365" s="25" t="str">
        <f aca="false">IF(G365="","",IF(Z365&lt;&gt;"",1,0))</f>
        <v/>
      </c>
      <c r="AK365" s="34"/>
      <c r="AL365" s="34"/>
      <c r="AM365" s="35"/>
      <c r="AN365" s="34"/>
      <c r="AO365" s="34"/>
      <c r="AP365" s="35"/>
      <c r="AQ365" s="34"/>
      <c r="AR365" s="34"/>
      <c r="AS365" s="34"/>
      <c r="AT365" s="35"/>
      <c r="AU365" s="35"/>
    </row>
    <row r="366" customFormat="false" ht="15" hidden="false" customHeight="false" outlineLevel="0" collapsed="false">
      <c r="A366" s="24"/>
      <c r="B366" s="24"/>
      <c r="C366" s="24"/>
      <c r="D366" s="24"/>
      <c r="E366" s="24"/>
      <c r="F366" s="24"/>
      <c r="G366" s="24"/>
      <c r="H366" s="24"/>
      <c r="I366" s="32"/>
      <c r="J366" s="32"/>
      <c r="K366" s="32"/>
      <c r="L366" s="32"/>
      <c r="M366" s="24"/>
      <c r="N366" s="24"/>
      <c r="O366" s="24"/>
      <c r="P366" s="33" t="str">
        <f aca="false">IF(AND(G366&lt;&gt;"",I366&lt;&gt;"",J366&lt;&gt;""),(J366-I366)*1440,"")</f>
        <v/>
      </c>
      <c r="Q366" s="33" t="str">
        <f aca="false">IF(AND(G366&lt;&gt;"",J366&lt;&gt;"",K366&lt;&gt;""),(K366-J366)*1440,"")</f>
        <v/>
      </c>
      <c r="R366" s="33" t="str">
        <f aca="false">IF(AND(G366&lt;&gt;"",K366&lt;&gt;"",L366&lt;&gt;""),(L366-K366)*1440,"")</f>
        <v/>
      </c>
      <c r="S366" s="33" t="str">
        <f aca="false">IF(AND(G366&lt;&gt;"",I366&lt;&gt;"",L366&lt;&gt;""),(L366-I366)*1440,"")</f>
        <v/>
      </c>
      <c r="T366" s="33" t="str">
        <f aca="false">IF(G366="","",IFERROR(INDEX(Settings!$B$5:$B$8,MATCH(G366,Settings!$A$5:$A$8,0)),""))</f>
        <v/>
      </c>
      <c r="U366" s="25" t="str">
        <f aca="false">IF(G366="","",IF(S366="","No",IF(S366&lt;=T366,"Yes","No")))</f>
        <v/>
      </c>
      <c r="V366" s="25" t="str">
        <f aca="false">IF(G366="","",IF(AND(J366="",K366="",L366=""),"Telemetry Blind Spot",IF(AND(K366="",L366=""),"Missed Alert",IF(L366="","Triage Delay",IF(S366&lt;=T366,"Detected - Within SLA",IF(AND(R366&lt;&gt;"",R366&gt;IFERROR(INDEX(Settings!$C$5:$C$8,MATCH(G366,Settings!$A$5:$A$8,0)),1E+099)),"Triage Delay","Detected - SLA Breach"))))))</f>
        <v/>
      </c>
      <c r="W366" s="25" t="str">
        <f aca="false">IF(G366="","",IF(L366&lt;&gt;"",1,0))</f>
        <v/>
      </c>
      <c r="X366" s="32"/>
      <c r="Y366" s="32"/>
      <c r="Z366" s="32"/>
      <c r="AA366" s="24"/>
      <c r="AB366" s="24"/>
      <c r="AC366" s="33" t="str">
        <f aca="false">IF(AND(G366&lt;&gt;"",L366&lt;&gt;"",X366&lt;&gt;""),(X366-L366)*1440,"")</f>
        <v/>
      </c>
      <c r="AD366" s="33" t="str">
        <f aca="false">IF(AND(G366&lt;&gt;"",X366&lt;&gt;"",Y366&lt;&gt;""),(Y366-X366)*1440,"")</f>
        <v/>
      </c>
      <c r="AE366" s="33" t="str">
        <f aca="false">IF(AND(G366&lt;&gt;"",Y366&lt;&gt;"",Z366&lt;&gt;""),(Z366-Y366)*1440,"")</f>
        <v/>
      </c>
      <c r="AF366" s="33" t="str">
        <f aca="false">IF(AND(G366&lt;&gt;"",L366&lt;&gt;"",Z366&lt;&gt;""),(Z366-L366)*1440,"")</f>
        <v/>
      </c>
      <c r="AG366" s="33" t="str">
        <f aca="false">IF(G366="","",IFERROR(INDEX(Settings!$D$5:$D$8,MATCH(G366,Settings!$A$5:$A$8,0)),""))</f>
        <v/>
      </c>
      <c r="AH366" s="25" t="str">
        <f aca="false">IF(G366="","",IF(AF366="","No",IF(AF366&lt;=AG366,"Yes","No")))</f>
        <v/>
      </c>
      <c r="AI366" s="25" t="str">
        <f aca="false">IF(G366="","",IF(L366="","N/A - Not Detected",IF(AND(X366="",Y366="",Z366=""),"No Containment Action",IF(Z366="",IF(Y366&lt;&gt;"","C2 Persisted","Host Isolation Gap"),IF(AF366&lt;=AG366,"Contained - Within SLA","Contained - SLA Breach")))))</f>
        <v/>
      </c>
      <c r="AJ366" s="25" t="str">
        <f aca="false">IF(G366="","",IF(Z366&lt;&gt;"",1,0))</f>
        <v/>
      </c>
      <c r="AK366" s="34"/>
      <c r="AL366" s="34"/>
      <c r="AM366" s="35"/>
      <c r="AN366" s="34"/>
      <c r="AO366" s="34"/>
      <c r="AP366" s="35"/>
      <c r="AQ366" s="34"/>
      <c r="AR366" s="34"/>
      <c r="AS366" s="34"/>
      <c r="AT366" s="35"/>
      <c r="AU366" s="35"/>
    </row>
    <row r="367" customFormat="false" ht="15" hidden="false" customHeight="false" outlineLevel="0" collapsed="false">
      <c r="A367" s="24"/>
      <c r="B367" s="24"/>
      <c r="C367" s="24"/>
      <c r="D367" s="24"/>
      <c r="E367" s="24"/>
      <c r="F367" s="24"/>
      <c r="G367" s="24"/>
      <c r="H367" s="24"/>
      <c r="I367" s="32"/>
      <c r="J367" s="32"/>
      <c r="K367" s="32"/>
      <c r="L367" s="32"/>
      <c r="M367" s="24"/>
      <c r="N367" s="24"/>
      <c r="O367" s="24"/>
      <c r="P367" s="33" t="str">
        <f aca="false">IF(AND(G367&lt;&gt;"",I367&lt;&gt;"",J367&lt;&gt;""),(J367-I367)*1440,"")</f>
        <v/>
      </c>
      <c r="Q367" s="33" t="str">
        <f aca="false">IF(AND(G367&lt;&gt;"",J367&lt;&gt;"",K367&lt;&gt;""),(K367-J367)*1440,"")</f>
        <v/>
      </c>
      <c r="R367" s="33" t="str">
        <f aca="false">IF(AND(G367&lt;&gt;"",K367&lt;&gt;"",L367&lt;&gt;""),(L367-K367)*1440,"")</f>
        <v/>
      </c>
      <c r="S367" s="33" t="str">
        <f aca="false">IF(AND(G367&lt;&gt;"",I367&lt;&gt;"",L367&lt;&gt;""),(L367-I367)*1440,"")</f>
        <v/>
      </c>
      <c r="T367" s="33" t="str">
        <f aca="false">IF(G367="","",IFERROR(INDEX(Settings!$B$5:$B$8,MATCH(G367,Settings!$A$5:$A$8,0)),""))</f>
        <v/>
      </c>
      <c r="U367" s="25" t="str">
        <f aca="false">IF(G367="","",IF(S367="","No",IF(S367&lt;=T367,"Yes","No")))</f>
        <v/>
      </c>
      <c r="V367" s="25" t="str">
        <f aca="false">IF(G367="","",IF(AND(J367="",K367="",L367=""),"Telemetry Blind Spot",IF(AND(K367="",L367=""),"Missed Alert",IF(L367="","Triage Delay",IF(S367&lt;=T367,"Detected - Within SLA",IF(AND(R367&lt;&gt;"",R367&gt;IFERROR(INDEX(Settings!$C$5:$C$8,MATCH(G367,Settings!$A$5:$A$8,0)),1E+099)),"Triage Delay","Detected - SLA Breach"))))))</f>
        <v/>
      </c>
      <c r="W367" s="25" t="str">
        <f aca="false">IF(G367="","",IF(L367&lt;&gt;"",1,0))</f>
        <v/>
      </c>
      <c r="X367" s="32"/>
      <c r="Y367" s="32"/>
      <c r="Z367" s="32"/>
      <c r="AA367" s="24"/>
      <c r="AB367" s="24"/>
      <c r="AC367" s="33" t="str">
        <f aca="false">IF(AND(G367&lt;&gt;"",L367&lt;&gt;"",X367&lt;&gt;""),(X367-L367)*1440,"")</f>
        <v/>
      </c>
      <c r="AD367" s="33" t="str">
        <f aca="false">IF(AND(G367&lt;&gt;"",X367&lt;&gt;"",Y367&lt;&gt;""),(Y367-X367)*1440,"")</f>
        <v/>
      </c>
      <c r="AE367" s="33" t="str">
        <f aca="false">IF(AND(G367&lt;&gt;"",Y367&lt;&gt;"",Z367&lt;&gt;""),(Z367-Y367)*1440,"")</f>
        <v/>
      </c>
      <c r="AF367" s="33" t="str">
        <f aca="false">IF(AND(G367&lt;&gt;"",L367&lt;&gt;"",Z367&lt;&gt;""),(Z367-L367)*1440,"")</f>
        <v/>
      </c>
      <c r="AG367" s="33" t="str">
        <f aca="false">IF(G367="","",IFERROR(INDEX(Settings!$D$5:$D$8,MATCH(G367,Settings!$A$5:$A$8,0)),""))</f>
        <v/>
      </c>
      <c r="AH367" s="25" t="str">
        <f aca="false">IF(G367="","",IF(AF367="","No",IF(AF367&lt;=AG367,"Yes","No")))</f>
        <v/>
      </c>
      <c r="AI367" s="25" t="str">
        <f aca="false">IF(G367="","",IF(L367="","N/A - Not Detected",IF(AND(X367="",Y367="",Z367=""),"No Containment Action",IF(Z367="",IF(Y367&lt;&gt;"","C2 Persisted","Host Isolation Gap"),IF(AF367&lt;=AG367,"Contained - Within SLA","Contained - SLA Breach")))))</f>
        <v/>
      </c>
      <c r="AJ367" s="25" t="str">
        <f aca="false">IF(G367="","",IF(Z367&lt;&gt;"",1,0))</f>
        <v/>
      </c>
      <c r="AK367" s="34"/>
      <c r="AL367" s="34"/>
      <c r="AM367" s="35"/>
      <c r="AN367" s="34"/>
      <c r="AO367" s="34"/>
      <c r="AP367" s="35"/>
      <c r="AQ367" s="34"/>
      <c r="AR367" s="34"/>
      <c r="AS367" s="34"/>
      <c r="AT367" s="35"/>
      <c r="AU367" s="35"/>
    </row>
    <row r="368" customFormat="false" ht="15" hidden="false" customHeight="false" outlineLevel="0" collapsed="false">
      <c r="A368" s="24"/>
      <c r="B368" s="24"/>
      <c r="C368" s="24"/>
      <c r="D368" s="24"/>
      <c r="E368" s="24"/>
      <c r="F368" s="24"/>
      <c r="G368" s="24"/>
      <c r="H368" s="24"/>
      <c r="I368" s="32"/>
      <c r="J368" s="32"/>
      <c r="K368" s="32"/>
      <c r="L368" s="32"/>
      <c r="M368" s="24"/>
      <c r="N368" s="24"/>
      <c r="O368" s="24"/>
      <c r="P368" s="33" t="str">
        <f aca="false">IF(AND(G368&lt;&gt;"",I368&lt;&gt;"",J368&lt;&gt;""),(J368-I368)*1440,"")</f>
        <v/>
      </c>
      <c r="Q368" s="33" t="str">
        <f aca="false">IF(AND(G368&lt;&gt;"",J368&lt;&gt;"",K368&lt;&gt;""),(K368-J368)*1440,"")</f>
        <v/>
      </c>
      <c r="R368" s="33" t="str">
        <f aca="false">IF(AND(G368&lt;&gt;"",K368&lt;&gt;"",L368&lt;&gt;""),(L368-K368)*1440,"")</f>
        <v/>
      </c>
      <c r="S368" s="33" t="str">
        <f aca="false">IF(AND(G368&lt;&gt;"",I368&lt;&gt;"",L368&lt;&gt;""),(L368-I368)*1440,"")</f>
        <v/>
      </c>
      <c r="T368" s="33" t="str">
        <f aca="false">IF(G368="","",IFERROR(INDEX(Settings!$B$5:$B$8,MATCH(G368,Settings!$A$5:$A$8,0)),""))</f>
        <v/>
      </c>
      <c r="U368" s="25" t="str">
        <f aca="false">IF(G368="","",IF(S368="","No",IF(S368&lt;=T368,"Yes","No")))</f>
        <v/>
      </c>
      <c r="V368" s="25" t="str">
        <f aca="false">IF(G368="","",IF(AND(J368="",K368="",L368=""),"Telemetry Blind Spot",IF(AND(K368="",L368=""),"Missed Alert",IF(L368="","Triage Delay",IF(S368&lt;=T368,"Detected - Within SLA",IF(AND(R368&lt;&gt;"",R368&gt;IFERROR(INDEX(Settings!$C$5:$C$8,MATCH(G368,Settings!$A$5:$A$8,0)),1E+099)),"Triage Delay","Detected - SLA Breach"))))))</f>
        <v/>
      </c>
      <c r="W368" s="25" t="str">
        <f aca="false">IF(G368="","",IF(L368&lt;&gt;"",1,0))</f>
        <v/>
      </c>
      <c r="X368" s="32"/>
      <c r="Y368" s="32"/>
      <c r="Z368" s="32"/>
      <c r="AA368" s="24"/>
      <c r="AB368" s="24"/>
      <c r="AC368" s="33" t="str">
        <f aca="false">IF(AND(G368&lt;&gt;"",L368&lt;&gt;"",X368&lt;&gt;""),(X368-L368)*1440,"")</f>
        <v/>
      </c>
      <c r="AD368" s="33" t="str">
        <f aca="false">IF(AND(G368&lt;&gt;"",X368&lt;&gt;"",Y368&lt;&gt;""),(Y368-X368)*1440,"")</f>
        <v/>
      </c>
      <c r="AE368" s="33" t="str">
        <f aca="false">IF(AND(G368&lt;&gt;"",Y368&lt;&gt;"",Z368&lt;&gt;""),(Z368-Y368)*1440,"")</f>
        <v/>
      </c>
      <c r="AF368" s="33" t="str">
        <f aca="false">IF(AND(G368&lt;&gt;"",L368&lt;&gt;"",Z368&lt;&gt;""),(Z368-L368)*1440,"")</f>
        <v/>
      </c>
      <c r="AG368" s="33" t="str">
        <f aca="false">IF(G368="","",IFERROR(INDEX(Settings!$D$5:$D$8,MATCH(G368,Settings!$A$5:$A$8,0)),""))</f>
        <v/>
      </c>
      <c r="AH368" s="25" t="str">
        <f aca="false">IF(G368="","",IF(AF368="","No",IF(AF368&lt;=AG368,"Yes","No")))</f>
        <v/>
      </c>
      <c r="AI368" s="25" t="str">
        <f aca="false">IF(G368="","",IF(L368="","N/A - Not Detected",IF(AND(X368="",Y368="",Z368=""),"No Containment Action",IF(Z368="",IF(Y368&lt;&gt;"","C2 Persisted","Host Isolation Gap"),IF(AF368&lt;=AG368,"Contained - Within SLA","Contained - SLA Breach")))))</f>
        <v/>
      </c>
      <c r="AJ368" s="25" t="str">
        <f aca="false">IF(G368="","",IF(Z368&lt;&gt;"",1,0))</f>
        <v/>
      </c>
      <c r="AK368" s="34"/>
      <c r="AL368" s="34"/>
      <c r="AM368" s="35"/>
      <c r="AN368" s="34"/>
      <c r="AO368" s="34"/>
      <c r="AP368" s="35"/>
      <c r="AQ368" s="34"/>
      <c r="AR368" s="34"/>
      <c r="AS368" s="34"/>
      <c r="AT368" s="35"/>
      <c r="AU368" s="35"/>
    </row>
    <row r="369" customFormat="false" ht="15" hidden="false" customHeight="false" outlineLevel="0" collapsed="false">
      <c r="A369" s="24"/>
      <c r="B369" s="24"/>
      <c r="C369" s="24"/>
      <c r="D369" s="24"/>
      <c r="E369" s="24"/>
      <c r="F369" s="24"/>
      <c r="G369" s="24"/>
      <c r="H369" s="24"/>
      <c r="I369" s="32"/>
      <c r="J369" s="32"/>
      <c r="K369" s="32"/>
      <c r="L369" s="32"/>
      <c r="M369" s="24"/>
      <c r="N369" s="24"/>
      <c r="O369" s="24"/>
      <c r="P369" s="33" t="str">
        <f aca="false">IF(AND(G369&lt;&gt;"",I369&lt;&gt;"",J369&lt;&gt;""),(J369-I369)*1440,"")</f>
        <v/>
      </c>
      <c r="Q369" s="33" t="str">
        <f aca="false">IF(AND(G369&lt;&gt;"",J369&lt;&gt;"",K369&lt;&gt;""),(K369-J369)*1440,"")</f>
        <v/>
      </c>
      <c r="R369" s="33" t="str">
        <f aca="false">IF(AND(G369&lt;&gt;"",K369&lt;&gt;"",L369&lt;&gt;""),(L369-K369)*1440,"")</f>
        <v/>
      </c>
      <c r="S369" s="33" t="str">
        <f aca="false">IF(AND(G369&lt;&gt;"",I369&lt;&gt;"",L369&lt;&gt;""),(L369-I369)*1440,"")</f>
        <v/>
      </c>
      <c r="T369" s="33" t="str">
        <f aca="false">IF(G369="","",IFERROR(INDEX(Settings!$B$5:$B$8,MATCH(G369,Settings!$A$5:$A$8,0)),""))</f>
        <v/>
      </c>
      <c r="U369" s="25" t="str">
        <f aca="false">IF(G369="","",IF(S369="","No",IF(S369&lt;=T369,"Yes","No")))</f>
        <v/>
      </c>
      <c r="V369" s="25" t="str">
        <f aca="false">IF(G369="","",IF(AND(J369="",K369="",L369=""),"Telemetry Blind Spot",IF(AND(K369="",L369=""),"Missed Alert",IF(L369="","Triage Delay",IF(S369&lt;=T369,"Detected - Within SLA",IF(AND(R369&lt;&gt;"",R369&gt;IFERROR(INDEX(Settings!$C$5:$C$8,MATCH(G369,Settings!$A$5:$A$8,0)),1E+099)),"Triage Delay","Detected - SLA Breach"))))))</f>
        <v/>
      </c>
      <c r="W369" s="25" t="str">
        <f aca="false">IF(G369="","",IF(L369&lt;&gt;"",1,0))</f>
        <v/>
      </c>
      <c r="X369" s="32"/>
      <c r="Y369" s="32"/>
      <c r="Z369" s="32"/>
      <c r="AA369" s="24"/>
      <c r="AB369" s="24"/>
      <c r="AC369" s="33" t="str">
        <f aca="false">IF(AND(G369&lt;&gt;"",L369&lt;&gt;"",X369&lt;&gt;""),(X369-L369)*1440,"")</f>
        <v/>
      </c>
      <c r="AD369" s="33" t="str">
        <f aca="false">IF(AND(G369&lt;&gt;"",X369&lt;&gt;"",Y369&lt;&gt;""),(Y369-X369)*1440,"")</f>
        <v/>
      </c>
      <c r="AE369" s="33" t="str">
        <f aca="false">IF(AND(G369&lt;&gt;"",Y369&lt;&gt;"",Z369&lt;&gt;""),(Z369-Y369)*1440,"")</f>
        <v/>
      </c>
      <c r="AF369" s="33" t="str">
        <f aca="false">IF(AND(G369&lt;&gt;"",L369&lt;&gt;"",Z369&lt;&gt;""),(Z369-L369)*1440,"")</f>
        <v/>
      </c>
      <c r="AG369" s="33" t="str">
        <f aca="false">IF(G369="","",IFERROR(INDEX(Settings!$D$5:$D$8,MATCH(G369,Settings!$A$5:$A$8,0)),""))</f>
        <v/>
      </c>
      <c r="AH369" s="25" t="str">
        <f aca="false">IF(G369="","",IF(AF369="","No",IF(AF369&lt;=AG369,"Yes","No")))</f>
        <v/>
      </c>
      <c r="AI369" s="25" t="str">
        <f aca="false">IF(G369="","",IF(L369="","N/A - Not Detected",IF(AND(X369="",Y369="",Z369=""),"No Containment Action",IF(Z369="",IF(Y369&lt;&gt;"","C2 Persisted","Host Isolation Gap"),IF(AF369&lt;=AG369,"Contained - Within SLA","Contained - SLA Breach")))))</f>
        <v/>
      </c>
      <c r="AJ369" s="25" t="str">
        <f aca="false">IF(G369="","",IF(Z369&lt;&gt;"",1,0))</f>
        <v/>
      </c>
      <c r="AK369" s="34"/>
      <c r="AL369" s="34"/>
      <c r="AM369" s="35"/>
      <c r="AN369" s="34"/>
      <c r="AO369" s="34"/>
      <c r="AP369" s="35"/>
      <c r="AQ369" s="34"/>
      <c r="AR369" s="34"/>
      <c r="AS369" s="34"/>
      <c r="AT369" s="35"/>
      <c r="AU369" s="35"/>
    </row>
    <row r="370" customFormat="false" ht="15" hidden="false" customHeight="false" outlineLevel="0" collapsed="false">
      <c r="A370" s="24"/>
      <c r="B370" s="24"/>
      <c r="C370" s="24"/>
      <c r="D370" s="24"/>
      <c r="E370" s="24"/>
      <c r="F370" s="24"/>
      <c r="G370" s="24"/>
      <c r="H370" s="24"/>
      <c r="I370" s="32"/>
      <c r="J370" s="32"/>
      <c r="K370" s="32"/>
      <c r="L370" s="32"/>
      <c r="M370" s="24"/>
      <c r="N370" s="24"/>
      <c r="O370" s="24"/>
      <c r="P370" s="33" t="str">
        <f aca="false">IF(AND(G370&lt;&gt;"",I370&lt;&gt;"",J370&lt;&gt;""),(J370-I370)*1440,"")</f>
        <v/>
      </c>
      <c r="Q370" s="33" t="str">
        <f aca="false">IF(AND(G370&lt;&gt;"",J370&lt;&gt;"",K370&lt;&gt;""),(K370-J370)*1440,"")</f>
        <v/>
      </c>
      <c r="R370" s="33" t="str">
        <f aca="false">IF(AND(G370&lt;&gt;"",K370&lt;&gt;"",L370&lt;&gt;""),(L370-K370)*1440,"")</f>
        <v/>
      </c>
      <c r="S370" s="33" t="str">
        <f aca="false">IF(AND(G370&lt;&gt;"",I370&lt;&gt;"",L370&lt;&gt;""),(L370-I370)*1440,"")</f>
        <v/>
      </c>
      <c r="T370" s="33" t="str">
        <f aca="false">IF(G370="","",IFERROR(INDEX(Settings!$B$5:$B$8,MATCH(G370,Settings!$A$5:$A$8,0)),""))</f>
        <v/>
      </c>
      <c r="U370" s="25" t="str">
        <f aca="false">IF(G370="","",IF(S370="","No",IF(S370&lt;=T370,"Yes","No")))</f>
        <v/>
      </c>
      <c r="V370" s="25" t="str">
        <f aca="false">IF(G370="","",IF(AND(J370="",K370="",L370=""),"Telemetry Blind Spot",IF(AND(K370="",L370=""),"Missed Alert",IF(L370="","Triage Delay",IF(S370&lt;=T370,"Detected - Within SLA",IF(AND(R370&lt;&gt;"",R370&gt;IFERROR(INDEX(Settings!$C$5:$C$8,MATCH(G370,Settings!$A$5:$A$8,0)),1E+099)),"Triage Delay","Detected - SLA Breach"))))))</f>
        <v/>
      </c>
      <c r="W370" s="25" t="str">
        <f aca="false">IF(G370="","",IF(L370&lt;&gt;"",1,0))</f>
        <v/>
      </c>
      <c r="X370" s="32"/>
      <c r="Y370" s="32"/>
      <c r="Z370" s="32"/>
      <c r="AA370" s="24"/>
      <c r="AB370" s="24"/>
      <c r="AC370" s="33" t="str">
        <f aca="false">IF(AND(G370&lt;&gt;"",L370&lt;&gt;"",X370&lt;&gt;""),(X370-L370)*1440,"")</f>
        <v/>
      </c>
      <c r="AD370" s="33" t="str">
        <f aca="false">IF(AND(G370&lt;&gt;"",X370&lt;&gt;"",Y370&lt;&gt;""),(Y370-X370)*1440,"")</f>
        <v/>
      </c>
      <c r="AE370" s="33" t="str">
        <f aca="false">IF(AND(G370&lt;&gt;"",Y370&lt;&gt;"",Z370&lt;&gt;""),(Z370-Y370)*1440,"")</f>
        <v/>
      </c>
      <c r="AF370" s="33" t="str">
        <f aca="false">IF(AND(G370&lt;&gt;"",L370&lt;&gt;"",Z370&lt;&gt;""),(Z370-L370)*1440,"")</f>
        <v/>
      </c>
      <c r="AG370" s="33" t="str">
        <f aca="false">IF(G370="","",IFERROR(INDEX(Settings!$D$5:$D$8,MATCH(G370,Settings!$A$5:$A$8,0)),""))</f>
        <v/>
      </c>
      <c r="AH370" s="25" t="str">
        <f aca="false">IF(G370="","",IF(AF370="","No",IF(AF370&lt;=AG370,"Yes","No")))</f>
        <v/>
      </c>
      <c r="AI370" s="25" t="str">
        <f aca="false">IF(G370="","",IF(L370="","N/A - Not Detected",IF(AND(X370="",Y370="",Z370=""),"No Containment Action",IF(Z370="",IF(Y370&lt;&gt;"","C2 Persisted","Host Isolation Gap"),IF(AF370&lt;=AG370,"Contained - Within SLA","Contained - SLA Breach")))))</f>
        <v/>
      </c>
      <c r="AJ370" s="25" t="str">
        <f aca="false">IF(G370="","",IF(Z370&lt;&gt;"",1,0))</f>
        <v/>
      </c>
      <c r="AK370" s="34"/>
      <c r="AL370" s="34"/>
      <c r="AM370" s="35"/>
      <c r="AN370" s="34"/>
      <c r="AO370" s="34"/>
      <c r="AP370" s="35"/>
      <c r="AQ370" s="34"/>
      <c r="AR370" s="34"/>
      <c r="AS370" s="34"/>
      <c r="AT370" s="35"/>
      <c r="AU370" s="35"/>
    </row>
    <row r="371" customFormat="false" ht="15" hidden="false" customHeight="false" outlineLevel="0" collapsed="false">
      <c r="A371" s="24"/>
      <c r="B371" s="24"/>
      <c r="C371" s="24"/>
      <c r="D371" s="24"/>
      <c r="E371" s="24"/>
      <c r="F371" s="24"/>
      <c r="G371" s="24"/>
      <c r="H371" s="24"/>
      <c r="I371" s="32"/>
      <c r="J371" s="32"/>
      <c r="K371" s="32"/>
      <c r="L371" s="32"/>
      <c r="M371" s="24"/>
      <c r="N371" s="24"/>
      <c r="O371" s="24"/>
      <c r="P371" s="33" t="str">
        <f aca="false">IF(AND(G371&lt;&gt;"",I371&lt;&gt;"",J371&lt;&gt;""),(J371-I371)*1440,"")</f>
        <v/>
      </c>
      <c r="Q371" s="33" t="str">
        <f aca="false">IF(AND(G371&lt;&gt;"",J371&lt;&gt;"",K371&lt;&gt;""),(K371-J371)*1440,"")</f>
        <v/>
      </c>
      <c r="R371" s="33" t="str">
        <f aca="false">IF(AND(G371&lt;&gt;"",K371&lt;&gt;"",L371&lt;&gt;""),(L371-K371)*1440,"")</f>
        <v/>
      </c>
      <c r="S371" s="33" t="str">
        <f aca="false">IF(AND(G371&lt;&gt;"",I371&lt;&gt;"",L371&lt;&gt;""),(L371-I371)*1440,"")</f>
        <v/>
      </c>
      <c r="T371" s="33" t="str">
        <f aca="false">IF(G371="","",IFERROR(INDEX(Settings!$B$5:$B$8,MATCH(G371,Settings!$A$5:$A$8,0)),""))</f>
        <v/>
      </c>
      <c r="U371" s="25" t="str">
        <f aca="false">IF(G371="","",IF(S371="","No",IF(S371&lt;=T371,"Yes","No")))</f>
        <v/>
      </c>
      <c r="V371" s="25" t="str">
        <f aca="false">IF(G371="","",IF(AND(J371="",K371="",L371=""),"Telemetry Blind Spot",IF(AND(K371="",L371=""),"Missed Alert",IF(L371="","Triage Delay",IF(S371&lt;=T371,"Detected - Within SLA",IF(AND(R371&lt;&gt;"",R371&gt;IFERROR(INDEX(Settings!$C$5:$C$8,MATCH(G371,Settings!$A$5:$A$8,0)),1E+099)),"Triage Delay","Detected - SLA Breach"))))))</f>
        <v/>
      </c>
      <c r="W371" s="25" t="str">
        <f aca="false">IF(G371="","",IF(L371&lt;&gt;"",1,0))</f>
        <v/>
      </c>
      <c r="X371" s="32"/>
      <c r="Y371" s="32"/>
      <c r="Z371" s="32"/>
      <c r="AA371" s="24"/>
      <c r="AB371" s="24"/>
      <c r="AC371" s="33" t="str">
        <f aca="false">IF(AND(G371&lt;&gt;"",L371&lt;&gt;"",X371&lt;&gt;""),(X371-L371)*1440,"")</f>
        <v/>
      </c>
      <c r="AD371" s="33" t="str">
        <f aca="false">IF(AND(G371&lt;&gt;"",X371&lt;&gt;"",Y371&lt;&gt;""),(Y371-X371)*1440,"")</f>
        <v/>
      </c>
      <c r="AE371" s="33" t="str">
        <f aca="false">IF(AND(G371&lt;&gt;"",Y371&lt;&gt;"",Z371&lt;&gt;""),(Z371-Y371)*1440,"")</f>
        <v/>
      </c>
      <c r="AF371" s="33" t="str">
        <f aca="false">IF(AND(G371&lt;&gt;"",L371&lt;&gt;"",Z371&lt;&gt;""),(Z371-L371)*1440,"")</f>
        <v/>
      </c>
      <c r="AG371" s="33" t="str">
        <f aca="false">IF(G371="","",IFERROR(INDEX(Settings!$D$5:$D$8,MATCH(G371,Settings!$A$5:$A$8,0)),""))</f>
        <v/>
      </c>
      <c r="AH371" s="25" t="str">
        <f aca="false">IF(G371="","",IF(AF371="","No",IF(AF371&lt;=AG371,"Yes","No")))</f>
        <v/>
      </c>
      <c r="AI371" s="25" t="str">
        <f aca="false">IF(G371="","",IF(L371="","N/A - Not Detected",IF(AND(X371="",Y371="",Z371=""),"No Containment Action",IF(Z371="",IF(Y371&lt;&gt;"","C2 Persisted","Host Isolation Gap"),IF(AF371&lt;=AG371,"Contained - Within SLA","Contained - SLA Breach")))))</f>
        <v/>
      </c>
      <c r="AJ371" s="25" t="str">
        <f aca="false">IF(G371="","",IF(Z371&lt;&gt;"",1,0))</f>
        <v/>
      </c>
      <c r="AK371" s="34"/>
      <c r="AL371" s="34"/>
      <c r="AM371" s="35"/>
      <c r="AN371" s="34"/>
      <c r="AO371" s="34"/>
      <c r="AP371" s="35"/>
      <c r="AQ371" s="34"/>
      <c r="AR371" s="34"/>
      <c r="AS371" s="34"/>
      <c r="AT371" s="35"/>
      <c r="AU371" s="35"/>
    </row>
    <row r="372" customFormat="false" ht="15" hidden="false" customHeight="false" outlineLevel="0" collapsed="false">
      <c r="A372" s="24"/>
      <c r="B372" s="24"/>
      <c r="C372" s="24"/>
      <c r="D372" s="24"/>
      <c r="E372" s="24"/>
      <c r="F372" s="24"/>
      <c r="G372" s="24"/>
      <c r="H372" s="24"/>
      <c r="I372" s="32"/>
      <c r="J372" s="32"/>
      <c r="K372" s="32"/>
      <c r="L372" s="32"/>
      <c r="M372" s="24"/>
      <c r="N372" s="24"/>
      <c r="O372" s="24"/>
      <c r="P372" s="33" t="str">
        <f aca="false">IF(AND(G372&lt;&gt;"",I372&lt;&gt;"",J372&lt;&gt;""),(J372-I372)*1440,"")</f>
        <v/>
      </c>
      <c r="Q372" s="33" t="str">
        <f aca="false">IF(AND(G372&lt;&gt;"",J372&lt;&gt;"",K372&lt;&gt;""),(K372-J372)*1440,"")</f>
        <v/>
      </c>
      <c r="R372" s="33" t="str">
        <f aca="false">IF(AND(G372&lt;&gt;"",K372&lt;&gt;"",L372&lt;&gt;""),(L372-K372)*1440,"")</f>
        <v/>
      </c>
      <c r="S372" s="33" t="str">
        <f aca="false">IF(AND(G372&lt;&gt;"",I372&lt;&gt;"",L372&lt;&gt;""),(L372-I372)*1440,"")</f>
        <v/>
      </c>
      <c r="T372" s="33" t="str">
        <f aca="false">IF(G372="","",IFERROR(INDEX(Settings!$B$5:$B$8,MATCH(G372,Settings!$A$5:$A$8,0)),""))</f>
        <v/>
      </c>
      <c r="U372" s="25" t="str">
        <f aca="false">IF(G372="","",IF(S372="","No",IF(S372&lt;=T372,"Yes","No")))</f>
        <v/>
      </c>
      <c r="V372" s="25" t="str">
        <f aca="false">IF(G372="","",IF(AND(J372="",K372="",L372=""),"Telemetry Blind Spot",IF(AND(K372="",L372=""),"Missed Alert",IF(L372="","Triage Delay",IF(S372&lt;=T372,"Detected - Within SLA",IF(AND(R372&lt;&gt;"",R372&gt;IFERROR(INDEX(Settings!$C$5:$C$8,MATCH(G372,Settings!$A$5:$A$8,0)),1E+099)),"Triage Delay","Detected - SLA Breach"))))))</f>
        <v/>
      </c>
      <c r="W372" s="25" t="str">
        <f aca="false">IF(G372="","",IF(L372&lt;&gt;"",1,0))</f>
        <v/>
      </c>
      <c r="X372" s="32"/>
      <c r="Y372" s="32"/>
      <c r="Z372" s="32"/>
      <c r="AA372" s="24"/>
      <c r="AB372" s="24"/>
      <c r="AC372" s="33" t="str">
        <f aca="false">IF(AND(G372&lt;&gt;"",L372&lt;&gt;"",X372&lt;&gt;""),(X372-L372)*1440,"")</f>
        <v/>
      </c>
      <c r="AD372" s="33" t="str">
        <f aca="false">IF(AND(G372&lt;&gt;"",X372&lt;&gt;"",Y372&lt;&gt;""),(Y372-X372)*1440,"")</f>
        <v/>
      </c>
      <c r="AE372" s="33" t="str">
        <f aca="false">IF(AND(G372&lt;&gt;"",Y372&lt;&gt;"",Z372&lt;&gt;""),(Z372-Y372)*1440,"")</f>
        <v/>
      </c>
      <c r="AF372" s="33" t="str">
        <f aca="false">IF(AND(G372&lt;&gt;"",L372&lt;&gt;"",Z372&lt;&gt;""),(Z372-L372)*1440,"")</f>
        <v/>
      </c>
      <c r="AG372" s="33" t="str">
        <f aca="false">IF(G372="","",IFERROR(INDEX(Settings!$D$5:$D$8,MATCH(G372,Settings!$A$5:$A$8,0)),""))</f>
        <v/>
      </c>
      <c r="AH372" s="25" t="str">
        <f aca="false">IF(G372="","",IF(AF372="","No",IF(AF372&lt;=AG372,"Yes","No")))</f>
        <v/>
      </c>
      <c r="AI372" s="25" t="str">
        <f aca="false">IF(G372="","",IF(L372="","N/A - Not Detected",IF(AND(X372="",Y372="",Z372=""),"No Containment Action",IF(Z372="",IF(Y372&lt;&gt;"","C2 Persisted","Host Isolation Gap"),IF(AF372&lt;=AG372,"Contained - Within SLA","Contained - SLA Breach")))))</f>
        <v/>
      </c>
      <c r="AJ372" s="25" t="str">
        <f aca="false">IF(G372="","",IF(Z372&lt;&gt;"",1,0))</f>
        <v/>
      </c>
      <c r="AK372" s="34"/>
      <c r="AL372" s="34"/>
      <c r="AM372" s="35"/>
      <c r="AN372" s="34"/>
      <c r="AO372" s="34"/>
      <c r="AP372" s="35"/>
      <c r="AQ372" s="34"/>
      <c r="AR372" s="34"/>
      <c r="AS372" s="34"/>
      <c r="AT372" s="35"/>
      <c r="AU372" s="35"/>
    </row>
    <row r="373" customFormat="false" ht="15" hidden="false" customHeight="false" outlineLevel="0" collapsed="false">
      <c r="A373" s="24"/>
      <c r="B373" s="24"/>
      <c r="C373" s="24"/>
      <c r="D373" s="24"/>
      <c r="E373" s="24"/>
      <c r="F373" s="24"/>
      <c r="G373" s="24"/>
      <c r="H373" s="24"/>
      <c r="I373" s="32"/>
      <c r="J373" s="32"/>
      <c r="K373" s="32"/>
      <c r="L373" s="32"/>
      <c r="M373" s="24"/>
      <c r="N373" s="24"/>
      <c r="O373" s="24"/>
      <c r="P373" s="33" t="str">
        <f aca="false">IF(AND(G373&lt;&gt;"",I373&lt;&gt;"",J373&lt;&gt;""),(J373-I373)*1440,"")</f>
        <v/>
      </c>
      <c r="Q373" s="33" t="str">
        <f aca="false">IF(AND(G373&lt;&gt;"",J373&lt;&gt;"",K373&lt;&gt;""),(K373-J373)*1440,"")</f>
        <v/>
      </c>
      <c r="R373" s="33" t="str">
        <f aca="false">IF(AND(G373&lt;&gt;"",K373&lt;&gt;"",L373&lt;&gt;""),(L373-K373)*1440,"")</f>
        <v/>
      </c>
      <c r="S373" s="33" t="str">
        <f aca="false">IF(AND(G373&lt;&gt;"",I373&lt;&gt;"",L373&lt;&gt;""),(L373-I373)*1440,"")</f>
        <v/>
      </c>
      <c r="T373" s="33" t="str">
        <f aca="false">IF(G373="","",IFERROR(INDEX(Settings!$B$5:$B$8,MATCH(G373,Settings!$A$5:$A$8,0)),""))</f>
        <v/>
      </c>
      <c r="U373" s="25" t="str">
        <f aca="false">IF(G373="","",IF(S373="","No",IF(S373&lt;=T373,"Yes","No")))</f>
        <v/>
      </c>
      <c r="V373" s="25" t="str">
        <f aca="false">IF(G373="","",IF(AND(J373="",K373="",L373=""),"Telemetry Blind Spot",IF(AND(K373="",L373=""),"Missed Alert",IF(L373="","Triage Delay",IF(S373&lt;=T373,"Detected - Within SLA",IF(AND(R373&lt;&gt;"",R373&gt;IFERROR(INDEX(Settings!$C$5:$C$8,MATCH(G373,Settings!$A$5:$A$8,0)),1E+099)),"Triage Delay","Detected - SLA Breach"))))))</f>
        <v/>
      </c>
      <c r="W373" s="25" t="str">
        <f aca="false">IF(G373="","",IF(L373&lt;&gt;"",1,0))</f>
        <v/>
      </c>
      <c r="X373" s="32"/>
      <c r="Y373" s="32"/>
      <c r="Z373" s="32"/>
      <c r="AA373" s="24"/>
      <c r="AB373" s="24"/>
      <c r="AC373" s="33" t="str">
        <f aca="false">IF(AND(G373&lt;&gt;"",L373&lt;&gt;"",X373&lt;&gt;""),(X373-L373)*1440,"")</f>
        <v/>
      </c>
      <c r="AD373" s="33" t="str">
        <f aca="false">IF(AND(G373&lt;&gt;"",X373&lt;&gt;"",Y373&lt;&gt;""),(Y373-X373)*1440,"")</f>
        <v/>
      </c>
      <c r="AE373" s="33" t="str">
        <f aca="false">IF(AND(G373&lt;&gt;"",Y373&lt;&gt;"",Z373&lt;&gt;""),(Z373-Y373)*1440,"")</f>
        <v/>
      </c>
      <c r="AF373" s="33" t="str">
        <f aca="false">IF(AND(G373&lt;&gt;"",L373&lt;&gt;"",Z373&lt;&gt;""),(Z373-L373)*1440,"")</f>
        <v/>
      </c>
      <c r="AG373" s="33" t="str">
        <f aca="false">IF(G373="","",IFERROR(INDEX(Settings!$D$5:$D$8,MATCH(G373,Settings!$A$5:$A$8,0)),""))</f>
        <v/>
      </c>
      <c r="AH373" s="25" t="str">
        <f aca="false">IF(G373="","",IF(AF373="","No",IF(AF373&lt;=AG373,"Yes","No")))</f>
        <v/>
      </c>
      <c r="AI373" s="25" t="str">
        <f aca="false">IF(G373="","",IF(L373="","N/A - Not Detected",IF(AND(X373="",Y373="",Z373=""),"No Containment Action",IF(Z373="",IF(Y373&lt;&gt;"","C2 Persisted","Host Isolation Gap"),IF(AF373&lt;=AG373,"Contained - Within SLA","Contained - SLA Breach")))))</f>
        <v/>
      </c>
      <c r="AJ373" s="25" t="str">
        <f aca="false">IF(G373="","",IF(Z373&lt;&gt;"",1,0))</f>
        <v/>
      </c>
      <c r="AK373" s="34"/>
      <c r="AL373" s="34"/>
      <c r="AM373" s="35"/>
      <c r="AN373" s="34"/>
      <c r="AO373" s="34"/>
      <c r="AP373" s="35"/>
      <c r="AQ373" s="34"/>
      <c r="AR373" s="34"/>
      <c r="AS373" s="34"/>
      <c r="AT373" s="35"/>
      <c r="AU373" s="35"/>
    </row>
    <row r="374" customFormat="false" ht="15" hidden="false" customHeight="false" outlineLevel="0" collapsed="false">
      <c r="A374" s="24"/>
      <c r="B374" s="24"/>
      <c r="C374" s="24"/>
      <c r="D374" s="24"/>
      <c r="E374" s="24"/>
      <c r="F374" s="24"/>
      <c r="G374" s="24"/>
      <c r="H374" s="24"/>
      <c r="I374" s="32"/>
      <c r="J374" s="32"/>
      <c r="K374" s="32"/>
      <c r="L374" s="32"/>
      <c r="M374" s="24"/>
      <c r="N374" s="24"/>
      <c r="O374" s="24"/>
      <c r="P374" s="33" t="str">
        <f aca="false">IF(AND(G374&lt;&gt;"",I374&lt;&gt;"",J374&lt;&gt;""),(J374-I374)*1440,"")</f>
        <v/>
      </c>
      <c r="Q374" s="33" t="str">
        <f aca="false">IF(AND(G374&lt;&gt;"",J374&lt;&gt;"",K374&lt;&gt;""),(K374-J374)*1440,"")</f>
        <v/>
      </c>
      <c r="R374" s="33" t="str">
        <f aca="false">IF(AND(G374&lt;&gt;"",K374&lt;&gt;"",L374&lt;&gt;""),(L374-K374)*1440,"")</f>
        <v/>
      </c>
      <c r="S374" s="33" t="str">
        <f aca="false">IF(AND(G374&lt;&gt;"",I374&lt;&gt;"",L374&lt;&gt;""),(L374-I374)*1440,"")</f>
        <v/>
      </c>
      <c r="T374" s="33" t="str">
        <f aca="false">IF(G374="","",IFERROR(INDEX(Settings!$B$5:$B$8,MATCH(G374,Settings!$A$5:$A$8,0)),""))</f>
        <v/>
      </c>
      <c r="U374" s="25" t="str">
        <f aca="false">IF(G374="","",IF(S374="","No",IF(S374&lt;=T374,"Yes","No")))</f>
        <v/>
      </c>
      <c r="V374" s="25" t="str">
        <f aca="false">IF(G374="","",IF(AND(J374="",K374="",L374=""),"Telemetry Blind Spot",IF(AND(K374="",L374=""),"Missed Alert",IF(L374="","Triage Delay",IF(S374&lt;=T374,"Detected - Within SLA",IF(AND(R374&lt;&gt;"",R374&gt;IFERROR(INDEX(Settings!$C$5:$C$8,MATCH(G374,Settings!$A$5:$A$8,0)),1E+099)),"Triage Delay","Detected - SLA Breach"))))))</f>
        <v/>
      </c>
      <c r="W374" s="25" t="str">
        <f aca="false">IF(G374="","",IF(L374&lt;&gt;"",1,0))</f>
        <v/>
      </c>
      <c r="X374" s="32"/>
      <c r="Y374" s="32"/>
      <c r="Z374" s="32"/>
      <c r="AA374" s="24"/>
      <c r="AB374" s="24"/>
      <c r="AC374" s="33" t="str">
        <f aca="false">IF(AND(G374&lt;&gt;"",L374&lt;&gt;"",X374&lt;&gt;""),(X374-L374)*1440,"")</f>
        <v/>
      </c>
      <c r="AD374" s="33" t="str">
        <f aca="false">IF(AND(G374&lt;&gt;"",X374&lt;&gt;"",Y374&lt;&gt;""),(Y374-X374)*1440,"")</f>
        <v/>
      </c>
      <c r="AE374" s="33" t="str">
        <f aca="false">IF(AND(G374&lt;&gt;"",Y374&lt;&gt;"",Z374&lt;&gt;""),(Z374-Y374)*1440,"")</f>
        <v/>
      </c>
      <c r="AF374" s="33" t="str">
        <f aca="false">IF(AND(G374&lt;&gt;"",L374&lt;&gt;"",Z374&lt;&gt;""),(Z374-L374)*1440,"")</f>
        <v/>
      </c>
      <c r="AG374" s="33" t="str">
        <f aca="false">IF(G374="","",IFERROR(INDEX(Settings!$D$5:$D$8,MATCH(G374,Settings!$A$5:$A$8,0)),""))</f>
        <v/>
      </c>
      <c r="AH374" s="25" t="str">
        <f aca="false">IF(G374="","",IF(AF374="","No",IF(AF374&lt;=AG374,"Yes","No")))</f>
        <v/>
      </c>
      <c r="AI374" s="25" t="str">
        <f aca="false">IF(G374="","",IF(L374="","N/A - Not Detected",IF(AND(X374="",Y374="",Z374=""),"No Containment Action",IF(Z374="",IF(Y374&lt;&gt;"","C2 Persisted","Host Isolation Gap"),IF(AF374&lt;=AG374,"Contained - Within SLA","Contained - SLA Breach")))))</f>
        <v/>
      </c>
      <c r="AJ374" s="25" t="str">
        <f aca="false">IF(G374="","",IF(Z374&lt;&gt;"",1,0))</f>
        <v/>
      </c>
      <c r="AK374" s="34"/>
      <c r="AL374" s="34"/>
      <c r="AM374" s="35"/>
      <c r="AN374" s="34"/>
      <c r="AO374" s="34"/>
      <c r="AP374" s="35"/>
      <c r="AQ374" s="34"/>
      <c r="AR374" s="34"/>
      <c r="AS374" s="34"/>
      <c r="AT374" s="35"/>
      <c r="AU374" s="35"/>
    </row>
    <row r="375" customFormat="false" ht="15" hidden="false" customHeight="false" outlineLevel="0" collapsed="false">
      <c r="A375" s="24"/>
      <c r="B375" s="24"/>
      <c r="C375" s="24"/>
      <c r="D375" s="24"/>
      <c r="E375" s="24"/>
      <c r="F375" s="24"/>
      <c r="G375" s="24"/>
      <c r="H375" s="24"/>
      <c r="I375" s="32"/>
      <c r="J375" s="32"/>
      <c r="K375" s="32"/>
      <c r="L375" s="32"/>
      <c r="M375" s="24"/>
      <c r="N375" s="24"/>
      <c r="O375" s="24"/>
      <c r="P375" s="33" t="str">
        <f aca="false">IF(AND(G375&lt;&gt;"",I375&lt;&gt;"",J375&lt;&gt;""),(J375-I375)*1440,"")</f>
        <v/>
      </c>
      <c r="Q375" s="33" t="str">
        <f aca="false">IF(AND(G375&lt;&gt;"",J375&lt;&gt;"",K375&lt;&gt;""),(K375-J375)*1440,"")</f>
        <v/>
      </c>
      <c r="R375" s="33" t="str">
        <f aca="false">IF(AND(G375&lt;&gt;"",K375&lt;&gt;"",L375&lt;&gt;""),(L375-K375)*1440,"")</f>
        <v/>
      </c>
      <c r="S375" s="33" t="str">
        <f aca="false">IF(AND(G375&lt;&gt;"",I375&lt;&gt;"",L375&lt;&gt;""),(L375-I375)*1440,"")</f>
        <v/>
      </c>
      <c r="T375" s="33" t="str">
        <f aca="false">IF(G375="","",IFERROR(INDEX(Settings!$B$5:$B$8,MATCH(G375,Settings!$A$5:$A$8,0)),""))</f>
        <v/>
      </c>
      <c r="U375" s="25" t="str">
        <f aca="false">IF(G375="","",IF(S375="","No",IF(S375&lt;=T375,"Yes","No")))</f>
        <v/>
      </c>
      <c r="V375" s="25" t="str">
        <f aca="false">IF(G375="","",IF(AND(J375="",K375="",L375=""),"Telemetry Blind Spot",IF(AND(K375="",L375=""),"Missed Alert",IF(L375="","Triage Delay",IF(S375&lt;=T375,"Detected - Within SLA",IF(AND(R375&lt;&gt;"",R375&gt;IFERROR(INDEX(Settings!$C$5:$C$8,MATCH(G375,Settings!$A$5:$A$8,0)),1E+099)),"Triage Delay","Detected - SLA Breach"))))))</f>
        <v/>
      </c>
      <c r="W375" s="25" t="str">
        <f aca="false">IF(G375="","",IF(L375&lt;&gt;"",1,0))</f>
        <v/>
      </c>
      <c r="X375" s="32"/>
      <c r="Y375" s="32"/>
      <c r="Z375" s="32"/>
      <c r="AA375" s="24"/>
      <c r="AB375" s="24"/>
      <c r="AC375" s="33" t="str">
        <f aca="false">IF(AND(G375&lt;&gt;"",L375&lt;&gt;"",X375&lt;&gt;""),(X375-L375)*1440,"")</f>
        <v/>
      </c>
      <c r="AD375" s="33" t="str">
        <f aca="false">IF(AND(G375&lt;&gt;"",X375&lt;&gt;"",Y375&lt;&gt;""),(Y375-X375)*1440,"")</f>
        <v/>
      </c>
      <c r="AE375" s="33" t="str">
        <f aca="false">IF(AND(G375&lt;&gt;"",Y375&lt;&gt;"",Z375&lt;&gt;""),(Z375-Y375)*1440,"")</f>
        <v/>
      </c>
      <c r="AF375" s="33" t="str">
        <f aca="false">IF(AND(G375&lt;&gt;"",L375&lt;&gt;"",Z375&lt;&gt;""),(Z375-L375)*1440,"")</f>
        <v/>
      </c>
      <c r="AG375" s="33" t="str">
        <f aca="false">IF(G375="","",IFERROR(INDEX(Settings!$D$5:$D$8,MATCH(G375,Settings!$A$5:$A$8,0)),""))</f>
        <v/>
      </c>
      <c r="AH375" s="25" t="str">
        <f aca="false">IF(G375="","",IF(AF375="","No",IF(AF375&lt;=AG375,"Yes","No")))</f>
        <v/>
      </c>
      <c r="AI375" s="25" t="str">
        <f aca="false">IF(G375="","",IF(L375="","N/A - Not Detected",IF(AND(X375="",Y375="",Z375=""),"No Containment Action",IF(Z375="",IF(Y375&lt;&gt;"","C2 Persisted","Host Isolation Gap"),IF(AF375&lt;=AG375,"Contained - Within SLA","Contained - SLA Breach")))))</f>
        <v/>
      </c>
      <c r="AJ375" s="25" t="str">
        <f aca="false">IF(G375="","",IF(Z375&lt;&gt;"",1,0))</f>
        <v/>
      </c>
      <c r="AK375" s="34"/>
      <c r="AL375" s="34"/>
      <c r="AM375" s="35"/>
      <c r="AN375" s="34"/>
      <c r="AO375" s="34"/>
      <c r="AP375" s="35"/>
      <c r="AQ375" s="34"/>
      <c r="AR375" s="34"/>
      <c r="AS375" s="34"/>
      <c r="AT375" s="35"/>
      <c r="AU375" s="35"/>
    </row>
    <row r="376" customFormat="false" ht="15" hidden="false" customHeight="false" outlineLevel="0" collapsed="false">
      <c r="A376" s="24"/>
      <c r="B376" s="24"/>
      <c r="C376" s="24"/>
      <c r="D376" s="24"/>
      <c r="E376" s="24"/>
      <c r="F376" s="24"/>
      <c r="G376" s="24"/>
      <c r="H376" s="24"/>
      <c r="I376" s="32"/>
      <c r="J376" s="32"/>
      <c r="K376" s="32"/>
      <c r="L376" s="32"/>
      <c r="M376" s="24"/>
      <c r="N376" s="24"/>
      <c r="O376" s="24"/>
      <c r="P376" s="33" t="str">
        <f aca="false">IF(AND(G376&lt;&gt;"",I376&lt;&gt;"",J376&lt;&gt;""),(J376-I376)*1440,"")</f>
        <v/>
      </c>
      <c r="Q376" s="33" t="str">
        <f aca="false">IF(AND(G376&lt;&gt;"",J376&lt;&gt;"",K376&lt;&gt;""),(K376-J376)*1440,"")</f>
        <v/>
      </c>
      <c r="R376" s="33" t="str">
        <f aca="false">IF(AND(G376&lt;&gt;"",K376&lt;&gt;"",L376&lt;&gt;""),(L376-K376)*1440,"")</f>
        <v/>
      </c>
      <c r="S376" s="33" t="str">
        <f aca="false">IF(AND(G376&lt;&gt;"",I376&lt;&gt;"",L376&lt;&gt;""),(L376-I376)*1440,"")</f>
        <v/>
      </c>
      <c r="T376" s="33" t="str">
        <f aca="false">IF(G376="","",IFERROR(INDEX(Settings!$B$5:$B$8,MATCH(G376,Settings!$A$5:$A$8,0)),""))</f>
        <v/>
      </c>
      <c r="U376" s="25" t="str">
        <f aca="false">IF(G376="","",IF(S376="","No",IF(S376&lt;=T376,"Yes","No")))</f>
        <v/>
      </c>
      <c r="V376" s="25" t="str">
        <f aca="false">IF(G376="","",IF(AND(J376="",K376="",L376=""),"Telemetry Blind Spot",IF(AND(K376="",L376=""),"Missed Alert",IF(L376="","Triage Delay",IF(S376&lt;=T376,"Detected - Within SLA",IF(AND(R376&lt;&gt;"",R376&gt;IFERROR(INDEX(Settings!$C$5:$C$8,MATCH(G376,Settings!$A$5:$A$8,0)),1E+099)),"Triage Delay","Detected - SLA Breach"))))))</f>
        <v/>
      </c>
      <c r="W376" s="25" t="str">
        <f aca="false">IF(G376="","",IF(L376&lt;&gt;"",1,0))</f>
        <v/>
      </c>
      <c r="X376" s="32"/>
      <c r="Y376" s="32"/>
      <c r="Z376" s="32"/>
      <c r="AA376" s="24"/>
      <c r="AB376" s="24"/>
      <c r="AC376" s="33" t="str">
        <f aca="false">IF(AND(G376&lt;&gt;"",L376&lt;&gt;"",X376&lt;&gt;""),(X376-L376)*1440,"")</f>
        <v/>
      </c>
      <c r="AD376" s="33" t="str">
        <f aca="false">IF(AND(G376&lt;&gt;"",X376&lt;&gt;"",Y376&lt;&gt;""),(Y376-X376)*1440,"")</f>
        <v/>
      </c>
      <c r="AE376" s="33" t="str">
        <f aca="false">IF(AND(G376&lt;&gt;"",Y376&lt;&gt;"",Z376&lt;&gt;""),(Z376-Y376)*1440,"")</f>
        <v/>
      </c>
      <c r="AF376" s="33" t="str">
        <f aca="false">IF(AND(G376&lt;&gt;"",L376&lt;&gt;"",Z376&lt;&gt;""),(Z376-L376)*1440,"")</f>
        <v/>
      </c>
      <c r="AG376" s="33" t="str">
        <f aca="false">IF(G376="","",IFERROR(INDEX(Settings!$D$5:$D$8,MATCH(G376,Settings!$A$5:$A$8,0)),""))</f>
        <v/>
      </c>
      <c r="AH376" s="25" t="str">
        <f aca="false">IF(G376="","",IF(AF376="","No",IF(AF376&lt;=AG376,"Yes","No")))</f>
        <v/>
      </c>
      <c r="AI376" s="25" t="str">
        <f aca="false">IF(G376="","",IF(L376="","N/A - Not Detected",IF(AND(X376="",Y376="",Z376=""),"No Containment Action",IF(Z376="",IF(Y376&lt;&gt;"","C2 Persisted","Host Isolation Gap"),IF(AF376&lt;=AG376,"Contained - Within SLA","Contained - SLA Breach")))))</f>
        <v/>
      </c>
      <c r="AJ376" s="25" t="str">
        <f aca="false">IF(G376="","",IF(Z376&lt;&gt;"",1,0))</f>
        <v/>
      </c>
      <c r="AK376" s="34"/>
      <c r="AL376" s="34"/>
      <c r="AM376" s="35"/>
      <c r="AN376" s="34"/>
      <c r="AO376" s="34"/>
      <c r="AP376" s="35"/>
      <c r="AQ376" s="34"/>
      <c r="AR376" s="34"/>
      <c r="AS376" s="34"/>
      <c r="AT376" s="35"/>
      <c r="AU376" s="35"/>
    </row>
    <row r="377" customFormat="false" ht="15" hidden="false" customHeight="false" outlineLevel="0" collapsed="false">
      <c r="A377" s="24"/>
      <c r="B377" s="24"/>
      <c r="C377" s="24"/>
      <c r="D377" s="24"/>
      <c r="E377" s="24"/>
      <c r="F377" s="24"/>
      <c r="G377" s="24"/>
      <c r="H377" s="24"/>
      <c r="I377" s="32"/>
      <c r="J377" s="32"/>
      <c r="K377" s="32"/>
      <c r="L377" s="32"/>
      <c r="M377" s="24"/>
      <c r="N377" s="24"/>
      <c r="O377" s="24"/>
      <c r="P377" s="33" t="str">
        <f aca="false">IF(AND(G377&lt;&gt;"",I377&lt;&gt;"",J377&lt;&gt;""),(J377-I377)*1440,"")</f>
        <v/>
      </c>
      <c r="Q377" s="33" t="str">
        <f aca="false">IF(AND(G377&lt;&gt;"",J377&lt;&gt;"",K377&lt;&gt;""),(K377-J377)*1440,"")</f>
        <v/>
      </c>
      <c r="R377" s="33" t="str">
        <f aca="false">IF(AND(G377&lt;&gt;"",K377&lt;&gt;"",L377&lt;&gt;""),(L377-K377)*1440,"")</f>
        <v/>
      </c>
      <c r="S377" s="33" t="str">
        <f aca="false">IF(AND(G377&lt;&gt;"",I377&lt;&gt;"",L377&lt;&gt;""),(L377-I377)*1440,"")</f>
        <v/>
      </c>
      <c r="T377" s="33" t="str">
        <f aca="false">IF(G377="","",IFERROR(INDEX(Settings!$B$5:$B$8,MATCH(G377,Settings!$A$5:$A$8,0)),""))</f>
        <v/>
      </c>
      <c r="U377" s="25" t="str">
        <f aca="false">IF(G377="","",IF(S377="","No",IF(S377&lt;=T377,"Yes","No")))</f>
        <v/>
      </c>
      <c r="V377" s="25" t="str">
        <f aca="false">IF(G377="","",IF(AND(J377="",K377="",L377=""),"Telemetry Blind Spot",IF(AND(K377="",L377=""),"Missed Alert",IF(L377="","Triage Delay",IF(S377&lt;=T377,"Detected - Within SLA",IF(AND(R377&lt;&gt;"",R377&gt;IFERROR(INDEX(Settings!$C$5:$C$8,MATCH(G377,Settings!$A$5:$A$8,0)),1E+099)),"Triage Delay","Detected - SLA Breach"))))))</f>
        <v/>
      </c>
      <c r="W377" s="25" t="str">
        <f aca="false">IF(G377="","",IF(L377&lt;&gt;"",1,0))</f>
        <v/>
      </c>
      <c r="X377" s="32"/>
      <c r="Y377" s="32"/>
      <c r="Z377" s="32"/>
      <c r="AA377" s="24"/>
      <c r="AB377" s="24"/>
      <c r="AC377" s="33" t="str">
        <f aca="false">IF(AND(G377&lt;&gt;"",L377&lt;&gt;"",X377&lt;&gt;""),(X377-L377)*1440,"")</f>
        <v/>
      </c>
      <c r="AD377" s="33" t="str">
        <f aca="false">IF(AND(G377&lt;&gt;"",X377&lt;&gt;"",Y377&lt;&gt;""),(Y377-X377)*1440,"")</f>
        <v/>
      </c>
      <c r="AE377" s="33" t="str">
        <f aca="false">IF(AND(G377&lt;&gt;"",Y377&lt;&gt;"",Z377&lt;&gt;""),(Z377-Y377)*1440,"")</f>
        <v/>
      </c>
      <c r="AF377" s="33" t="str">
        <f aca="false">IF(AND(G377&lt;&gt;"",L377&lt;&gt;"",Z377&lt;&gt;""),(Z377-L377)*1440,"")</f>
        <v/>
      </c>
      <c r="AG377" s="33" t="str">
        <f aca="false">IF(G377="","",IFERROR(INDEX(Settings!$D$5:$D$8,MATCH(G377,Settings!$A$5:$A$8,0)),""))</f>
        <v/>
      </c>
      <c r="AH377" s="25" t="str">
        <f aca="false">IF(G377="","",IF(AF377="","No",IF(AF377&lt;=AG377,"Yes","No")))</f>
        <v/>
      </c>
      <c r="AI377" s="25" t="str">
        <f aca="false">IF(G377="","",IF(L377="","N/A - Not Detected",IF(AND(X377="",Y377="",Z377=""),"No Containment Action",IF(Z377="",IF(Y377&lt;&gt;"","C2 Persisted","Host Isolation Gap"),IF(AF377&lt;=AG377,"Contained - Within SLA","Contained - SLA Breach")))))</f>
        <v/>
      </c>
      <c r="AJ377" s="25" t="str">
        <f aca="false">IF(G377="","",IF(Z377&lt;&gt;"",1,0))</f>
        <v/>
      </c>
      <c r="AK377" s="34"/>
      <c r="AL377" s="34"/>
      <c r="AM377" s="35"/>
      <c r="AN377" s="34"/>
      <c r="AO377" s="34"/>
      <c r="AP377" s="35"/>
      <c r="AQ377" s="34"/>
      <c r="AR377" s="34"/>
      <c r="AS377" s="34"/>
      <c r="AT377" s="35"/>
      <c r="AU377" s="35"/>
    </row>
    <row r="378" customFormat="false" ht="15" hidden="false" customHeight="false" outlineLevel="0" collapsed="false">
      <c r="A378" s="24"/>
      <c r="B378" s="24"/>
      <c r="C378" s="24"/>
      <c r="D378" s="24"/>
      <c r="E378" s="24"/>
      <c r="F378" s="24"/>
      <c r="G378" s="24"/>
      <c r="H378" s="24"/>
      <c r="I378" s="32"/>
      <c r="J378" s="32"/>
      <c r="K378" s="32"/>
      <c r="L378" s="32"/>
      <c r="M378" s="24"/>
      <c r="N378" s="24"/>
      <c r="O378" s="24"/>
      <c r="P378" s="33" t="str">
        <f aca="false">IF(AND(G378&lt;&gt;"",I378&lt;&gt;"",J378&lt;&gt;""),(J378-I378)*1440,"")</f>
        <v/>
      </c>
      <c r="Q378" s="33" t="str">
        <f aca="false">IF(AND(G378&lt;&gt;"",J378&lt;&gt;"",K378&lt;&gt;""),(K378-J378)*1440,"")</f>
        <v/>
      </c>
      <c r="R378" s="33" t="str">
        <f aca="false">IF(AND(G378&lt;&gt;"",K378&lt;&gt;"",L378&lt;&gt;""),(L378-K378)*1440,"")</f>
        <v/>
      </c>
      <c r="S378" s="33" t="str">
        <f aca="false">IF(AND(G378&lt;&gt;"",I378&lt;&gt;"",L378&lt;&gt;""),(L378-I378)*1440,"")</f>
        <v/>
      </c>
      <c r="T378" s="33" t="str">
        <f aca="false">IF(G378="","",IFERROR(INDEX(Settings!$B$5:$B$8,MATCH(G378,Settings!$A$5:$A$8,0)),""))</f>
        <v/>
      </c>
      <c r="U378" s="25" t="str">
        <f aca="false">IF(G378="","",IF(S378="","No",IF(S378&lt;=T378,"Yes","No")))</f>
        <v/>
      </c>
      <c r="V378" s="25" t="str">
        <f aca="false">IF(G378="","",IF(AND(J378="",K378="",L378=""),"Telemetry Blind Spot",IF(AND(K378="",L378=""),"Missed Alert",IF(L378="","Triage Delay",IF(S378&lt;=T378,"Detected - Within SLA",IF(AND(R378&lt;&gt;"",R378&gt;IFERROR(INDEX(Settings!$C$5:$C$8,MATCH(G378,Settings!$A$5:$A$8,0)),1E+099)),"Triage Delay","Detected - SLA Breach"))))))</f>
        <v/>
      </c>
      <c r="W378" s="25" t="str">
        <f aca="false">IF(G378="","",IF(L378&lt;&gt;"",1,0))</f>
        <v/>
      </c>
      <c r="X378" s="32"/>
      <c r="Y378" s="32"/>
      <c r="Z378" s="32"/>
      <c r="AA378" s="24"/>
      <c r="AB378" s="24"/>
      <c r="AC378" s="33" t="str">
        <f aca="false">IF(AND(G378&lt;&gt;"",L378&lt;&gt;"",X378&lt;&gt;""),(X378-L378)*1440,"")</f>
        <v/>
      </c>
      <c r="AD378" s="33" t="str">
        <f aca="false">IF(AND(G378&lt;&gt;"",X378&lt;&gt;"",Y378&lt;&gt;""),(Y378-X378)*1440,"")</f>
        <v/>
      </c>
      <c r="AE378" s="33" t="str">
        <f aca="false">IF(AND(G378&lt;&gt;"",Y378&lt;&gt;"",Z378&lt;&gt;""),(Z378-Y378)*1440,"")</f>
        <v/>
      </c>
      <c r="AF378" s="33" t="str">
        <f aca="false">IF(AND(G378&lt;&gt;"",L378&lt;&gt;"",Z378&lt;&gt;""),(Z378-L378)*1440,"")</f>
        <v/>
      </c>
      <c r="AG378" s="33" t="str">
        <f aca="false">IF(G378="","",IFERROR(INDEX(Settings!$D$5:$D$8,MATCH(G378,Settings!$A$5:$A$8,0)),""))</f>
        <v/>
      </c>
      <c r="AH378" s="25" t="str">
        <f aca="false">IF(G378="","",IF(AF378="","No",IF(AF378&lt;=AG378,"Yes","No")))</f>
        <v/>
      </c>
      <c r="AI378" s="25" t="str">
        <f aca="false">IF(G378="","",IF(L378="","N/A - Not Detected",IF(AND(X378="",Y378="",Z378=""),"No Containment Action",IF(Z378="",IF(Y378&lt;&gt;"","C2 Persisted","Host Isolation Gap"),IF(AF378&lt;=AG378,"Contained - Within SLA","Contained - SLA Breach")))))</f>
        <v/>
      </c>
      <c r="AJ378" s="25" t="str">
        <f aca="false">IF(G378="","",IF(Z378&lt;&gt;"",1,0))</f>
        <v/>
      </c>
      <c r="AK378" s="34"/>
      <c r="AL378" s="34"/>
      <c r="AM378" s="35"/>
      <c r="AN378" s="34"/>
      <c r="AO378" s="34"/>
      <c r="AP378" s="35"/>
      <c r="AQ378" s="34"/>
      <c r="AR378" s="34"/>
      <c r="AS378" s="34"/>
      <c r="AT378" s="35"/>
      <c r="AU378" s="35"/>
    </row>
    <row r="379" customFormat="false" ht="15" hidden="false" customHeight="false" outlineLevel="0" collapsed="false">
      <c r="A379" s="24"/>
      <c r="B379" s="24"/>
      <c r="C379" s="24"/>
      <c r="D379" s="24"/>
      <c r="E379" s="24"/>
      <c r="F379" s="24"/>
      <c r="G379" s="24"/>
      <c r="H379" s="24"/>
      <c r="I379" s="32"/>
      <c r="J379" s="32"/>
      <c r="K379" s="32"/>
      <c r="L379" s="32"/>
      <c r="M379" s="24"/>
      <c r="N379" s="24"/>
      <c r="O379" s="24"/>
      <c r="P379" s="33" t="str">
        <f aca="false">IF(AND(G379&lt;&gt;"",I379&lt;&gt;"",J379&lt;&gt;""),(J379-I379)*1440,"")</f>
        <v/>
      </c>
      <c r="Q379" s="33" t="str">
        <f aca="false">IF(AND(G379&lt;&gt;"",J379&lt;&gt;"",K379&lt;&gt;""),(K379-J379)*1440,"")</f>
        <v/>
      </c>
      <c r="R379" s="33" t="str">
        <f aca="false">IF(AND(G379&lt;&gt;"",K379&lt;&gt;"",L379&lt;&gt;""),(L379-K379)*1440,"")</f>
        <v/>
      </c>
      <c r="S379" s="33" t="str">
        <f aca="false">IF(AND(G379&lt;&gt;"",I379&lt;&gt;"",L379&lt;&gt;""),(L379-I379)*1440,"")</f>
        <v/>
      </c>
      <c r="T379" s="33" t="str">
        <f aca="false">IF(G379="","",IFERROR(INDEX(Settings!$B$5:$B$8,MATCH(G379,Settings!$A$5:$A$8,0)),""))</f>
        <v/>
      </c>
      <c r="U379" s="25" t="str">
        <f aca="false">IF(G379="","",IF(S379="","No",IF(S379&lt;=T379,"Yes","No")))</f>
        <v/>
      </c>
      <c r="V379" s="25" t="str">
        <f aca="false">IF(G379="","",IF(AND(J379="",K379="",L379=""),"Telemetry Blind Spot",IF(AND(K379="",L379=""),"Missed Alert",IF(L379="","Triage Delay",IF(S379&lt;=T379,"Detected - Within SLA",IF(AND(R379&lt;&gt;"",R379&gt;IFERROR(INDEX(Settings!$C$5:$C$8,MATCH(G379,Settings!$A$5:$A$8,0)),1E+099)),"Triage Delay","Detected - SLA Breach"))))))</f>
        <v/>
      </c>
      <c r="W379" s="25" t="str">
        <f aca="false">IF(G379="","",IF(L379&lt;&gt;"",1,0))</f>
        <v/>
      </c>
      <c r="X379" s="32"/>
      <c r="Y379" s="32"/>
      <c r="Z379" s="32"/>
      <c r="AA379" s="24"/>
      <c r="AB379" s="24"/>
      <c r="AC379" s="33" t="str">
        <f aca="false">IF(AND(G379&lt;&gt;"",L379&lt;&gt;"",X379&lt;&gt;""),(X379-L379)*1440,"")</f>
        <v/>
      </c>
      <c r="AD379" s="33" t="str">
        <f aca="false">IF(AND(G379&lt;&gt;"",X379&lt;&gt;"",Y379&lt;&gt;""),(Y379-X379)*1440,"")</f>
        <v/>
      </c>
      <c r="AE379" s="33" t="str">
        <f aca="false">IF(AND(G379&lt;&gt;"",Y379&lt;&gt;"",Z379&lt;&gt;""),(Z379-Y379)*1440,"")</f>
        <v/>
      </c>
      <c r="AF379" s="33" t="str">
        <f aca="false">IF(AND(G379&lt;&gt;"",L379&lt;&gt;"",Z379&lt;&gt;""),(Z379-L379)*1440,"")</f>
        <v/>
      </c>
      <c r="AG379" s="33" t="str">
        <f aca="false">IF(G379="","",IFERROR(INDEX(Settings!$D$5:$D$8,MATCH(G379,Settings!$A$5:$A$8,0)),""))</f>
        <v/>
      </c>
      <c r="AH379" s="25" t="str">
        <f aca="false">IF(G379="","",IF(AF379="","No",IF(AF379&lt;=AG379,"Yes","No")))</f>
        <v/>
      </c>
      <c r="AI379" s="25" t="str">
        <f aca="false">IF(G379="","",IF(L379="","N/A - Not Detected",IF(AND(X379="",Y379="",Z379=""),"No Containment Action",IF(Z379="",IF(Y379&lt;&gt;"","C2 Persisted","Host Isolation Gap"),IF(AF379&lt;=AG379,"Contained - Within SLA","Contained - SLA Breach")))))</f>
        <v/>
      </c>
      <c r="AJ379" s="25" t="str">
        <f aca="false">IF(G379="","",IF(Z379&lt;&gt;"",1,0))</f>
        <v/>
      </c>
      <c r="AK379" s="34"/>
      <c r="AL379" s="34"/>
      <c r="AM379" s="35"/>
      <c r="AN379" s="34"/>
      <c r="AO379" s="34"/>
      <c r="AP379" s="35"/>
      <c r="AQ379" s="34"/>
      <c r="AR379" s="34"/>
      <c r="AS379" s="34"/>
      <c r="AT379" s="35"/>
      <c r="AU379" s="35"/>
    </row>
    <row r="380" customFormat="false" ht="15" hidden="false" customHeight="false" outlineLevel="0" collapsed="false">
      <c r="A380" s="24"/>
      <c r="B380" s="24"/>
      <c r="C380" s="24"/>
      <c r="D380" s="24"/>
      <c r="E380" s="24"/>
      <c r="F380" s="24"/>
      <c r="G380" s="24"/>
      <c r="H380" s="24"/>
      <c r="I380" s="32"/>
      <c r="J380" s="32"/>
      <c r="K380" s="32"/>
      <c r="L380" s="32"/>
      <c r="M380" s="24"/>
      <c r="N380" s="24"/>
      <c r="O380" s="24"/>
      <c r="P380" s="33" t="str">
        <f aca="false">IF(AND(G380&lt;&gt;"",I380&lt;&gt;"",J380&lt;&gt;""),(J380-I380)*1440,"")</f>
        <v/>
      </c>
      <c r="Q380" s="33" t="str">
        <f aca="false">IF(AND(G380&lt;&gt;"",J380&lt;&gt;"",K380&lt;&gt;""),(K380-J380)*1440,"")</f>
        <v/>
      </c>
      <c r="R380" s="33" t="str">
        <f aca="false">IF(AND(G380&lt;&gt;"",K380&lt;&gt;"",L380&lt;&gt;""),(L380-K380)*1440,"")</f>
        <v/>
      </c>
      <c r="S380" s="33" t="str">
        <f aca="false">IF(AND(G380&lt;&gt;"",I380&lt;&gt;"",L380&lt;&gt;""),(L380-I380)*1440,"")</f>
        <v/>
      </c>
      <c r="T380" s="33" t="str">
        <f aca="false">IF(G380="","",IFERROR(INDEX(Settings!$B$5:$B$8,MATCH(G380,Settings!$A$5:$A$8,0)),""))</f>
        <v/>
      </c>
      <c r="U380" s="25" t="str">
        <f aca="false">IF(G380="","",IF(S380="","No",IF(S380&lt;=T380,"Yes","No")))</f>
        <v/>
      </c>
      <c r="V380" s="25" t="str">
        <f aca="false">IF(G380="","",IF(AND(J380="",K380="",L380=""),"Telemetry Blind Spot",IF(AND(K380="",L380=""),"Missed Alert",IF(L380="","Triage Delay",IF(S380&lt;=T380,"Detected - Within SLA",IF(AND(R380&lt;&gt;"",R380&gt;IFERROR(INDEX(Settings!$C$5:$C$8,MATCH(G380,Settings!$A$5:$A$8,0)),1E+099)),"Triage Delay","Detected - SLA Breach"))))))</f>
        <v/>
      </c>
      <c r="W380" s="25" t="str">
        <f aca="false">IF(G380="","",IF(L380&lt;&gt;"",1,0))</f>
        <v/>
      </c>
      <c r="X380" s="32"/>
      <c r="Y380" s="32"/>
      <c r="Z380" s="32"/>
      <c r="AA380" s="24"/>
      <c r="AB380" s="24"/>
      <c r="AC380" s="33" t="str">
        <f aca="false">IF(AND(G380&lt;&gt;"",L380&lt;&gt;"",X380&lt;&gt;""),(X380-L380)*1440,"")</f>
        <v/>
      </c>
      <c r="AD380" s="33" t="str">
        <f aca="false">IF(AND(G380&lt;&gt;"",X380&lt;&gt;"",Y380&lt;&gt;""),(Y380-X380)*1440,"")</f>
        <v/>
      </c>
      <c r="AE380" s="33" t="str">
        <f aca="false">IF(AND(G380&lt;&gt;"",Y380&lt;&gt;"",Z380&lt;&gt;""),(Z380-Y380)*1440,"")</f>
        <v/>
      </c>
      <c r="AF380" s="33" t="str">
        <f aca="false">IF(AND(G380&lt;&gt;"",L380&lt;&gt;"",Z380&lt;&gt;""),(Z380-L380)*1440,"")</f>
        <v/>
      </c>
      <c r="AG380" s="33" t="str">
        <f aca="false">IF(G380="","",IFERROR(INDEX(Settings!$D$5:$D$8,MATCH(G380,Settings!$A$5:$A$8,0)),""))</f>
        <v/>
      </c>
      <c r="AH380" s="25" t="str">
        <f aca="false">IF(G380="","",IF(AF380="","No",IF(AF380&lt;=AG380,"Yes","No")))</f>
        <v/>
      </c>
      <c r="AI380" s="25" t="str">
        <f aca="false">IF(G380="","",IF(L380="","N/A - Not Detected",IF(AND(X380="",Y380="",Z380=""),"No Containment Action",IF(Z380="",IF(Y380&lt;&gt;"","C2 Persisted","Host Isolation Gap"),IF(AF380&lt;=AG380,"Contained - Within SLA","Contained - SLA Breach")))))</f>
        <v/>
      </c>
      <c r="AJ380" s="25" t="str">
        <f aca="false">IF(G380="","",IF(Z380&lt;&gt;"",1,0))</f>
        <v/>
      </c>
      <c r="AK380" s="34"/>
      <c r="AL380" s="34"/>
      <c r="AM380" s="35"/>
      <c r="AN380" s="34"/>
      <c r="AO380" s="34"/>
      <c r="AP380" s="35"/>
      <c r="AQ380" s="34"/>
      <c r="AR380" s="34"/>
      <c r="AS380" s="34"/>
      <c r="AT380" s="35"/>
      <c r="AU380" s="35"/>
    </row>
    <row r="381" customFormat="false" ht="15" hidden="false" customHeight="false" outlineLevel="0" collapsed="false">
      <c r="A381" s="24"/>
      <c r="B381" s="24"/>
      <c r="C381" s="24"/>
      <c r="D381" s="24"/>
      <c r="E381" s="24"/>
      <c r="F381" s="24"/>
      <c r="G381" s="24"/>
      <c r="H381" s="24"/>
      <c r="I381" s="32"/>
      <c r="J381" s="32"/>
      <c r="K381" s="32"/>
      <c r="L381" s="32"/>
      <c r="M381" s="24"/>
      <c r="N381" s="24"/>
      <c r="O381" s="24"/>
      <c r="P381" s="33" t="str">
        <f aca="false">IF(AND(G381&lt;&gt;"",I381&lt;&gt;"",J381&lt;&gt;""),(J381-I381)*1440,"")</f>
        <v/>
      </c>
      <c r="Q381" s="33" t="str">
        <f aca="false">IF(AND(G381&lt;&gt;"",J381&lt;&gt;"",K381&lt;&gt;""),(K381-J381)*1440,"")</f>
        <v/>
      </c>
      <c r="R381" s="33" t="str">
        <f aca="false">IF(AND(G381&lt;&gt;"",K381&lt;&gt;"",L381&lt;&gt;""),(L381-K381)*1440,"")</f>
        <v/>
      </c>
      <c r="S381" s="33" t="str">
        <f aca="false">IF(AND(G381&lt;&gt;"",I381&lt;&gt;"",L381&lt;&gt;""),(L381-I381)*1440,"")</f>
        <v/>
      </c>
      <c r="T381" s="33" t="str">
        <f aca="false">IF(G381="","",IFERROR(INDEX(Settings!$B$5:$B$8,MATCH(G381,Settings!$A$5:$A$8,0)),""))</f>
        <v/>
      </c>
      <c r="U381" s="25" t="str">
        <f aca="false">IF(G381="","",IF(S381="","No",IF(S381&lt;=T381,"Yes","No")))</f>
        <v/>
      </c>
      <c r="V381" s="25" t="str">
        <f aca="false">IF(G381="","",IF(AND(J381="",K381="",L381=""),"Telemetry Blind Spot",IF(AND(K381="",L381=""),"Missed Alert",IF(L381="","Triage Delay",IF(S381&lt;=T381,"Detected - Within SLA",IF(AND(R381&lt;&gt;"",R381&gt;IFERROR(INDEX(Settings!$C$5:$C$8,MATCH(G381,Settings!$A$5:$A$8,0)),1E+099)),"Triage Delay","Detected - SLA Breach"))))))</f>
        <v/>
      </c>
      <c r="W381" s="25" t="str">
        <f aca="false">IF(G381="","",IF(L381&lt;&gt;"",1,0))</f>
        <v/>
      </c>
      <c r="X381" s="32"/>
      <c r="Y381" s="32"/>
      <c r="Z381" s="32"/>
      <c r="AA381" s="24"/>
      <c r="AB381" s="24"/>
      <c r="AC381" s="33" t="str">
        <f aca="false">IF(AND(G381&lt;&gt;"",L381&lt;&gt;"",X381&lt;&gt;""),(X381-L381)*1440,"")</f>
        <v/>
      </c>
      <c r="AD381" s="33" t="str">
        <f aca="false">IF(AND(G381&lt;&gt;"",X381&lt;&gt;"",Y381&lt;&gt;""),(Y381-X381)*1440,"")</f>
        <v/>
      </c>
      <c r="AE381" s="33" t="str">
        <f aca="false">IF(AND(G381&lt;&gt;"",Y381&lt;&gt;"",Z381&lt;&gt;""),(Z381-Y381)*1440,"")</f>
        <v/>
      </c>
      <c r="AF381" s="33" t="str">
        <f aca="false">IF(AND(G381&lt;&gt;"",L381&lt;&gt;"",Z381&lt;&gt;""),(Z381-L381)*1440,"")</f>
        <v/>
      </c>
      <c r="AG381" s="33" t="str">
        <f aca="false">IF(G381="","",IFERROR(INDEX(Settings!$D$5:$D$8,MATCH(G381,Settings!$A$5:$A$8,0)),""))</f>
        <v/>
      </c>
      <c r="AH381" s="25" t="str">
        <f aca="false">IF(G381="","",IF(AF381="","No",IF(AF381&lt;=AG381,"Yes","No")))</f>
        <v/>
      </c>
      <c r="AI381" s="25" t="str">
        <f aca="false">IF(G381="","",IF(L381="","N/A - Not Detected",IF(AND(X381="",Y381="",Z381=""),"No Containment Action",IF(Z381="",IF(Y381&lt;&gt;"","C2 Persisted","Host Isolation Gap"),IF(AF381&lt;=AG381,"Contained - Within SLA","Contained - SLA Breach")))))</f>
        <v/>
      </c>
      <c r="AJ381" s="25" t="str">
        <f aca="false">IF(G381="","",IF(Z381&lt;&gt;"",1,0))</f>
        <v/>
      </c>
      <c r="AK381" s="34"/>
      <c r="AL381" s="34"/>
      <c r="AM381" s="35"/>
      <c r="AN381" s="34"/>
      <c r="AO381" s="34"/>
      <c r="AP381" s="35"/>
      <c r="AQ381" s="34"/>
      <c r="AR381" s="34"/>
      <c r="AS381" s="34"/>
      <c r="AT381" s="35"/>
      <c r="AU381" s="35"/>
    </row>
    <row r="382" customFormat="false" ht="15" hidden="false" customHeight="false" outlineLevel="0" collapsed="false">
      <c r="A382" s="24"/>
      <c r="B382" s="24"/>
      <c r="C382" s="24"/>
      <c r="D382" s="24"/>
      <c r="E382" s="24"/>
      <c r="F382" s="24"/>
      <c r="G382" s="24"/>
      <c r="H382" s="24"/>
      <c r="I382" s="32"/>
      <c r="J382" s="32"/>
      <c r="K382" s="32"/>
      <c r="L382" s="32"/>
      <c r="M382" s="24"/>
      <c r="N382" s="24"/>
      <c r="O382" s="24"/>
      <c r="P382" s="33" t="str">
        <f aca="false">IF(AND(G382&lt;&gt;"",I382&lt;&gt;"",J382&lt;&gt;""),(J382-I382)*1440,"")</f>
        <v/>
      </c>
      <c r="Q382" s="33" t="str">
        <f aca="false">IF(AND(G382&lt;&gt;"",J382&lt;&gt;"",K382&lt;&gt;""),(K382-J382)*1440,"")</f>
        <v/>
      </c>
      <c r="R382" s="33" t="str">
        <f aca="false">IF(AND(G382&lt;&gt;"",K382&lt;&gt;"",L382&lt;&gt;""),(L382-K382)*1440,"")</f>
        <v/>
      </c>
      <c r="S382" s="33" t="str">
        <f aca="false">IF(AND(G382&lt;&gt;"",I382&lt;&gt;"",L382&lt;&gt;""),(L382-I382)*1440,"")</f>
        <v/>
      </c>
      <c r="T382" s="33" t="str">
        <f aca="false">IF(G382="","",IFERROR(INDEX(Settings!$B$5:$B$8,MATCH(G382,Settings!$A$5:$A$8,0)),""))</f>
        <v/>
      </c>
      <c r="U382" s="25" t="str">
        <f aca="false">IF(G382="","",IF(S382="","No",IF(S382&lt;=T382,"Yes","No")))</f>
        <v/>
      </c>
      <c r="V382" s="25" t="str">
        <f aca="false">IF(G382="","",IF(AND(J382="",K382="",L382=""),"Telemetry Blind Spot",IF(AND(K382="",L382=""),"Missed Alert",IF(L382="","Triage Delay",IF(S382&lt;=T382,"Detected - Within SLA",IF(AND(R382&lt;&gt;"",R382&gt;IFERROR(INDEX(Settings!$C$5:$C$8,MATCH(G382,Settings!$A$5:$A$8,0)),1E+099)),"Triage Delay","Detected - SLA Breach"))))))</f>
        <v/>
      </c>
      <c r="W382" s="25" t="str">
        <f aca="false">IF(G382="","",IF(L382&lt;&gt;"",1,0))</f>
        <v/>
      </c>
      <c r="X382" s="32"/>
      <c r="Y382" s="32"/>
      <c r="Z382" s="32"/>
      <c r="AA382" s="24"/>
      <c r="AB382" s="24"/>
      <c r="AC382" s="33" t="str">
        <f aca="false">IF(AND(G382&lt;&gt;"",L382&lt;&gt;"",X382&lt;&gt;""),(X382-L382)*1440,"")</f>
        <v/>
      </c>
      <c r="AD382" s="33" t="str">
        <f aca="false">IF(AND(G382&lt;&gt;"",X382&lt;&gt;"",Y382&lt;&gt;""),(Y382-X382)*1440,"")</f>
        <v/>
      </c>
      <c r="AE382" s="33" t="str">
        <f aca="false">IF(AND(G382&lt;&gt;"",Y382&lt;&gt;"",Z382&lt;&gt;""),(Z382-Y382)*1440,"")</f>
        <v/>
      </c>
      <c r="AF382" s="33" t="str">
        <f aca="false">IF(AND(G382&lt;&gt;"",L382&lt;&gt;"",Z382&lt;&gt;""),(Z382-L382)*1440,"")</f>
        <v/>
      </c>
      <c r="AG382" s="33" t="str">
        <f aca="false">IF(G382="","",IFERROR(INDEX(Settings!$D$5:$D$8,MATCH(G382,Settings!$A$5:$A$8,0)),""))</f>
        <v/>
      </c>
      <c r="AH382" s="25" t="str">
        <f aca="false">IF(G382="","",IF(AF382="","No",IF(AF382&lt;=AG382,"Yes","No")))</f>
        <v/>
      </c>
      <c r="AI382" s="25" t="str">
        <f aca="false">IF(G382="","",IF(L382="","N/A - Not Detected",IF(AND(X382="",Y382="",Z382=""),"No Containment Action",IF(Z382="",IF(Y382&lt;&gt;"","C2 Persisted","Host Isolation Gap"),IF(AF382&lt;=AG382,"Contained - Within SLA","Contained - SLA Breach")))))</f>
        <v/>
      </c>
      <c r="AJ382" s="25" t="str">
        <f aca="false">IF(G382="","",IF(Z382&lt;&gt;"",1,0))</f>
        <v/>
      </c>
      <c r="AK382" s="34"/>
      <c r="AL382" s="34"/>
      <c r="AM382" s="35"/>
      <c r="AN382" s="34"/>
      <c r="AO382" s="34"/>
      <c r="AP382" s="35"/>
      <c r="AQ382" s="34"/>
      <c r="AR382" s="34"/>
      <c r="AS382" s="34"/>
      <c r="AT382" s="35"/>
      <c r="AU382" s="35"/>
    </row>
    <row r="383" customFormat="false" ht="15" hidden="false" customHeight="false" outlineLevel="0" collapsed="false">
      <c r="A383" s="24"/>
      <c r="B383" s="24"/>
      <c r="C383" s="24"/>
      <c r="D383" s="24"/>
      <c r="E383" s="24"/>
      <c r="F383" s="24"/>
      <c r="G383" s="24"/>
      <c r="H383" s="24"/>
      <c r="I383" s="32"/>
      <c r="J383" s="32"/>
      <c r="K383" s="32"/>
      <c r="L383" s="32"/>
      <c r="M383" s="24"/>
      <c r="N383" s="24"/>
      <c r="O383" s="24"/>
      <c r="P383" s="33" t="str">
        <f aca="false">IF(AND(G383&lt;&gt;"",I383&lt;&gt;"",J383&lt;&gt;""),(J383-I383)*1440,"")</f>
        <v/>
      </c>
      <c r="Q383" s="33" t="str">
        <f aca="false">IF(AND(G383&lt;&gt;"",J383&lt;&gt;"",K383&lt;&gt;""),(K383-J383)*1440,"")</f>
        <v/>
      </c>
      <c r="R383" s="33" t="str">
        <f aca="false">IF(AND(G383&lt;&gt;"",K383&lt;&gt;"",L383&lt;&gt;""),(L383-K383)*1440,"")</f>
        <v/>
      </c>
      <c r="S383" s="33" t="str">
        <f aca="false">IF(AND(G383&lt;&gt;"",I383&lt;&gt;"",L383&lt;&gt;""),(L383-I383)*1440,"")</f>
        <v/>
      </c>
      <c r="T383" s="33" t="str">
        <f aca="false">IF(G383="","",IFERROR(INDEX(Settings!$B$5:$B$8,MATCH(G383,Settings!$A$5:$A$8,0)),""))</f>
        <v/>
      </c>
      <c r="U383" s="25" t="str">
        <f aca="false">IF(G383="","",IF(S383="","No",IF(S383&lt;=T383,"Yes","No")))</f>
        <v/>
      </c>
      <c r="V383" s="25" t="str">
        <f aca="false">IF(G383="","",IF(AND(J383="",K383="",L383=""),"Telemetry Blind Spot",IF(AND(K383="",L383=""),"Missed Alert",IF(L383="","Triage Delay",IF(S383&lt;=T383,"Detected - Within SLA",IF(AND(R383&lt;&gt;"",R383&gt;IFERROR(INDEX(Settings!$C$5:$C$8,MATCH(G383,Settings!$A$5:$A$8,0)),1E+099)),"Triage Delay","Detected - SLA Breach"))))))</f>
        <v/>
      </c>
      <c r="W383" s="25" t="str">
        <f aca="false">IF(G383="","",IF(L383&lt;&gt;"",1,0))</f>
        <v/>
      </c>
      <c r="X383" s="32"/>
      <c r="Y383" s="32"/>
      <c r="Z383" s="32"/>
      <c r="AA383" s="24"/>
      <c r="AB383" s="24"/>
      <c r="AC383" s="33" t="str">
        <f aca="false">IF(AND(G383&lt;&gt;"",L383&lt;&gt;"",X383&lt;&gt;""),(X383-L383)*1440,"")</f>
        <v/>
      </c>
      <c r="AD383" s="33" t="str">
        <f aca="false">IF(AND(G383&lt;&gt;"",X383&lt;&gt;"",Y383&lt;&gt;""),(Y383-X383)*1440,"")</f>
        <v/>
      </c>
      <c r="AE383" s="33" t="str">
        <f aca="false">IF(AND(G383&lt;&gt;"",Y383&lt;&gt;"",Z383&lt;&gt;""),(Z383-Y383)*1440,"")</f>
        <v/>
      </c>
      <c r="AF383" s="33" t="str">
        <f aca="false">IF(AND(G383&lt;&gt;"",L383&lt;&gt;"",Z383&lt;&gt;""),(Z383-L383)*1440,"")</f>
        <v/>
      </c>
      <c r="AG383" s="33" t="str">
        <f aca="false">IF(G383="","",IFERROR(INDEX(Settings!$D$5:$D$8,MATCH(G383,Settings!$A$5:$A$8,0)),""))</f>
        <v/>
      </c>
      <c r="AH383" s="25" t="str">
        <f aca="false">IF(G383="","",IF(AF383="","No",IF(AF383&lt;=AG383,"Yes","No")))</f>
        <v/>
      </c>
      <c r="AI383" s="25" t="str">
        <f aca="false">IF(G383="","",IF(L383="","N/A - Not Detected",IF(AND(X383="",Y383="",Z383=""),"No Containment Action",IF(Z383="",IF(Y383&lt;&gt;"","C2 Persisted","Host Isolation Gap"),IF(AF383&lt;=AG383,"Contained - Within SLA","Contained - SLA Breach")))))</f>
        <v/>
      </c>
      <c r="AJ383" s="25" t="str">
        <f aca="false">IF(G383="","",IF(Z383&lt;&gt;"",1,0))</f>
        <v/>
      </c>
      <c r="AK383" s="34"/>
      <c r="AL383" s="34"/>
      <c r="AM383" s="35"/>
      <c r="AN383" s="34"/>
      <c r="AO383" s="34"/>
      <c r="AP383" s="35"/>
      <c r="AQ383" s="34"/>
      <c r="AR383" s="34"/>
      <c r="AS383" s="34"/>
      <c r="AT383" s="35"/>
      <c r="AU383" s="35"/>
    </row>
    <row r="384" customFormat="false" ht="15" hidden="false" customHeight="false" outlineLevel="0" collapsed="false">
      <c r="A384" s="24"/>
      <c r="B384" s="24"/>
      <c r="C384" s="24"/>
      <c r="D384" s="24"/>
      <c r="E384" s="24"/>
      <c r="F384" s="24"/>
      <c r="G384" s="24"/>
      <c r="H384" s="24"/>
      <c r="I384" s="32"/>
      <c r="J384" s="32"/>
      <c r="K384" s="32"/>
      <c r="L384" s="32"/>
      <c r="M384" s="24"/>
      <c r="N384" s="24"/>
      <c r="O384" s="24"/>
      <c r="P384" s="33" t="str">
        <f aca="false">IF(AND(G384&lt;&gt;"",I384&lt;&gt;"",J384&lt;&gt;""),(J384-I384)*1440,"")</f>
        <v/>
      </c>
      <c r="Q384" s="33" t="str">
        <f aca="false">IF(AND(G384&lt;&gt;"",J384&lt;&gt;"",K384&lt;&gt;""),(K384-J384)*1440,"")</f>
        <v/>
      </c>
      <c r="R384" s="33" t="str">
        <f aca="false">IF(AND(G384&lt;&gt;"",K384&lt;&gt;"",L384&lt;&gt;""),(L384-K384)*1440,"")</f>
        <v/>
      </c>
      <c r="S384" s="33" t="str">
        <f aca="false">IF(AND(G384&lt;&gt;"",I384&lt;&gt;"",L384&lt;&gt;""),(L384-I384)*1440,"")</f>
        <v/>
      </c>
      <c r="T384" s="33" t="str">
        <f aca="false">IF(G384="","",IFERROR(INDEX(Settings!$B$5:$B$8,MATCH(G384,Settings!$A$5:$A$8,0)),""))</f>
        <v/>
      </c>
      <c r="U384" s="25" t="str">
        <f aca="false">IF(G384="","",IF(S384="","No",IF(S384&lt;=T384,"Yes","No")))</f>
        <v/>
      </c>
      <c r="V384" s="25" t="str">
        <f aca="false">IF(G384="","",IF(AND(J384="",K384="",L384=""),"Telemetry Blind Spot",IF(AND(K384="",L384=""),"Missed Alert",IF(L384="","Triage Delay",IF(S384&lt;=T384,"Detected - Within SLA",IF(AND(R384&lt;&gt;"",R384&gt;IFERROR(INDEX(Settings!$C$5:$C$8,MATCH(G384,Settings!$A$5:$A$8,0)),1E+099)),"Triage Delay","Detected - SLA Breach"))))))</f>
        <v/>
      </c>
      <c r="W384" s="25" t="str">
        <f aca="false">IF(G384="","",IF(L384&lt;&gt;"",1,0))</f>
        <v/>
      </c>
      <c r="X384" s="32"/>
      <c r="Y384" s="32"/>
      <c r="Z384" s="32"/>
      <c r="AA384" s="24"/>
      <c r="AB384" s="24"/>
      <c r="AC384" s="33" t="str">
        <f aca="false">IF(AND(G384&lt;&gt;"",L384&lt;&gt;"",X384&lt;&gt;""),(X384-L384)*1440,"")</f>
        <v/>
      </c>
      <c r="AD384" s="33" t="str">
        <f aca="false">IF(AND(G384&lt;&gt;"",X384&lt;&gt;"",Y384&lt;&gt;""),(Y384-X384)*1440,"")</f>
        <v/>
      </c>
      <c r="AE384" s="33" t="str">
        <f aca="false">IF(AND(G384&lt;&gt;"",Y384&lt;&gt;"",Z384&lt;&gt;""),(Z384-Y384)*1440,"")</f>
        <v/>
      </c>
      <c r="AF384" s="33" t="str">
        <f aca="false">IF(AND(G384&lt;&gt;"",L384&lt;&gt;"",Z384&lt;&gt;""),(Z384-L384)*1440,"")</f>
        <v/>
      </c>
      <c r="AG384" s="33" t="str">
        <f aca="false">IF(G384="","",IFERROR(INDEX(Settings!$D$5:$D$8,MATCH(G384,Settings!$A$5:$A$8,0)),""))</f>
        <v/>
      </c>
      <c r="AH384" s="25" t="str">
        <f aca="false">IF(G384="","",IF(AF384="","No",IF(AF384&lt;=AG384,"Yes","No")))</f>
        <v/>
      </c>
      <c r="AI384" s="25" t="str">
        <f aca="false">IF(G384="","",IF(L384="","N/A - Not Detected",IF(AND(X384="",Y384="",Z384=""),"No Containment Action",IF(Z384="",IF(Y384&lt;&gt;"","C2 Persisted","Host Isolation Gap"),IF(AF384&lt;=AG384,"Contained - Within SLA","Contained - SLA Breach")))))</f>
        <v/>
      </c>
      <c r="AJ384" s="25" t="str">
        <f aca="false">IF(G384="","",IF(Z384&lt;&gt;"",1,0))</f>
        <v/>
      </c>
      <c r="AK384" s="34"/>
      <c r="AL384" s="34"/>
      <c r="AM384" s="35"/>
      <c r="AN384" s="34"/>
      <c r="AO384" s="34"/>
      <c r="AP384" s="35"/>
      <c r="AQ384" s="34"/>
      <c r="AR384" s="34"/>
      <c r="AS384" s="34"/>
      <c r="AT384" s="35"/>
      <c r="AU384" s="35"/>
    </row>
    <row r="385" customFormat="false" ht="15" hidden="false" customHeight="false" outlineLevel="0" collapsed="false">
      <c r="A385" s="24"/>
      <c r="B385" s="24"/>
      <c r="C385" s="24"/>
      <c r="D385" s="24"/>
      <c r="E385" s="24"/>
      <c r="F385" s="24"/>
      <c r="G385" s="24"/>
      <c r="H385" s="24"/>
      <c r="I385" s="32"/>
      <c r="J385" s="32"/>
      <c r="K385" s="32"/>
      <c r="L385" s="32"/>
      <c r="M385" s="24"/>
      <c r="N385" s="24"/>
      <c r="O385" s="24"/>
      <c r="P385" s="33" t="str">
        <f aca="false">IF(AND(G385&lt;&gt;"",I385&lt;&gt;"",J385&lt;&gt;""),(J385-I385)*1440,"")</f>
        <v/>
      </c>
      <c r="Q385" s="33" t="str">
        <f aca="false">IF(AND(G385&lt;&gt;"",J385&lt;&gt;"",K385&lt;&gt;""),(K385-J385)*1440,"")</f>
        <v/>
      </c>
      <c r="R385" s="33" t="str">
        <f aca="false">IF(AND(G385&lt;&gt;"",K385&lt;&gt;"",L385&lt;&gt;""),(L385-K385)*1440,"")</f>
        <v/>
      </c>
      <c r="S385" s="33" t="str">
        <f aca="false">IF(AND(G385&lt;&gt;"",I385&lt;&gt;"",L385&lt;&gt;""),(L385-I385)*1440,"")</f>
        <v/>
      </c>
      <c r="T385" s="33" t="str">
        <f aca="false">IF(G385="","",IFERROR(INDEX(Settings!$B$5:$B$8,MATCH(G385,Settings!$A$5:$A$8,0)),""))</f>
        <v/>
      </c>
      <c r="U385" s="25" t="str">
        <f aca="false">IF(G385="","",IF(S385="","No",IF(S385&lt;=T385,"Yes","No")))</f>
        <v/>
      </c>
      <c r="V385" s="25" t="str">
        <f aca="false">IF(G385="","",IF(AND(J385="",K385="",L385=""),"Telemetry Blind Spot",IF(AND(K385="",L385=""),"Missed Alert",IF(L385="","Triage Delay",IF(S385&lt;=T385,"Detected - Within SLA",IF(AND(R385&lt;&gt;"",R385&gt;IFERROR(INDEX(Settings!$C$5:$C$8,MATCH(G385,Settings!$A$5:$A$8,0)),1E+099)),"Triage Delay","Detected - SLA Breach"))))))</f>
        <v/>
      </c>
      <c r="W385" s="25" t="str">
        <f aca="false">IF(G385="","",IF(L385&lt;&gt;"",1,0))</f>
        <v/>
      </c>
      <c r="X385" s="32"/>
      <c r="Y385" s="32"/>
      <c r="Z385" s="32"/>
      <c r="AA385" s="24"/>
      <c r="AB385" s="24"/>
      <c r="AC385" s="33" t="str">
        <f aca="false">IF(AND(G385&lt;&gt;"",L385&lt;&gt;"",X385&lt;&gt;""),(X385-L385)*1440,"")</f>
        <v/>
      </c>
      <c r="AD385" s="33" t="str">
        <f aca="false">IF(AND(G385&lt;&gt;"",X385&lt;&gt;"",Y385&lt;&gt;""),(Y385-X385)*1440,"")</f>
        <v/>
      </c>
      <c r="AE385" s="33" t="str">
        <f aca="false">IF(AND(G385&lt;&gt;"",Y385&lt;&gt;"",Z385&lt;&gt;""),(Z385-Y385)*1440,"")</f>
        <v/>
      </c>
      <c r="AF385" s="33" t="str">
        <f aca="false">IF(AND(G385&lt;&gt;"",L385&lt;&gt;"",Z385&lt;&gt;""),(Z385-L385)*1440,"")</f>
        <v/>
      </c>
      <c r="AG385" s="33" t="str">
        <f aca="false">IF(G385="","",IFERROR(INDEX(Settings!$D$5:$D$8,MATCH(G385,Settings!$A$5:$A$8,0)),""))</f>
        <v/>
      </c>
      <c r="AH385" s="25" t="str">
        <f aca="false">IF(G385="","",IF(AF385="","No",IF(AF385&lt;=AG385,"Yes","No")))</f>
        <v/>
      </c>
      <c r="AI385" s="25" t="str">
        <f aca="false">IF(G385="","",IF(L385="","N/A - Not Detected",IF(AND(X385="",Y385="",Z385=""),"No Containment Action",IF(Z385="",IF(Y385&lt;&gt;"","C2 Persisted","Host Isolation Gap"),IF(AF385&lt;=AG385,"Contained - Within SLA","Contained - SLA Breach")))))</f>
        <v/>
      </c>
      <c r="AJ385" s="25" t="str">
        <f aca="false">IF(G385="","",IF(Z385&lt;&gt;"",1,0))</f>
        <v/>
      </c>
      <c r="AK385" s="34"/>
      <c r="AL385" s="34"/>
      <c r="AM385" s="35"/>
      <c r="AN385" s="34"/>
      <c r="AO385" s="34"/>
      <c r="AP385" s="35"/>
      <c r="AQ385" s="34"/>
      <c r="AR385" s="34"/>
      <c r="AS385" s="34"/>
      <c r="AT385" s="35"/>
      <c r="AU385" s="35"/>
    </row>
    <row r="386" customFormat="false" ht="15" hidden="false" customHeight="false" outlineLevel="0" collapsed="false">
      <c r="A386" s="24"/>
      <c r="B386" s="24"/>
      <c r="C386" s="24"/>
      <c r="D386" s="24"/>
      <c r="E386" s="24"/>
      <c r="F386" s="24"/>
      <c r="G386" s="24"/>
      <c r="H386" s="24"/>
      <c r="I386" s="32"/>
      <c r="J386" s="32"/>
      <c r="K386" s="32"/>
      <c r="L386" s="32"/>
      <c r="M386" s="24"/>
      <c r="N386" s="24"/>
      <c r="O386" s="24"/>
      <c r="P386" s="33" t="str">
        <f aca="false">IF(AND(G386&lt;&gt;"",I386&lt;&gt;"",J386&lt;&gt;""),(J386-I386)*1440,"")</f>
        <v/>
      </c>
      <c r="Q386" s="33" t="str">
        <f aca="false">IF(AND(G386&lt;&gt;"",J386&lt;&gt;"",K386&lt;&gt;""),(K386-J386)*1440,"")</f>
        <v/>
      </c>
      <c r="R386" s="33" t="str">
        <f aca="false">IF(AND(G386&lt;&gt;"",K386&lt;&gt;"",L386&lt;&gt;""),(L386-K386)*1440,"")</f>
        <v/>
      </c>
      <c r="S386" s="33" t="str">
        <f aca="false">IF(AND(G386&lt;&gt;"",I386&lt;&gt;"",L386&lt;&gt;""),(L386-I386)*1440,"")</f>
        <v/>
      </c>
      <c r="T386" s="33" t="str">
        <f aca="false">IF(G386="","",IFERROR(INDEX(Settings!$B$5:$B$8,MATCH(G386,Settings!$A$5:$A$8,0)),""))</f>
        <v/>
      </c>
      <c r="U386" s="25" t="str">
        <f aca="false">IF(G386="","",IF(S386="","No",IF(S386&lt;=T386,"Yes","No")))</f>
        <v/>
      </c>
      <c r="V386" s="25" t="str">
        <f aca="false">IF(G386="","",IF(AND(J386="",K386="",L386=""),"Telemetry Blind Spot",IF(AND(K386="",L386=""),"Missed Alert",IF(L386="","Triage Delay",IF(S386&lt;=T386,"Detected - Within SLA",IF(AND(R386&lt;&gt;"",R386&gt;IFERROR(INDEX(Settings!$C$5:$C$8,MATCH(G386,Settings!$A$5:$A$8,0)),1E+099)),"Triage Delay","Detected - SLA Breach"))))))</f>
        <v/>
      </c>
      <c r="W386" s="25" t="str">
        <f aca="false">IF(G386="","",IF(L386&lt;&gt;"",1,0))</f>
        <v/>
      </c>
      <c r="X386" s="32"/>
      <c r="Y386" s="32"/>
      <c r="Z386" s="32"/>
      <c r="AA386" s="24"/>
      <c r="AB386" s="24"/>
      <c r="AC386" s="33" t="str">
        <f aca="false">IF(AND(G386&lt;&gt;"",L386&lt;&gt;"",X386&lt;&gt;""),(X386-L386)*1440,"")</f>
        <v/>
      </c>
      <c r="AD386" s="33" t="str">
        <f aca="false">IF(AND(G386&lt;&gt;"",X386&lt;&gt;"",Y386&lt;&gt;""),(Y386-X386)*1440,"")</f>
        <v/>
      </c>
      <c r="AE386" s="33" t="str">
        <f aca="false">IF(AND(G386&lt;&gt;"",Y386&lt;&gt;"",Z386&lt;&gt;""),(Z386-Y386)*1440,"")</f>
        <v/>
      </c>
      <c r="AF386" s="33" t="str">
        <f aca="false">IF(AND(G386&lt;&gt;"",L386&lt;&gt;"",Z386&lt;&gt;""),(Z386-L386)*1440,"")</f>
        <v/>
      </c>
      <c r="AG386" s="33" t="str">
        <f aca="false">IF(G386="","",IFERROR(INDEX(Settings!$D$5:$D$8,MATCH(G386,Settings!$A$5:$A$8,0)),""))</f>
        <v/>
      </c>
      <c r="AH386" s="25" t="str">
        <f aca="false">IF(G386="","",IF(AF386="","No",IF(AF386&lt;=AG386,"Yes","No")))</f>
        <v/>
      </c>
      <c r="AI386" s="25" t="str">
        <f aca="false">IF(G386="","",IF(L386="","N/A - Not Detected",IF(AND(X386="",Y386="",Z386=""),"No Containment Action",IF(Z386="",IF(Y386&lt;&gt;"","C2 Persisted","Host Isolation Gap"),IF(AF386&lt;=AG386,"Contained - Within SLA","Contained - SLA Breach")))))</f>
        <v/>
      </c>
      <c r="AJ386" s="25" t="str">
        <f aca="false">IF(G386="","",IF(Z386&lt;&gt;"",1,0))</f>
        <v/>
      </c>
      <c r="AK386" s="34"/>
      <c r="AL386" s="34"/>
      <c r="AM386" s="35"/>
      <c r="AN386" s="34"/>
      <c r="AO386" s="34"/>
      <c r="AP386" s="35"/>
      <c r="AQ386" s="34"/>
      <c r="AR386" s="34"/>
      <c r="AS386" s="34"/>
      <c r="AT386" s="35"/>
      <c r="AU386" s="35"/>
    </row>
    <row r="387" customFormat="false" ht="15" hidden="false" customHeight="false" outlineLevel="0" collapsed="false">
      <c r="A387" s="24"/>
      <c r="B387" s="24"/>
      <c r="C387" s="24"/>
      <c r="D387" s="24"/>
      <c r="E387" s="24"/>
      <c r="F387" s="24"/>
      <c r="G387" s="24"/>
      <c r="H387" s="24"/>
      <c r="I387" s="32"/>
      <c r="J387" s="32"/>
      <c r="K387" s="32"/>
      <c r="L387" s="32"/>
      <c r="M387" s="24"/>
      <c r="N387" s="24"/>
      <c r="O387" s="24"/>
      <c r="P387" s="33" t="str">
        <f aca="false">IF(AND(G387&lt;&gt;"",I387&lt;&gt;"",J387&lt;&gt;""),(J387-I387)*1440,"")</f>
        <v/>
      </c>
      <c r="Q387" s="33" t="str">
        <f aca="false">IF(AND(G387&lt;&gt;"",J387&lt;&gt;"",K387&lt;&gt;""),(K387-J387)*1440,"")</f>
        <v/>
      </c>
      <c r="R387" s="33" t="str">
        <f aca="false">IF(AND(G387&lt;&gt;"",K387&lt;&gt;"",L387&lt;&gt;""),(L387-K387)*1440,"")</f>
        <v/>
      </c>
      <c r="S387" s="33" t="str">
        <f aca="false">IF(AND(G387&lt;&gt;"",I387&lt;&gt;"",L387&lt;&gt;""),(L387-I387)*1440,"")</f>
        <v/>
      </c>
      <c r="T387" s="33" t="str">
        <f aca="false">IF(G387="","",IFERROR(INDEX(Settings!$B$5:$B$8,MATCH(G387,Settings!$A$5:$A$8,0)),""))</f>
        <v/>
      </c>
      <c r="U387" s="25" t="str">
        <f aca="false">IF(G387="","",IF(S387="","No",IF(S387&lt;=T387,"Yes","No")))</f>
        <v/>
      </c>
      <c r="V387" s="25" t="str">
        <f aca="false">IF(G387="","",IF(AND(J387="",K387="",L387=""),"Telemetry Blind Spot",IF(AND(K387="",L387=""),"Missed Alert",IF(L387="","Triage Delay",IF(S387&lt;=T387,"Detected - Within SLA",IF(AND(R387&lt;&gt;"",R387&gt;IFERROR(INDEX(Settings!$C$5:$C$8,MATCH(G387,Settings!$A$5:$A$8,0)),1E+099)),"Triage Delay","Detected - SLA Breach"))))))</f>
        <v/>
      </c>
      <c r="W387" s="25" t="str">
        <f aca="false">IF(G387="","",IF(L387&lt;&gt;"",1,0))</f>
        <v/>
      </c>
      <c r="X387" s="32"/>
      <c r="Y387" s="32"/>
      <c r="Z387" s="32"/>
      <c r="AA387" s="24"/>
      <c r="AB387" s="24"/>
      <c r="AC387" s="33" t="str">
        <f aca="false">IF(AND(G387&lt;&gt;"",L387&lt;&gt;"",X387&lt;&gt;""),(X387-L387)*1440,"")</f>
        <v/>
      </c>
      <c r="AD387" s="33" t="str">
        <f aca="false">IF(AND(G387&lt;&gt;"",X387&lt;&gt;"",Y387&lt;&gt;""),(Y387-X387)*1440,"")</f>
        <v/>
      </c>
      <c r="AE387" s="33" t="str">
        <f aca="false">IF(AND(G387&lt;&gt;"",Y387&lt;&gt;"",Z387&lt;&gt;""),(Z387-Y387)*1440,"")</f>
        <v/>
      </c>
      <c r="AF387" s="33" t="str">
        <f aca="false">IF(AND(G387&lt;&gt;"",L387&lt;&gt;"",Z387&lt;&gt;""),(Z387-L387)*1440,"")</f>
        <v/>
      </c>
      <c r="AG387" s="33" t="str">
        <f aca="false">IF(G387="","",IFERROR(INDEX(Settings!$D$5:$D$8,MATCH(G387,Settings!$A$5:$A$8,0)),""))</f>
        <v/>
      </c>
      <c r="AH387" s="25" t="str">
        <f aca="false">IF(G387="","",IF(AF387="","No",IF(AF387&lt;=AG387,"Yes","No")))</f>
        <v/>
      </c>
      <c r="AI387" s="25" t="str">
        <f aca="false">IF(G387="","",IF(L387="","N/A - Not Detected",IF(AND(X387="",Y387="",Z387=""),"No Containment Action",IF(Z387="",IF(Y387&lt;&gt;"","C2 Persisted","Host Isolation Gap"),IF(AF387&lt;=AG387,"Contained - Within SLA","Contained - SLA Breach")))))</f>
        <v/>
      </c>
      <c r="AJ387" s="25" t="str">
        <f aca="false">IF(G387="","",IF(Z387&lt;&gt;"",1,0))</f>
        <v/>
      </c>
      <c r="AK387" s="34"/>
      <c r="AL387" s="34"/>
      <c r="AM387" s="35"/>
      <c r="AN387" s="34"/>
      <c r="AO387" s="34"/>
      <c r="AP387" s="35"/>
      <c r="AQ387" s="34"/>
      <c r="AR387" s="34"/>
      <c r="AS387" s="34"/>
      <c r="AT387" s="35"/>
      <c r="AU387" s="35"/>
    </row>
    <row r="388" customFormat="false" ht="15" hidden="false" customHeight="false" outlineLevel="0" collapsed="false">
      <c r="A388" s="24"/>
      <c r="B388" s="24"/>
      <c r="C388" s="24"/>
      <c r="D388" s="24"/>
      <c r="E388" s="24"/>
      <c r="F388" s="24"/>
      <c r="G388" s="24"/>
      <c r="H388" s="24"/>
      <c r="I388" s="32"/>
      <c r="J388" s="32"/>
      <c r="K388" s="32"/>
      <c r="L388" s="32"/>
      <c r="M388" s="24"/>
      <c r="N388" s="24"/>
      <c r="O388" s="24"/>
      <c r="P388" s="33" t="str">
        <f aca="false">IF(AND(G388&lt;&gt;"",I388&lt;&gt;"",J388&lt;&gt;""),(J388-I388)*1440,"")</f>
        <v/>
      </c>
      <c r="Q388" s="33" t="str">
        <f aca="false">IF(AND(G388&lt;&gt;"",J388&lt;&gt;"",K388&lt;&gt;""),(K388-J388)*1440,"")</f>
        <v/>
      </c>
      <c r="R388" s="33" t="str">
        <f aca="false">IF(AND(G388&lt;&gt;"",K388&lt;&gt;"",L388&lt;&gt;""),(L388-K388)*1440,"")</f>
        <v/>
      </c>
      <c r="S388" s="33" t="str">
        <f aca="false">IF(AND(G388&lt;&gt;"",I388&lt;&gt;"",L388&lt;&gt;""),(L388-I388)*1440,"")</f>
        <v/>
      </c>
      <c r="T388" s="33" t="str">
        <f aca="false">IF(G388="","",IFERROR(INDEX(Settings!$B$5:$B$8,MATCH(G388,Settings!$A$5:$A$8,0)),""))</f>
        <v/>
      </c>
      <c r="U388" s="25" t="str">
        <f aca="false">IF(G388="","",IF(S388="","No",IF(S388&lt;=T388,"Yes","No")))</f>
        <v/>
      </c>
      <c r="V388" s="25" t="str">
        <f aca="false">IF(G388="","",IF(AND(J388="",K388="",L388=""),"Telemetry Blind Spot",IF(AND(K388="",L388=""),"Missed Alert",IF(L388="","Triage Delay",IF(S388&lt;=T388,"Detected - Within SLA",IF(AND(R388&lt;&gt;"",R388&gt;IFERROR(INDEX(Settings!$C$5:$C$8,MATCH(G388,Settings!$A$5:$A$8,0)),1E+099)),"Triage Delay","Detected - SLA Breach"))))))</f>
        <v/>
      </c>
      <c r="W388" s="25" t="str">
        <f aca="false">IF(G388="","",IF(L388&lt;&gt;"",1,0))</f>
        <v/>
      </c>
      <c r="X388" s="32"/>
      <c r="Y388" s="32"/>
      <c r="Z388" s="32"/>
      <c r="AA388" s="24"/>
      <c r="AB388" s="24"/>
      <c r="AC388" s="33" t="str">
        <f aca="false">IF(AND(G388&lt;&gt;"",L388&lt;&gt;"",X388&lt;&gt;""),(X388-L388)*1440,"")</f>
        <v/>
      </c>
      <c r="AD388" s="33" t="str">
        <f aca="false">IF(AND(G388&lt;&gt;"",X388&lt;&gt;"",Y388&lt;&gt;""),(Y388-X388)*1440,"")</f>
        <v/>
      </c>
      <c r="AE388" s="33" t="str">
        <f aca="false">IF(AND(G388&lt;&gt;"",Y388&lt;&gt;"",Z388&lt;&gt;""),(Z388-Y388)*1440,"")</f>
        <v/>
      </c>
      <c r="AF388" s="33" t="str">
        <f aca="false">IF(AND(G388&lt;&gt;"",L388&lt;&gt;"",Z388&lt;&gt;""),(Z388-L388)*1440,"")</f>
        <v/>
      </c>
      <c r="AG388" s="33" t="str">
        <f aca="false">IF(G388="","",IFERROR(INDEX(Settings!$D$5:$D$8,MATCH(G388,Settings!$A$5:$A$8,0)),""))</f>
        <v/>
      </c>
      <c r="AH388" s="25" t="str">
        <f aca="false">IF(G388="","",IF(AF388="","No",IF(AF388&lt;=AG388,"Yes","No")))</f>
        <v/>
      </c>
      <c r="AI388" s="25" t="str">
        <f aca="false">IF(G388="","",IF(L388="","N/A - Not Detected",IF(AND(X388="",Y388="",Z388=""),"No Containment Action",IF(Z388="",IF(Y388&lt;&gt;"","C2 Persisted","Host Isolation Gap"),IF(AF388&lt;=AG388,"Contained - Within SLA","Contained - SLA Breach")))))</f>
        <v/>
      </c>
      <c r="AJ388" s="25" t="str">
        <f aca="false">IF(G388="","",IF(Z388&lt;&gt;"",1,0))</f>
        <v/>
      </c>
      <c r="AK388" s="34"/>
      <c r="AL388" s="34"/>
      <c r="AM388" s="35"/>
      <c r="AN388" s="34"/>
      <c r="AO388" s="34"/>
      <c r="AP388" s="35"/>
      <c r="AQ388" s="34"/>
      <c r="AR388" s="34"/>
      <c r="AS388" s="34"/>
      <c r="AT388" s="35"/>
      <c r="AU388" s="35"/>
    </row>
    <row r="389" customFormat="false" ht="15" hidden="false" customHeight="false" outlineLevel="0" collapsed="false">
      <c r="A389" s="24"/>
      <c r="B389" s="24"/>
      <c r="C389" s="24"/>
      <c r="D389" s="24"/>
      <c r="E389" s="24"/>
      <c r="F389" s="24"/>
      <c r="G389" s="24"/>
      <c r="H389" s="24"/>
      <c r="I389" s="32"/>
      <c r="J389" s="32"/>
      <c r="K389" s="32"/>
      <c r="L389" s="32"/>
      <c r="M389" s="24"/>
      <c r="N389" s="24"/>
      <c r="O389" s="24"/>
      <c r="P389" s="33" t="str">
        <f aca="false">IF(AND(G389&lt;&gt;"",I389&lt;&gt;"",J389&lt;&gt;""),(J389-I389)*1440,"")</f>
        <v/>
      </c>
      <c r="Q389" s="33" t="str">
        <f aca="false">IF(AND(G389&lt;&gt;"",J389&lt;&gt;"",K389&lt;&gt;""),(K389-J389)*1440,"")</f>
        <v/>
      </c>
      <c r="R389" s="33" t="str">
        <f aca="false">IF(AND(G389&lt;&gt;"",K389&lt;&gt;"",L389&lt;&gt;""),(L389-K389)*1440,"")</f>
        <v/>
      </c>
      <c r="S389" s="33" t="str">
        <f aca="false">IF(AND(G389&lt;&gt;"",I389&lt;&gt;"",L389&lt;&gt;""),(L389-I389)*1440,"")</f>
        <v/>
      </c>
      <c r="T389" s="33" t="str">
        <f aca="false">IF(G389="","",IFERROR(INDEX(Settings!$B$5:$B$8,MATCH(G389,Settings!$A$5:$A$8,0)),""))</f>
        <v/>
      </c>
      <c r="U389" s="25" t="str">
        <f aca="false">IF(G389="","",IF(S389="","No",IF(S389&lt;=T389,"Yes","No")))</f>
        <v/>
      </c>
      <c r="V389" s="25" t="str">
        <f aca="false">IF(G389="","",IF(AND(J389="",K389="",L389=""),"Telemetry Blind Spot",IF(AND(K389="",L389=""),"Missed Alert",IF(L389="","Triage Delay",IF(S389&lt;=T389,"Detected - Within SLA",IF(AND(R389&lt;&gt;"",R389&gt;IFERROR(INDEX(Settings!$C$5:$C$8,MATCH(G389,Settings!$A$5:$A$8,0)),1E+099)),"Triage Delay","Detected - SLA Breach"))))))</f>
        <v/>
      </c>
      <c r="W389" s="25" t="str">
        <f aca="false">IF(G389="","",IF(L389&lt;&gt;"",1,0))</f>
        <v/>
      </c>
      <c r="X389" s="32"/>
      <c r="Y389" s="32"/>
      <c r="Z389" s="32"/>
      <c r="AA389" s="24"/>
      <c r="AB389" s="24"/>
      <c r="AC389" s="33" t="str">
        <f aca="false">IF(AND(G389&lt;&gt;"",L389&lt;&gt;"",X389&lt;&gt;""),(X389-L389)*1440,"")</f>
        <v/>
      </c>
      <c r="AD389" s="33" t="str">
        <f aca="false">IF(AND(G389&lt;&gt;"",X389&lt;&gt;"",Y389&lt;&gt;""),(Y389-X389)*1440,"")</f>
        <v/>
      </c>
      <c r="AE389" s="33" t="str">
        <f aca="false">IF(AND(G389&lt;&gt;"",Y389&lt;&gt;"",Z389&lt;&gt;""),(Z389-Y389)*1440,"")</f>
        <v/>
      </c>
      <c r="AF389" s="33" t="str">
        <f aca="false">IF(AND(G389&lt;&gt;"",L389&lt;&gt;"",Z389&lt;&gt;""),(Z389-L389)*1440,"")</f>
        <v/>
      </c>
      <c r="AG389" s="33" t="str">
        <f aca="false">IF(G389="","",IFERROR(INDEX(Settings!$D$5:$D$8,MATCH(G389,Settings!$A$5:$A$8,0)),""))</f>
        <v/>
      </c>
      <c r="AH389" s="25" t="str">
        <f aca="false">IF(G389="","",IF(AF389="","No",IF(AF389&lt;=AG389,"Yes","No")))</f>
        <v/>
      </c>
      <c r="AI389" s="25" t="str">
        <f aca="false">IF(G389="","",IF(L389="","N/A - Not Detected",IF(AND(X389="",Y389="",Z389=""),"No Containment Action",IF(Z389="",IF(Y389&lt;&gt;"","C2 Persisted","Host Isolation Gap"),IF(AF389&lt;=AG389,"Contained - Within SLA","Contained - SLA Breach")))))</f>
        <v/>
      </c>
      <c r="AJ389" s="25" t="str">
        <f aca="false">IF(G389="","",IF(Z389&lt;&gt;"",1,0))</f>
        <v/>
      </c>
      <c r="AK389" s="34"/>
      <c r="AL389" s="34"/>
      <c r="AM389" s="35"/>
      <c r="AN389" s="34"/>
      <c r="AO389" s="34"/>
      <c r="AP389" s="35"/>
      <c r="AQ389" s="34"/>
      <c r="AR389" s="34"/>
      <c r="AS389" s="34"/>
      <c r="AT389" s="35"/>
      <c r="AU389" s="35"/>
    </row>
    <row r="390" customFormat="false" ht="15" hidden="false" customHeight="false" outlineLevel="0" collapsed="false">
      <c r="A390" s="24"/>
      <c r="B390" s="24"/>
      <c r="C390" s="24"/>
      <c r="D390" s="24"/>
      <c r="E390" s="24"/>
      <c r="F390" s="24"/>
      <c r="G390" s="24"/>
      <c r="H390" s="24"/>
      <c r="I390" s="32"/>
      <c r="J390" s="32"/>
      <c r="K390" s="32"/>
      <c r="L390" s="32"/>
      <c r="M390" s="24"/>
      <c r="N390" s="24"/>
      <c r="O390" s="24"/>
      <c r="P390" s="33" t="str">
        <f aca="false">IF(AND(G390&lt;&gt;"",I390&lt;&gt;"",J390&lt;&gt;""),(J390-I390)*1440,"")</f>
        <v/>
      </c>
      <c r="Q390" s="33" t="str">
        <f aca="false">IF(AND(G390&lt;&gt;"",J390&lt;&gt;"",K390&lt;&gt;""),(K390-J390)*1440,"")</f>
        <v/>
      </c>
      <c r="R390" s="33" t="str">
        <f aca="false">IF(AND(G390&lt;&gt;"",K390&lt;&gt;"",L390&lt;&gt;""),(L390-K390)*1440,"")</f>
        <v/>
      </c>
      <c r="S390" s="33" t="str">
        <f aca="false">IF(AND(G390&lt;&gt;"",I390&lt;&gt;"",L390&lt;&gt;""),(L390-I390)*1440,"")</f>
        <v/>
      </c>
      <c r="T390" s="33" t="str">
        <f aca="false">IF(G390="","",IFERROR(INDEX(Settings!$B$5:$B$8,MATCH(G390,Settings!$A$5:$A$8,0)),""))</f>
        <v/>
      </c>
      <c r="U390" s="25" t="str">
        <f aca="false">IF(G390="","",IF(S390="","No",IF(S390&lt;=T390,"Yes","No")))</f>
        <v/>
      </c>
      <c r="V390" s="25" t="str">
        <f aca="false">IF(G390="","",IF(AND(J390="",K390="",L390=""),"Telemetry Blind Spot",IF(AND(K390="",L390=""),"Missed Alert",IF(L390="","Triage Delay",IF(S390&lt;=T390,"Detected - Within SLA",IF(AND(R390&lt;&gt;"",R390&gt;IFERROR(INDEX(Settings!$C$5:$C$8,MATCH(G390,Settings!$A$5:$A$8,0)),1E+099)),"Triage Delay","Detected - SLA Breach"))))))</f>
        <v/>
      </c>
      <c r="W390" s="25" t="str">
        <f aca="false">IF(G390="","",IF(L390&lt;&gt;"",1,0))</f>
        <v/>
      </c>
      <c r="X390" s="32"/>
      <c r="Y390" s="32"/>
      <c r="Z390" s="32"/>
      <c r="AA390" s="24"/>
      <c r="AB390" s="24"/>
      <c r="AC390" s="33" t="str">
        <f aca="false">IF(AND(G390&lt;&gt;"",L390&lt;&gt;"",X390&lt;&gt;""),(X390-L390)*1440,"")</f>
        <v/>
      </c>
      <c r="AD390" s="33" t="str">
        <f aca="false">IF(AND(G390&lt;&gt;"",X390&lt;&gt;"",Y390&lt;&gt;""),(Y390-X390)*1440,"")</f>
        <v/>
      </c>
      <c r="AE390" s="33" t="str">
        <f aca="false">IF(AND(G390&lt;&gt;"",Y390&lt;&gt;"",Z390&lt;&gt;""),(Z390-Y390)*1440,"")</f>
        <v/>
      </c>
      <c r="AF390" s="33" t="str">
        <f aca="false">IF(AND(G390&lt;&gt;"",L390&lt;&gt;"",Z390&lt;&gt;""),(Z390-L390)*1440,"")</f>
        <v/>
      </c>
      <c r="AG390" s="33" t="str">
        <f aca="false">IF(G390="","",IFERROR(INDEX(Settings!$D$5:$D$8,MATCH(G390,Settings!$A$5:$A$8,0)),""))</f>
        <v/>
      </c>
      <c r="AH390" s="25" t="str">
        <f aca="false">IF(G390="","",IF(AF390="","No",IF(AF390&lt;=AG390,"Yes","No")))</f>
        <v/>
      </c>
      <c r="AI390" s="25" t="str">
        <f aca="false">IF(G390="","",IF(L390="","N/A - Not Detected",IF(AND(X390="",Y390="",Z390=""),"No Containment Action",IF(Z390="",IF(Y390&lt;&gt;"","C2 Persisted","Host Isolation Gap"),IF(AF390&lt;=AG390,"Contained - Within SLA","Contained - SLA Breach")))))</f>
        <v/>
      </c>
      <c r="AJ390" s="25" t="str">
        <f aca="false">IF(G390="","",IF(Z390&lt;&gt;"",1,0))</f>
        <v/>
      </c>
      <c r="AK390" s="34"/>
      <c r="AL390" s="34"/>
      <c r="AM390" s="35"/>
      <c r="AN390" s="34"/>
      <c r="AO390" s="34"/>
      <c r="AP390" s="35"/>
      <c r="AQ390" s="34"/>
      <c r="AR390" s="34"/>
      <c r="AS390" s="34"/>
      <c r="AT390" s="35"/>
      <c r="AU390" s="35"/>
    </row>
    <row r="391" customFormat="false" ht="15" hidden="false" customHeight="false" outlineLevel="0" collapsed="false">
      <c r="A391" s="24"/>
      <c r="B391" s="24"/>
      <c r="C391" s="24"/>
      <c r="D391" s="24"/>
      <c r="E391" s="24"/>
      <c r="F391" s="24"/>
      <c r="G391" s="24"/>
      <c r="H391" s="24"/>
      <c r="I391" s="32"/>
      <c r="J391" s="32"/>
      <c r="K391" s="32"/>
      <c r="L391" s="32"/>
      <c r="M391" s="24"/>
      <c r="N391" s="24"/>
      <c r="O391" s="24"/>
      <c r="P391" s="33" t="str">
        <f aca="false">IF(AND(G391&lt;&gt;"",I391&lt;&gt;"",J391&lt;&gt;""),(J391-I391)*1440,"")</f>
        <v/>
      </c>
      <c r="Q391" s="33" t="str">
        <f aca="false">IF(AND(G391&lt;&gt;"",J391&lt;&gt;"",K391&lt;&gt;""),(K391-J391)*1440,"")</f>
        <v/>
      </c>
      <c r="R391" s="33" t="str">
        <f aca="false">IF(AND(G391&lt;&gt;"",K391&lt;&gt;"",L391&lt;&gt;""),(L391-K391)*1440,"")</f>
        <v/>
      </c>
      <c r="S391" s="33" t="str">
        <f aca="false">IF(AND(G391&lt;&gt;"",I391&lt;&gt;"",L391&lt;&gt;""),(L391-I391)*1440,"")</f>
        <v/>
      </c>
      <c r="T391" s="33" t="str">
        <f aca="false">IF(G391="","",IFERROR(INDEX(Settings!$B$5:$B$8,MATCH(G391,Settings!$A$5:$A$8,0)),""))</f>
        <v/>
      </c>
      <c r="U391" s="25" t="str">
        <f aca="false">IF(G391="","",IF(S391="","No",IF(S391&lt;=T391,"Yes","No")))</f>
        <v/>
      </c>
      <c r="V391" s="25" t="str">
        <f aca="false">IF(G391="","",IF(AND(J391="",K391="",L391=""),"Telemetry Blind Spot",IF(AND(K391="",L391=""),"Missed Alert",IF(L391="","Triage Delay",IF(S391&lt;=T391,"Detected - Within SLA",IF(AND(R391&lt;&gt;"",R391&gt;IFERROR(INDEX(Settings!$C$5:$C$8,MATCH(G391,Settings!$A$5:$A$8,0)),1E+099)),"Triage Delay","Detected - SLA Breach"))))))</f>
        <v/>
      </c>
      <c r="W391" s="25" t="str">
        <f aca="false">IF(G391="","",IF(L391&lt;&gt;"",1,0))</f>
        <v/>
      </c>
      <c r="X391" s="32"/>
      <c r="Y391" s="32"/>
      <c r="Z391" s="32"/>
      <c r="AA391" s="24"/>
      <c r="AB391" s="24"/>
      <c r="AC391" s="33" t="str">
        <f aca="false">IF(AND(G391&lt;&gt;"",L391&lt;&gt;"",X391&lt;&gt;""),(X391-L391)*1440,"")</f>
        <v/>
      </c>
      <c r="AD391" s="33" t="str">
        <f aca="false">IF(AND(G391&lt;&gt;"",X391&lt;&gt;"",Y391&lt;&gt;""),(Y391-X391)*1440,"")</f>
        <v/>
      </c>
      <c r="AE391" s="33" t="str">
        <f aca="false">IF(AND(G391&lt;&gt;"",Y391&lt;&gt;"",Z391&lt;&gt;""),(Z391-Y391)*1440,"")</f>
        <v/>
      </c>
      <c r="AF391" s="33" t="str">
        <f aca="false">IF(AND(G391&lt;&gt;"",L391&lt;&gt;"",Z391&lt;&gt;""),(Z391-L391)*1440,"")</f>
        <v/>
      </c>
      <c r="AG391" s="33" t="str">
        <f aca="false">IF(G391="","",IFERROR(INDEX(Settings!$D$5:$D$8,MATCH(G391,Settings!$A$5:$A$8,0)),""))</f>
        <v/>
      </c>
      <c r="AH391" s="25" t="str">
        <f aca="false">IF(G391="","",IF(AF391="","No",IF(AF391&lt;=AG391,"Yes","No")))</f>
        <v/>
      </c>
      <c r="AI391" s="25" t="str">
        <f aca="false">IF(G391="","",IF(L391="","N/A - Not Detected",IF(AND(X391="",Y391="",Z391=""),"No Containment Action",IF(Z391="",IF(Y391&lt;&gt;"","C2 Persisted","Host Isolation Gap"),IF(AF391&lt;=AG391,"Contained - Within SLA","Contained - SLA Breach")))))</f>
        <v/>
      </c>
      <c r="AJ391" s="25" t="str">
        <f aca="false">IF(G391="","",IF(Z391&lt;&gt;"",1,0))</f>
        <v/>
      </c>
      <c r="AK391" s="34"/>
      <c r="AL391" s="34"/>
      <c r="AM391" s="35"/>
      <c r="AN391" s="34"/>
      <c r="AO391" s="34"/>
      <c r="AP391" s="35"/>
      <c r="AQ391" s="34"/>
      <c r="AR391" s="34"/>
      <c r="AS391" s="34"/>
      <c r="AT391" s="35"/>
      <c r="AU391" s="35"/>
    </row>
    <row r="392" customFormat="false" ht="15" hidden="false" customHeight="false" outlineLevel="0" collapsed="false">
      <c r="A392" s="24"/>
      <c r="B392" s="24"/>
      <c r="C392" s="24"/>
      <c r="D392" s="24"/>
      <c r="E392" s="24"/>
      <c r="F392" s="24"/>
      <c r="G392" s="24"/>
      <c r="H392" s="24"/>
      <c r="I392" s="32"/>
      <c r="J392" s="32"/>
      <c r="K392" s="32"/>
      <c r="L392" s="32"/>
      <c r="M392" s="24"/>
      <c r="N392" s="24"/>
      <c r="O392" s="24"/>
      <c r="P392" s="33" t="str">
        <f aca="false">IF(AND(G392&lt;&gt;"",I392&lt;&gt;"",J392&lt;&gt;""),(J392-I392)*1440,"")</f>
        <v/>
      </c>
      <c r="Q392" s="33" t="str">
        <f aca="false">IF(AND(G392&lt;&gt;"",J392&lt;&gt;"",K392&lt;&gt;""),(K392-J392)*1440,"")</f>
        <v/>
      </c>
      <c r="R392" s="33" t="str">
        <f aca="false">IF(AND(G392&lt;&gt;"",K392&lt;&gt;"",L392&lt;&gt;""),(L392-K392)*1440,"")</f>
        <v/>
      </c>
      <c r="S392" s="33" t="str">
        <f aca="false">IF(AND(G392&lt;&gt;"",I392&lt;&gt;"",L392&lt;&gt;""),(L392-I392)*1440,"")</f>
        <v/>
      </c>
      <c r="T392" s="33" t="str">
        <f aca="false">IF(G392="","",IFERROR(INDEX(Settings!$B$5:$B$8,MATCH(G392,Settings!$A$5:$A$8,0)),""))</f>
        <v/>
      </c>
      <c r="U392" s="25" t="str">
        <f aca="false">IF(G392="","",IF(S392="","No",IF(S392&lt;=T392,"Yes","No")))</f>
        <v/>
      </c>
      <c r="V392" s="25" t="str">
        <f aca="false">IF(G392="","",IF(AND(J392="",K392="",L392=""),"Telemetry Blind Spot",IF(AND(K392="",L392=""),"Missed Alert",IF(L392="","Triage Delay",IF(S392&lt;=T392,"Detected - Within SLA",IF(AND(R392&lt;&gt;"",R392&gt;IFERROR(INDEX(Settings!$C$5:$C$8,MATCH(G392,Settings!$A$5:$A$8,0)),1E+099)),"Triage Delay","Detected - SLA Breach"))))))</f>
        <v/>
      </c>
      <c r="W392" s="25" t="str">
        <f aca="false">IF(G392="","",IF(L392&lt;&gt;"",1,0))</f>
        <v/>
      </c>
      <c r="X392" s="32"/>
      <c r="Y392" s="32"/>
      <c r="Z392" s="32"/>
      <c r="AA392" s="24"/>
      <c r="AB392" s="24"/>
      <c r="AC392" s="33" t="str">
        <f aca="false">IF(AND(G392&lt;&gt;"",L392&lt;&gt;"",X392&lt;&gt;""),(X392-L392)*1440,"")</f>
        <v/>
      </c>
      <c r="AD392" s="33" t="str">
        <f aca="false">IF(AND(G392&lt;&gt;"",X392&lt;&gt;"",Y392&lt;&gt;""),(Y392-X392)*1440,"")</f>
        <v/>
      </c>
      <c r="AE392" s="33" t="str">
        <f aca="false">IF(AND(G392&lt;&gt;"",Y392&lt;&gt;"",Z392&lt;&gt;""),(Z392-Y392)*1440,"")</f>
        <v/>
      </c>
      <c r="AF392" s="33" t="str">
        <f aca="false">IF(AND(G392&lt;&gt;"",L392&lt;&gt;"",Z392&lt;&gt;""),(Z392-L392)*1440,"")</f>
        <v/>
      </c>
      <c r="AG392" s="33" t="str">
        <f aca="false">IF(G392="","",IFERROR(INDEX(Settings!$D$5:$D$8,MATCH(G392,Settings!$A$5:$A$8,0)),""))</f>
        <v/>
      </c>
      <c r="AH392" s="25" t="str">
        <f aca="false">IF(G392="","",IF(AF392="","No",IF(AF392&lt;=AG392,"Yes","No")))</f>
        <v/>
      </c>
      <c r="AI392" s="25" t="str">
        <f aca="false">IF(G392="","",IF(L392="","N/A - Not Detected",IF(AND(X392="",Y392="",Z392=""),"No Containment Action",IF(Z392="",IF(Y392&lt;&gt;"","C2 Persisted","Host Isolation Gap"),IF(AF392&lt;=AG392,"Contained - Within SLA","Contained - SLA Breach")))))</f>
        <v/>
      </c>
      <c r="AJ392" s="25" t="str">
        <f aca="false">IF(G392="","",IF(Z392&lt;&gt;"",1,0))</f>
        <v/>
      </c>
      <c r="AK392" s="34"/>
      <c r="AL392" s="34"/>
      <c r="AM392" s="35"/>
      <c r="AN392" s="34"/>
      <c r="AO392" s="34"/>
      <c r="AP392" s="35"/>
      <c r="AQ392" s="34"/>
      <c r="AR392" s="34"/>
      <c r="AS392" s="34"/>
      <c r="AT392" s="35"/>
      <c r="AU392" s="35"/>
    </row>
    <row r="393" customFormat="false" ht="15" hidden="false" customHeight="false" outlineLevel="0" collapsed="false">
      <c r="A393" s="24"/>
      <c r="B393" s="24"/>
      <c r="C393" s="24"/>
      <c r="D393" s="24"/>
      <c r="E393" s="24"/>
      <c r="F393" s="24"/>
      <c r="G393" s="24"/>
      <c r="H393" s="24"/>
      <c r="I393" s="32"/>
      <c r="J393" s="32"/>
      <c r="K393" s="32"/>
      <c r="L393" s="32"/>
      <c r="M393" s="24"/>
      <c r="N393" s="24"/>
      <c r="O393" s="24"/>
      <c r="P393" s="33" t="str">
        <f aca="false">IF(AND(G393&lt;&gt;"",I393&lt;&gt;"",J393&lt;&gt;""),(J393-I393)*1440,"")</f>
        <v/>
      </c>
      <c r="Q393" s="33" t="str">
        <f aca="false">IF(AND(G393&lt;&gt;"",J393&lt;&gt;"",K393&lt;&gt;""),(K393-J393)*1440,"")</f>
        <v/>
      </c>
      <c r="R393" s="33" t="str">
        <f aca="false">IF(AND(G393&lt;&gt;"",K393&lt;&gt;"",L393&lt;&gt;""),(L393-K393)*1440,"")</f>
        <v/>
      </c>
      <c r="S393" s="33" t="str">
        <f aca="false">IF(AND(G393&lt;&gt;"",I393&lt;&gt;"",L393&lt;&gt;""),(L393-I393)*1440,"")</f>
        <v/>
      </c>
      <c r="T393" s="33" t="str">
        <f aca="false">IF(G393="","",IFERROR(INDEX(Settings!$B$5:$B$8,MATCH(G393,Settings!$A$5:$A$8,0)),""))</f>
        <v/>
      </c>
      <c r="U393" s="25" t="str">
        <f aca="false">IF(G393="","",IF(S393="","No",IF(S393&lt;=T393,"Yes","No")))</f>
        <v/>
      </c>
      <c r="V393" s="25" t="str">
        <f aca="false">IF(G393="","",IF(AND(J393="",K393="",L393=""),"Telemetry Blind Spot",IF(AND(K393="",L393=""),"Missed Alert",IF(L393="","Triage Delay",IF(S393&lt;=T393,"Detected - Within SLA",IF(AND(R393&lt;&gt;"",R393&gt;IFERROR(INDEX(Settings!$C$5:$C$8,MATCH(G393,Settings!$A$5:$A$8,0)),1E+099)),"Triage Delay","Detected - SLA Breach"))))))</f>
        <v/>
      </c>
      <c r="W393" s="25" t="str">
        <f aca="false">IF(G393="","",IF(L393&lt;&gt;"",1,0))</f>
        <v/>
      </c>
      <c r="X393" s="32"/>
      <c r="Y393" s="32"/>
      <c r="Z393" s="32"/>
      <c r="AA393" s="24"/>
      <c r="AB393" s="24"/>
      <c r="AC393" s="33" t="str">
        <f aca="false">IF(AND(G393&lt;&gt;"",L393&lt;&gt;"",X393&lt;&gt;""),(X393-L393)*1440,"")</f>
        <v/>
      </c>
      <c r="AD393" s="33" t="str">
        <f aca="false">IF(AND(G393&lt;&gt;"",X393&lt;&gt;"",Y393&lt;&gt;""),(Y393-X393)*1440,"")</f>
        <v/>
      </c>
      <c r="AE393" s="33" t="str">
        <f aca="false">IF(AND(G393&lt;&gt;"",Y393&lt;&gt;"",Z393&lt;&gt;""),(Z393-Y393)*1440,"")</f>
        <v/>
      </c>
      <c r="AF393" s="33" t="str">
        <f aca="false">IF(AND(G393&lt;&gt;"",L393&lt;&gt;"",Z393&lt;&gt;""),(Z393-L393)*1440,"")</f>
        <v/>
      </c>
      <c r="AG393" s="33" t="str">
        <f aca="false">IF(G393="","",IFERROR(INDEX(Settings!$D$5:$D$8,MATCH(G393,Settings!$A$5:$A$8,0)),""))</f>
        <v/>
      </c>
      <c r="AH393" s="25" t="str">
        <f aca="false">IF(G393="","",IF(AF393="","No",IF(AF393&lt;=AG393,"Yes","No")))</f>
        <v/>
      </c>
      <c r="AI393" s="25" t="str">
        <f aca="false">IF(G393="","",IF(L393="","N/A - Not Detected",IF(AND(X393="",Y393="",Z393=""),"No Containment Action",IF(Z393="",IF(Y393&lt;&gt;"","C2 Persisted","Host Isolation Gap"),IF(AF393&lt;=AG393,"Contained - Within SLA","Contained - SLA Breach")))))</f>
        <v/>
      </c>
      <c r="AJ393" s="25" t="str">
        <f aca="false">IF(G393="","",IF(Z393&lt;&gt;"",1,0))</f>
        <v/>
      </c>
      <c r="AK393" s="34"/>
      <c r="AL393" s="34"/>
      <c r="AM393" s="35"/>
      <c r="AN393" s="34"/>
      <c r="AO393" s="34"/>
      <c r="AP393" s="35"/>
      <c r="AQ393" s="34"/>
      <c r="AR393" s="34"/>
      <c r="AS393" s="34"/>
      <c r="AT393" s="35"/>
      <c r="AU393" s="35"/>
    </row>
    <row r="394" customFormat="false" ht="15" hidden="false" customHeight="false" outlineLevel="0" collapsed="false">
      <c r="A394" s="24"/>
      <c r="B394" s="24"/>
      <c r="C394" s="24"/>
      <c r="D394" s="24"/>
      <c r="E394" s="24"/>
      <c r="F394" s="24"/>
      <c r="G394" s="24"/>
      <c r="H394" s="24"/>
      <c r="I394" s="32"/>
      <c r="J394" s="32"/>
      <c r="K394" s="32"/>
      <c r="L394" s="32"/>
      <c r="M394" s="24"/>
      <c r="N394" s="24"/>
      <c r="O394" s="24"/>
      <c r="P394" s="33" t="str">
        <f aca="false">IF(AND(G394&lt;&gt;"",I394&lt;&gt;"",J394&lt;&gt;""),(J394-I394)*1440,"")</f>
        <v/>
      </c>
      <c r="Q394" s="33" t="str">
        <f aca="false">IF(AND(G394&lt;&gt;"",J394&lt;&gt;"",K394&lt;&gt;""),(K394-J394)*1440,"")</f>
        <v/>
      </c>
      <c r="R394" s="33" t="str">
        <f aca="false">IF(AND(G394&lt;&gt;"",K394&lt;&gt;"",L394&lt;&gt;""),(L394-K394)*1440,"")</f>
        <v/>
      </c>
      <c r="S394" s="33" t="str">
        <f aca="false">IF(AND(G394&lt;&gt;"",I394&lt;&gt;"",L394&lt;&gt;""),(L394-I394)*1440,"")</f>
        <v/>
      </c>
      <c r="T394" s="33" t="str">
        <f aca="false">IF(G394="","",IFERROR(INDEX(Settings!$B$5:$B$8,MATCH(G394,Settings!$A$5:$A$8,0)),""))</f>
        <v/>
      </c>
      <c r="U394" s="25" t="str">
        <f aca="false">IF(G394="","",IF(S394="","No",IF(S394&lt;=T394,"Yes","No")))</f>
        <v/>
      </c>
      <c r="V394" s="25" t="str">
        <f aca="false">IF(G394="","",IF(AND(J394="",K394="",L394=""),"Telemetry Blind Spot",IF(AND(K394="",L394=""),"Missed Alert",IF(L394="","Triage Delay",IF(S394&lt;=T394,"Detected - Within SLA",IF(AND(R394&lt;&gt;"",R394&gt;IFERROR(INDEX(Settings!$C$5:$C$8,MATCH(G394,Settings!$A$5:$A$8,0)),1E+099)),"Triage Delay","Detected - SLA Breach"))))))</f>
        <v/>
      </c>
      <c r="W394" s="25" t="str">
        <f aca="false">IF(G394="","",IF(L394&lt;&gt;"",1,0))</f>
        <v/>
      </c>
      <c r="X394" s="32"/>
      <c r="Y394" s="32"/>
      <c r="Z394" s="32"/>
      <c r="AA394" s="24"/>
      <c r="AB394" s="24"/>
      <c r="AC394" s="33" t="str">
        <f aca="false">IF(AND(G394&lt;&gt;"",L394&lt;&gt;"",X394&lt;&gt;""),(X394-L394)*1440,"")</f>
        <v/>
      </c>
      <c r="AD394" s="33" t="str">
        <f aca="false">IF(AND(G394&lt;&gt;"",X394&lt;&gt;"",Y394&lt;&gt;""),(Y394-X394)*1440,"")</f>
        <v/>
      </c>
      <c r="AE394" s="33" t="str">
        <f aca="false">IF(AND(G394&lt;&gt;"",Y394&lt;&gt;"",Z394&lt;&gt;""),(Z394-Y394)*1440,"")</f>
        <v/>
      </c>
      <c r="AF394" s="33" t="str">
        <f aca="false">IF(AND(G394&lt;&gt;"",L394&lt;&gt;"",Z394&lt;&gt;""),(Z394-L394)*1440,"")</f>
        <v/>
      </c>
      <c r="AG394" s="33" t="str">
        <f aca="false">IF(G394="","",IFERROR(INDEX(Settings!$D$5:$D$8,MATCH(G394,Settings!$A$5:$A$8,0)),""))</f>
        <v/>
      </c>
      <c r="AH394" s="25" t="str">
        <f aca="false">IF(G394="","",IF(AF394="","No",IF(AF394&lt;=AG394,"Yes","No")))</f>
        <v/>
      </c>
      <c r="AI394" s="25" t="str">
        <f aca="false">IF(G394="","",IF(L394="","N/A - Not Detected",IF(AND(X394="",Y394="",Z394=""),"No Containment Action",IF(Z394="",IF(Y394&lt;&gt;"","C2 Persisted","Host Isolation Gap"),IF(AF394&lt;=AG394,"Contained - Within SLA","Contained - SLA Breach")))))</f>
        <v/>
      </c>
      <c r="AJ394" s="25" t="str">
        <f aca="false">IF(G394="","",IF(Z394&lt;&gt;"",1,0))</f>
        <v/>
      </c>
      <c r="AK394" s="34"/>
      <c r="AL394" s="34"/>
      <c r="AM394" s="35"/>
      <c r="AN394" s="34"/>
      <c r="AO394" s="34"/>
      <c r="AP394" s="35"/>
      <c r="AQ394" s="34"/>
      <c r="AR394" s="34"/>
      <c r="AS394" s="34"/>
      <c r="AT394" s="35"/>
      <c r="AU394" s="35"/>
    </row>
    <row r="395" customFormat="false" ht="15" hidden="false" customHeight="false" outlineLevel="0" collapsed="false">
      <c r="A395" s="24"/>
      <c r="B395" s="24"/>
      <c r="C395" s="24"/>
      <c r="D395" s="24"/>
      <c r="E395" s="24"/>
      <c r="F395" s="24"/>
      <c r="G395" s="24"/>
      <c r="H395" s="24"/>
      <c r="I395" s="32"/>
      <c r="J395" s="32"/>
      <c r="K395" s="32"/>
      <c r="L395" s="32"/>
      <c r="M395" s="24"/>
      <c r="N395" s="24"/>
      <c r="O395" s="24"/>
      <c r="P395" s="33" t="str">
        <f aca="false">IF(AND(G395&lt;&gt;"",I395&lt;&gt;"",J395&lt;&gt;""),(J395-I395)*1440,"")</f>
        <v/>
      </c>
      <c r="Q395" s="33" t="str">
        <f aca="false">IF(AND(G395&lt;&gt;"",J395&lt;&gt;"",K395&lt;&gt;""),(K395-J395)*1440,"")</f>
        <v/>
      </c>
      <c r="R395" s="33" t="str">
        <f aca="false">IF(AND(G395&lt;&gt;"",K395&lt;&gt;"",L395&lt;&gt;""),(L395-K395)*1440,"")</f>
        <v/>
      </c>
      <c r="S395" s="33" t="str">
        <f aca="false">IF(AND(G395&lt;&gt;"",I395&lt;&gt;"",L395&lt;&gt;""),(L395-I395)*1440,"")</f>
        <v/>
      </c>
      <c r="T395" s="33" t="str">
        <f aca="false">IF(G395="","",IFERROR(INDEX(Settings!$B$5:$B$8,MATCH(G395,Settings!$A$5:$A$8,0)),""))</f>
        <v/>
      </c>
      <c r="U395" s="25" t="str">
        <f aca="false">IF(G395="","",IF(S395="","No",IF(S395&lt;=T395,"Yes","No")))</f>
        <v/>
      </c>
      <c r="V395" s="25" t="str">
        <f aca="false">IF(G395="","",IF(AND(J395="",K395="",L395=""),"Telemetry Blind Spot",IF(AND(K395="",L395=""),"Missed Alert",IF(L395="","Triage Delay",IF(S395&lt;=T395,"Detected - Within SLA",IF(AND(R395&lt;&gt;"",R395&gt;IFERROR(INDEX(Settings!$C$5:$C$8,MATCH(G395,Settings!$A$5:$A$8,0)),1E+099)),"Triage Delay","Detected - SLA Breach"))))))</f>
        <v/>
      </c>
      <c r="W395" s="25" t="str">
        <f aca="false">IF(G395="","",IF(L395&lt;&gt;"",1,0))</f>
        <v/>
      </c>
      <c r="X395" s="32"/>
      <c r="Y395" s="32"/>
      <c r="Z395" s="32"/>
      <c r="AA395" s="24"/>
      <c r="AB395" s="24"/>
      <c r="AC395" s="33" t="str">
        <f aca="false">IF(AND(G395&lt;&gt;"",L395&lt;&gt;"",X395&lt;&gt;""),(X395-L395)*1440,"")</f>
        <v/>
      </c>
      <c r="AD395" s="33" t="str">
        <f aca="false">IF(AND(G395&lt;&gt;"",X395&lt;&gt;"",Y395&lt;&gt;""),(Y395-X395)*1440,"")</f>
        <v/>
      </c>
      <c r="AE395" s="33" t="str">
        <f aca="false">IF(AND(G395&lt;&gt;"",Y395&lt;&gt;"",Z395&lt;&gt;""),(Z395-Y395)*1440,"")</f>
        <v/>
      </c>
      <c r="AF395" s="33" t="str">
        <f aca="false">IF(AND(G395&lt;&gt;"",L395&lt;&gt;"",Z395&lt;&gt;""),(Z395-L395)*1440,"")</f>
        <v/>
      </c>
      <c r="AG395" s="33" t="str">
        <f aca="false">IF(G395="","",IFERROR(INDEX(Settings!$D$5:$D$8,MATCH(G395,Settings!$A$5:$A$8,0)),""))</f>
        <v/>
      </c>
      <c r="AH395" s="25" t="str">
        <f aca="false">IF(G395="","",IF(AF395="","No",IF(AF395&lt;=AG395,"Yes","No")))</f>
        <v/>
      </c>
      <c r="AI395" s="25" t="str">
        <f aca="false">IF(G395="","",IF(L395="","N/A - Not Detected",IF(AND(X395="",Y395="",Z395=""),"No Containment Action",IF(Z395="",IF(Y395&lt;&gt;"","C2 Persisted","Host Isolation Gap"),IF(AF395&lt;=AG395,"Contained - Within SLA","Contained - SLA Breach")))))</f>
        <v/>
      </c>
      <c r="AJ395" s="25" t="str">
        <f aca="false">IF(G395="","",IF(Z395&lt;&gt;"",1,0))</f>
        <v/>
      </c>
      <c r="AK395" s="34"/>
      <c r="AL395" s="34"/>
      <c r="AM395" s="35"/>
      <c r="AN395" s="34"/>
      <c r="AO395" s="34"/>
      <c r="AP395" s="35"/>
      <c r="AQ395" s="34"/>
      <c r="AR395" s="34"/>
      <c r="AS395" s="34"/>
      <c r="AT395" s="35"/>
      <c r="AU395" s="35"/>
    </row>
    <row r="396" customFormat="false" ht="15" hidden="false" customHeight="false" outlineLevel="0" collapsed="false">
      <c r="A396" s="24"/>
      <c r="B396" s="24"/>
      <c r="C396" s="24"/>
      <c r="D396" s="24"/>
      <c r="E396" s="24"/>
      <c r="F396" s="24"/>
      <c r="G396" s="24"/>
      <c r="H396" s="24"/>
      <c r="I396" s="32"/>
      <c r="J396" s="32"/>
      <c r="K396" s="32"/>
      <c r="L396" s="32"/>
      <c r="M396" s="24"/>
      <c r="N396" s="24"/>
      <c r="O396" s="24"/>
      <c r="P396" s="33" t="str">
        <f aca="false">IF(AND(G396&lt;&gt;"",I396&lt;&gt;"",J396&lt;&gt;""),(J396-I396)*1440,"")</f>
        <v/>
      </c>
      <c r="Q396" s="33" t="str">
        <f aca="false">IF(AND(G396&lt;&gt;"",J396&lt;&gt;"",K396&lt;&gt;""),(K396-J396)*1440,"")</f>
        <v/>
      </c>
      <c r="R396" s="33" t="str">
        <f aca="false">IF(AND(G396&lt;&gt;"",K396&lt;&gt;"",L396&lt;&gt;""),(L396-K396)*1440,"")</f>
        <v/>
      </c>
      <c r="S396" s="33" t="str">
        <f aca="false">IF(AND(G396&lt;&gt;"",I396&lt;&gt;"",L396&lt;&gt;""),(L396-I396)*1440,"")</f>
        <v/>
      </c>
      <c r="T396" s="33" t="str">
        <f aca="false">IF(G396="","",IFERROR(INDEX(Settings!$B$5:$B$8,MATCH(G396,Settings!$A$5:$A$8,0)),""))</f>
        <v/>
      </c>
      <c r="U396" s="25" t="str">
        <f aca="false">IF(G396="","",IF(S396="","No",IF(S396&lt;=T396,"Yes","No")))</f>
        <v/>
      </c>
      <c r="V396" s="25" t="str">
        <f aca="false">IF(G396="","",IF(AND(J396="",K396="",L396=""),"Telemetry Blind Spot",IF(AND(K396="",L396=""),"Missed Alert",IF(L396="","Triage Delay",IF(S396&lt;=T396,"Detected - Within SLA",IF(AND(R396&lt;&gt;"",R396&gt;IFERROR(INDEX(Settings!$C$5:$C$8,MATCH(G396,Settings!$A$5:$A$8,0)),1E+099)),"Triage Delay","Detected - SLA Breach"))))))</f>
        <v/>
      </c>
      <c r="W396" s="25" t="str">
        <f aca="false">IF(G396="","",IF(L396&lt;&gt;"",1,0))</f>
        <v/>
      </c>
      <c r="X396" s="32"/>
      <c r="Y396" s="32"/>
      <c r="Z396" s="32"/>
      <c r="AA396" s="24"/>
      <c r="AB396" s="24"/>
      <c r="AC396" s="33" t="str">
        <f aca="false">IF(AND(G396&lt;&gt;"",L396&lt;&gt;"",X396&lt;&gt;""),(X396-L396)*1440,"")</f>
        <v/>
      </c>
      <c r="AD396" s="33" t="str">
        <f aca="false">IF(AND(G396&lt;&gt;"",X396&lt;&gt;"",Y396&lt;&gt;""),(Y396-X396)*1440,"")</f>
        <v/>
      </c>
      <c r="AE396" s="33" t="str">
        <f aca="false">IF(AND(G396&lt;&gt;"",Y396&lt;&gt;"",Z396&lt;&gt;""),(Z396-Y396)*1440,"")</f>
        <v/>
      </c>
      <c r="AF396" s="33" t="str">
        <f aca="false">IF(AND(G396&lt;&gt;"",L396&lt;&gt;"",Z396&lt;&gt;""),(Z396-L396)*1440,"")</f>
        <v/>
      </c>
      <c r="AG396" s="33" t="str">
        <f aca="false">IF(G396="","",IFERROR(INDEX(Settings!$D$5:$D$8,MATCH(G396,Settings!$A$5:$A$8,0)),""))</f>
        <v/>
      </c>
      <c r="AH396" s="25" t="str">
        <f aca="false">IF(G396="","",IF(AF396="","No",IF(AF396&lt;=AG396,"Yes","No")))</f>
        <v/>
      </c>
      <c r="AI396" s="25" t="str">
        <f aca="false">IF(G396="","",IF(L396="","N/A - Not Detected",IF(AND(X396="",Y396="",Z396=""),"No Containment Action",IF(Z396="",IF(Y396&lt;&gt;"","C2 Persisted","Host Isolation Gap"),IF(AF396&lt;=AG396,"Contained - Within SLA","Contained - SLA Breach")))))</f>
        <v/>
      </c>
      <c r="AJ396" s="25" t="str">
        <f aca="false">IF(G396="","",IF(Z396&lt;&gt;"",1,0))</f>
        <v/>
      </c>
      <c r="AK396" s="34"/>
      <c r="AL396" s="34"/>
      <c r="AM396" s="35"/>
      <c r="AN396" s="34"/>
      <c r="AO396" s="34"/>
      <c r="AP396" s="35"/>
      <c r="AQ396" s="34"/>
      <c r="AR396" s="34"/>
      <c r="AS396" s="34"/>
      <c r="AT396" s="35"/>
      <c r="AU396" s="35"/>
    </row>
    <row r="397" customFormat="false" ht="15" hidden="false" customHeight="false" outlineLevel="0" collapsed="false">
      <c r="A397" s="24"/>
      <c r="B397" s="24"/>
      <c r="C397" s="24"/>
      <c r="D397" s="24"/>
      <c r="E397" s="24"/>
      <c r="F397" s="24"/>
      <c r="G397" s="24"/>
      <c r="H397" s="24"/>
      <c r="I397" s="32"/>
      <c r="J397" s="32"/>
      <c r="K397" s="32"/>
      <c r="L397" s="32"/>
      <c r="M397" s="24"/>
      <c r="N397" s="24"/>
      <c r="O397" s="24"/>
      <c r="P397" s="33" t="str">
        <f aca="false">IF(AND(G397&lt;&gt;"",I397&lt;&gt;"",J397&lt;&gt;""),(J397-I397)*1440,"")</f>
        <v/>
      </c>
      <c r="Q397" s="33" t="str">
        <f aca="false">IF(AND(G397&lt;&gt;"",J397&lt;&gt;"",K397&lt;&gt;""),(K397-J397)*1440,"")</f>
        <v/>
      </c>
      <c r="R397" s="33" t="str">
        <f aca="false">IF(AND(G397&lt;&gt;"",K397&lt;&gt;"",L397&lt;&gt;""),(L397-K397)*1440,"")</f>
        <v/>
      </c>
      <c r="S397" s="33" t="str">
        <f aca="false">IF(AND(G397&lt;&gt;"",I397&lt;&gt;"",L397&lt;&gt;""),(L397-I397)*1440,"")</f>
        <v/>
      </c>
      <c r="T397" s="33" t="str">
        <f aca="false">IF(G397="","",IFERROR(INDEX(Settings!$B$5:$B$8,MATCH(G397,Settings!$A$5:$A$8,0)),""))</f>
        <v/>
      </c>
      <c r="U397" s="25" t="str">
        <f aca="false">IF(G397="","",IF(S397="","No",IF(S397&lt;=T397,"Yes","No")))</f>
        <v/>
      </c>
      <c r="V397" s="25" t="str">
        <f aca="false">IF(G397="","",IF(AND(J397="",K397="",L397=""),"Telemetry Blind Spot",IF(AND(K397="",L397=""),"Missed Alert",IF(L397="","Triage Delay",IF(S397&lt;=T397,"Detected - Within SLA",IF(AND(R397&lt;&gt;"",R397&gt;IFERROR(INDEX(Settings!$C$5:$C$8,MATCH(G397,Settings!$A$5:$A$8,0)),1E+099)),"Triage Delay","Detected - SLA Breach"))))))</f>
        <v/>
      </c>
      <c r="W397" s="25" t="str">
        <f aca="false">IF(G397="","",IF(L397&lt;&gt;"",1,0))</f>
        <v/>
      </c>
      <c r="X397" s="32"/>
      <c r="Y397" s="32"/>
      <c r="Z397" s="32"/>
      <c r="AA397" s="24"/>
      <c r="AB397" s="24"/>
      <c r="AC397" s="33" t="str">
        <f aca="false">IF(AND(G397&lt;&gt;"",L397&lt;&gt;"",X397&lt;&gt;""),(X397-L397)*1440,"")</f>
        <v/>
      </c>
      <c r="AD397" s="33" t="str">
        <f aca="false">IF(AND(G397&lt;&gt;"",X397&lt;&gt;"",Y397&lt;&gt;""),(Y397-X397)*1440,"")</f>
        <v/>
      </c>
      <c r="AE397" s="33" t="str">
        <f aca="false">IF(AND(G397&lt;&gt;"",Y397&lt;&gt;"",Z397&lt;&gt;""),(Z397-Y397)*1440,"")</f>
        <v/>
      </c>
      <c r="AF397" s="33" t="str">
        <f aca="false">IF(AND(G397&lt;&gt;"",L397&lt;&gt;"",Z397&lt;&gt;""),(Z397-L397)*1440,"")</f>
        <v/>
      </c>
      <c r="AG397" s="33" t="str">
        <f aca="false">IF(G397="","",IFERROR(INDEX(Settings!$D$5:$D$8,MATCH(G397,Settings!$A$5:$A$8,0)),""))</f>
        <v/>
      </c>
      <c r="AH397" s="25" t="str">
        <f aca="false">IF(G397="","",IF(AF397="","No",IF(AF397&lt;=AG397,"Yes","No")))</f>
        <v/>
      </c>
      <c r="AI397" s="25" t="str">
        <f aca="false">IF(G397="","",IF(L397="","N/A - Not Detected",IF(AND(X397="",Y397="",Z397=""),"No Containment Action",IF(Z397="",IF(Y397&lt;&gt;"","C2 Persisted","Host Isolation Gap"),IF(AF397&lt;=AG397,"Contained - Within SLA","Contained - SLA Breach")))))</f>
        <v/>
      </c>
      <c r="AJ397" s="25" t="str">
        <f aca="false">IF(G397="","",IF(Z397&lt;&gt;"",1,0))</f>
        <v/>
      </c>
      <c r="AK397" s="34"/>
      <c r="AL397" s="34"/>
      <c r="AM397" s="35"/>
      <c r="AN397" s="34"/>
      <c r="AO397" s="34"/>
      <c r="AP397" s="35"/>
      <c r="AQ397" s="34"/>
      <c r="AR397" s="34"/>
      <c r="AS397" s="34"/>
      <c r="AT397" s="35"/>
      <c r="AU397" s="35"/>
    </row>
    <row r="398" customFormat="false" ht="15" hidden="false" customHeight="false" outlineLevel="0" collapsed="false">
      <c r="A398" s="24"/>
      <c r="B398" s="24"/>
      <c r="C398" s="24"/>
      <c r="D398" s="24"/>
      <c r="E398" s="24"/>
      <c r="F398" s="24"/>
      <c r="G398" s="24"/>
      <c r="H398" s="24"/>
      <c r="I398" s="32"/>
      <c r="J398" s="32"/>
      <c r="K398" s="32"/>
      <c r="L398" s="32"/>
      <c r="M398" s="24"/>
      <c r="N398" s="24"/>
      <c r="O398" s="24"/>
      <c r="P398" s="33" t="str">
        <f aca="false">IF(AND(G398&lt;&gt;"",I398&lt;&gt;"",J398&lt;&gt;""),(J398-I398)*1440,"")</f>
        <v/>
      </c>
      <c r="Q398" s="33" t="str">
        <f aca="false">IF(AND(G398&lt;&gt;"",J398&lt;&gt;"",K398&lt;&gt;""),(K398-J398)*1440,"")</f>
        <v/>
      </c>
      <c r="R398" s="33" t="str">
        <f aca="false">IF(AND(G398&lt;&gt;"",K398&lt;&gt;"",L398&lt;&gt;""),(L398-K398)*1440,"")</f>
        <v/>
      </c>
      <c r="S398" s="33" t="str">
        <f aca="false">IF(AND(G398&lt;&gt;"",I398&lt;&gt;"",L398&lt;&gt;""),(L398-I398)*1440,"")</f>
        <v/>
      </c>
      <c r="T398" s="33" t="str">
        <f aca="false">IF(G398="","",IFERROR(INDEX(Settings!$B$5:$B$8,MATCH(G398,Settings!$A$5:$A$8,0)),""))</f>
        <v/>
      </c>
      <c r="U398" s="25" t="str">
        <f aca="false">IF(G398="","",IF(S398="","No",IF(S398&lt;=T398,"Yes","No")))</f>
        <v/>
      </c>
      <c r="V398" s="25" t="str">
        <f aca="false">IF(G398="","",IF(AND(J398="",K398="",L398=""),"Telemetry Blind Spot",IF(AND(K398="",L398=""),"Missed Alert",IF(L398="","Triage Delay",IF(S398&lt;=T398,"Detected - Within SLA",IF(AND(R398&lt;&gt;"",R398&gt;IFERROR(INDEX(Settings!$C$5:$C$8,MATCH(G398,Settings!$A$5:$A$8,0)),1E+099)),"Triage Delay","Detected - SLA Breach"))))))</f>
        <v/>
      </c>
      <c r="W398" s="25" t="str">
        <f aca="false">IF(G398="","",IF(L398&lt;&gt;"",1,0))</f>
        <v/>
      </c>
      <c r="X398" s="32"/>
      <c r="Y398" s="32"/>
      <c r="Z398" s="32"/>
      <c r="AA398" s="24"/>
      <c r="AB398" s="24"/>
      <c r="AC398" s="33" t="str">
        <f aca="false">IF(AND(G398&lt;&gt;"",L398&lt;&gt;"",X398&lt;&gt;""),(X398-L398)*1440,"")</f>
        <v/>
      </c>
      <c r="AD398" s="33" t="str">
        <f aca="false">IF(AND(G398&lt;&gt;"",X398&lt;&gt;"",Y398&lt;&gt;""),(Y398-X398)*1440,"")</f>
        <v/>
      </c>
      <c r="AE398" s="33" t="str">
        <f aca="false">IF(AND(G398&lt;&gt;"",Y398&lt;&gt;"",Z398&lt;&gt;""),(Z398-Y398)*1440,"")</f>
        <v/>
      </c>
      <c r="AF398" s="33" t="str">
        <f aca="false">IF(AND(G398&lt;&gt;"",L398&lt;&gt;"",Z398&lt;&gt;""),(Z398-L398)*1440,"")</f>
        <v/>
      </c>
      <c r="AG398" s="33" t="str">
        <f aca="false">IF(G398="","",IFERROR(INDEX(Settings!$D$5:$D$8,MATCH(G398,Settings!$A$5:$A$8,0)),""))</f>
        <v/>
      </c>
      <c r="AH398" s="25" t="str">
        <f aca="false">IF(G398="","",IF(AF398="","No",IF(AF398&lt;=AG398,"Yes","No")))</f>
        <v/>
      </c>
      <c r="AI398" s="25" t="str">
        <f aca="false">IF(G398="","",IF(L398="","N/A - Not Detected",IF(AND(X398="",Y398="",Z398=""),"No Containment Action",IF(Z398="",IF(Y398&lt;&gt;"","C2 Persisted","Host Isolation Gap"),IF(AF398&lt;=AG398,"Contained - Within SLA","Contained - SLA Breach")))))</f>
        <v/>
      </c>
      <c r="AJ398" s="25" t="str">
        <f aca="false">IF(G398="","",IF(Z398&lt;&gt;"",1,0))</f>
        <v/>
      </c>
      <c r="AK398" s="34"/>
      <c r="AL398" s="34"/>
      <c r="AM398" s="35"/>
      <c r="AN398" s="34"/>
      <c r="AO398" s="34"/>
      <c r="AP398" s="35"/>
      <c r="AQ398" s="34"/>
      <c r="AR398" s="34"/>
      <c r="AS398" s="34"/>
      <c r="AT398" s="35"/>
      <c r="AU398" s="35"/>
    </row>
    <row r="399" customFormat="false" ht="15" hidden="false" customHeight="false" outlineLevel="0" collapsed="false">
      <c r="A399" s="24"/>
      <c r="B399" s="24"/>
      <c r="C399" s="24"/>
      <c r="D399" s="24"/>
      <c r="E399" s="24"/>
      <c r="F399" s="24"/>
      <c r="G399" s="24"/>
      <c r="H399" s="24"/>
      <c r="I399" s="32"/>
      <c r="J399" s="32"/>
      <c r="K399" s="32"/>
      <c r="L399" s="32"/>
      <c r="M399" s="24"/>
      <c r="N399" s="24"/>
      <c r="O399" s="24"/>
      <c r="P399" s="33" t="str">
        <f aca="false">IF(AND(G399&lt;&gt;"",I399&lt;&gt;"",J399&lt;&gt;""),(J399-I399)*1440,"")</f>
        <v/>
      </c>
      <c r="Q399" s="33" t="str">
        <f aca="false">IF(AND(G399&lt;&gt;"",J399&lt;&gt;"",K399&lt;&gt;""),(K399-J399)*1440,"")</f>
        <v/>
      </c>
      <c r="R399" s="33" t="str">
        <f aca="false">IF(AND(G399&lt;&gt;"",K399&lt;&gt;"",L399&lt;&gt;""),(L399-K399)*1440,"")</f>
        <v/>
      </c>
      <c r="S399" s="33" t="str">
        <f aca="false">IF(AND(G399&lt;&gt;"",I399&lt;&gt;"",L399&lt;&gt;""),(L399-I399)*1440,"")</f>
        <v/>
      </c>
      <c r="T399" s="33" t="str">
        <f aca="false">IF(G399="","",IFERROR(INDEX(Settings!$B$5:$B$8,MATCH(G399,Settings!$A$5:$A$8,0)),""))</f>
        <v/>
      </c>
      <c r="U399" s="25" t="str">
        <f aca="false">IF(G399="","",IF(S399="","No",IF(S399&lt;=T399,"Yes","No")))</f>
        <v/>
      </c>
      <c r="V399" s="25" t="str">
        <f aca="false">IF(G399="","",IF(AND(J399="",K399="",L399=""),"Telemetry Blind Spot",IF(AND(K399="",L399=""),"Missed Alert",IF(L399="","Triage Delay",IF(S399&lt;=T399,"Detected - Within SLA",IF(AND(R399&lt;&gt;"",R399&gt;IFERROR(INDEX(Settings!$C$5:$C$8,MATCH(G399,Settings!$A$5:$A$8,0)),1E+099)),"Triage Delay","Detected - SLA Breach"))))))</f>
        <v/>
      </c>
      <c r="W399" s="25" t="str">
        <f aca="false">IF(G399="","",IF(L399&lt;&gt;"",1,0))</f>
        <v/>
      </c>
      <c r="X399" s="32"/>
      <c r="Y399" s="32"/>
      <c r="Z399" s="32"/>
      <c r="AA399" s="24"/>
      <c r="AB399" s="24"/>
      <c r="AC399" s="33" t="str">
        <f aca="false">IF(AND(G399&lt;&gt;"",L399&lt;&gt;"",X399&lt;&gt;""),(X399-L399)*1440,"")</f>
        <v/>
      </c>
      <c r="AD399" s="33" t="str">
        <f aca="false">IF(AND(G399&lt;&gt;"",X399&lt;&gt;"",Y399&lt;&gt;""),(Y399-X399)*1440,"")</f>
        <v/>
      </c>
      <c r="AE399" s="33" t="str">
        <f aca="false">IF(AND(G399&lt;&gt;"",Y399&lt;&gt;"",Z399&lt;&gt;""),(Z399-Y399)*1440,"")</f>
        <v/>
      </c>
      <c r="AF399" s="33" t="str">
        <f aca="false">IF(AND(G399&lt;&gt;"",L399&lt;&gt;"",Z399&lt;&gt;""),(Z399-L399)*1440,"")</f>
        <v/>
      </c>
      <c r="AG399" s="33" t="str">
        <f aca="false">IF(G399="","",IFERROR(INDEX(Settings!$D$5:$D$8,MATCH(G399,Settings!$A$5:$A$8,0)),""))</f>
        <v/>
      </c>
      <c r="AH399" s="25" t="str">
        <f aca="false">IF(G399="","",IF(AF399="","No",IF(AF399&lt;=AG399,"Yes","No")))</f>
        <v/>
      </c>
      <c r="AI399" s="25" t="str">
        <f aca="false">IF(G399="","",IF(L399="","N/A - Not Detected",IF(AND(X399="",Y399="",Z399=""),"No Containment Action",IF(Z399="",IF(Y399&lt;&gt;"","C2 Persisted","Host Isolation Gap"),IF(AF399&lt;=AG399,"Contained - Within SLA","Contained - SLA Breach")))))</f>
        <v/>
      </c>
      <c r="AJ399" s="25" t="str">
        <f aca="false">IF(G399="","",IF(Z399&lt;&gt;"",1,0))</f>
        <v/>
      </c>
      <c r="AK399" s="34"/>
      <c r="AL399" s="34"/>
      <c r="AM399" s="35"/>
      <c r="AN399" s="34"/>
      <c r="AO399" s="34"/>
      <c r="AP399" s="35"/>
      <c r="AQ399" s="34"/>
      <c r="AR399" s="34"/>
      <c r="AS399" s="34"/>
      <c r="AT399" s="35"/>
      <c r="AU399" s="35"/>
    </row>
    <row r="400" customFormat="false" ht="15" hidden="false" customHeight="false" outlineLevel="0" collapsed="false">
      <c r="A400" s="24"/>
      <c r="B400" s="24"/>
      <c r="C400" s="24"/>
      <c r="D400" s="24"/>
      <c r="E400" s="24"/>
      <c r="F400" s="24"/>
      <c r="G400" s="24"/>
      <c r="H400" s="24"/>
      <c r="I400" s="32"/>
      <c r="J400" s="32"/>
      <c r="K400" s="32"/>
      <c r="L400" s="32"/>
      <c r="M400" s="24"/>
      <c r="N400" s="24"/>
      <c r="O400" s="24"/>
      <c r="P400" s="33" t="str">
        <f aca="false">IF(AND(G400&lt;&gt;"",I400&lt;&gt;"",J400&lt;&gt;""),(J400-I400)*1440,"")</f>
        <v/>
      </c>
      <c r="Q400" s="33" t="str">
        <f aca="false">IF(AND(G400&lt;&gt;"",J400&lt;&gt;"",K400&lt;&gt;""),(K400-J400)*1440,"")</f>
        <v/>
      </c>
      <c r="R400" s="33" t="str">
        <f aca="false">IF(AND(G400&lt;&gt;"",K400&lt;&gt;"",L400&lt;&gt;""),(L400-K400)*1440,"")</f>
        <v/>
      </c>
      <c r="S400" s="33" t="str">
        <f aca="false">IF(AND(G400&lt;&gt;"",I400&lt;&gt;"",L400&lt;&gt;""),(L400-I400)*1440,"")</f>
        <v/>
      </c>
      <c r="T400" s="33" t="str">
        <f aca="false">IF(G400="","",IFERROR(INDEX(Settings!$B$5:$B$8,MATCH(G400,Settings!$A$5:$A$8,0)),""))</f>
        <v/>
      </c>
      <c r="U400" s="25" t="str">
        <f aca="false">IF(G400="","",IF(S400="","No",IF(S400&lt;=T400,"Yes","No")))</f>
        <v/>
      </c>
      <c r="V400" s="25" t="str">
        <f aca="false">IF(G400="","",IF(AND(J400="",K400="",L400=""),"Telemetry Blind Spot",IF(AND(K400="",L400=""),"Missed Alert",IF(L400="","Triage Delay",IF(S400&lt;=T400,"Detected - Within SLA",IF(AND(R400&lt;&gt;"",R400&gt;IFERROR(INDEX(Settings!$C$5:$C$8,MATCH(G400,Settings!$A$5:$A$8,0)),1E+099)),"Triage Delay","Detected - SLA Breach"))))))</f>
        <v/>
      </c>
      <c r="W400" s="25" t="str">
        <f aca="false">IF(G400="","",IF(L400&lt;&gt;"",1,0))</f>
        <v/>
      </c>
      <c r="X400" s="32"/>
      <c r="Y400" s="32"/>
      <c r="Z400" s="32"/>
      <c r="AA400" s="24"/>
      <c r="AB400" s="24"/>
      <c r="AC400" s="33" t="str">
        <f aca="false">IF(AND(G400&lt;&gt;"",L400&lt;&gt;"",X400&lt;&gt;""),(X400-L400)*1440,"")</f>
        <v/>
      </c>
      <c r="AD400" s="33" t="str">
        <f aca="false">IF(AND(G400&lt;&gt;"",X400&lt;&gt;"",Y400&lt;&gt;""),(Y400-X400)*1440,"")</f>
        <v/>
      </c>
      <c r="AE400" s="33" t="str">
        <f aca="false">IF(AND(G400&lt;&gt;"",Y400&lt;&gt;"",Z400&lt;&gt;""),(Z400-Y400)*1440,"")</f>
        <v/>
      </c>
      <c r="AF400" s="33" t="str">
        <f aca="false">IF(AND(G400&lt;&gt;"",L400&lt;&gt;"",Z400&lt;&gt;""),(Z400-L400)*1440,"")</f>
        <v/>
      </c>
      <c r="AG400" s="33" t="str">
        <f aca="false">IF(G400="","",IFERROR(INDEX(Settings!$D$5:$D$8,MATCH(G400,Settings!$A$5:$A$8,0)),""))</f>
        <v/>
      </c>
      <c r="AH400" s="25" t="str">
        <f aca="false">IF(G400="","",IF(AF400="","No",IF(AF400&lt;=AG400,"Yes","No")))</f>
        <v/>
      </c>
      <c r="AI400" s="25" t="str">
        <f aca="false">IF(G400="","",IF(L400="","N/A - Not Detected",IF(AND(X400="",Y400="",Z400=""),"No Containment Action",IF(Z400="",IF(Y400&lt;&gt;"","C2 Persisted","Host Isolation Gap"),IF(AF400&lt;=AG400,"Contained - Within SLA","Contained - SLA Breach")))))</f>
        <v/>
      </c>
      <c r="AJ400" s="25" t="str">
        <f aca="false">IF(G400="","",IF(Z400&lt;&gt;"",1,0))</f>
        <v/>
      </c>
      <c r="AK400" s="34"/>
      <c r="AL400" s="34"/>
      <c r="AM400" s="35"/>
      <c r="AN400" s="34"/>
      <c r="AO400" s="34"/>
      <c r="AP400" s="35"/>
      <c r="AQ400" s="34"/>
      <c r="AR400" s="34"/>
      <c r="AS400" s="34"/>
      <c r="AT400" s="35"/>
      <c r="AU400" s="35"/>
    </row>
    <row r="401" customFormat="false" ht="15" hidden="false" customHeight="false" outlineLevel="0" collapsed="false">
      <c r="A401" s="24"/>
      <c r="B401" s="24"/>
      <c r="C401" s="24"/>
      <c r="D401" s="24"/>
      <c r="E401" s="24"/>
      <c r="F401" s="24"/>
      <c r="G401" s="24"/>
      <c r="H401" s="24"/>
      <c r="I401" s="32"/>
      <c r="J401" s="32"/>
      <c r="K401" s="32"/>
      <c r="L401" s="32"/>
      <c r="M401" s="24"/>
      <c r="N401" s="24"/>
      <c r="O401" s="24"/>
      <c r="P401" s="33" t="str">
        <f aca="false">IF(AND(G401&lt;&gt;"",I401&lt;&gt;"",J401&lt;&gt;""),(J401-I401)*1440,"")</f>
        <v/>
      </c>
      <c r="Q401" s="33" t="str">
        <f aca="false">IF(AND(G401&lt;&gt;"",J401&lt;&gt;"",K401&lt;&gt;""),(K401-J401)*1440,"")</f>
        <v/>
      </c>
      <c r="R401" s="33" t="str">
        <f aca="false">IF(AND(G401&lt;&gt;"",K401&lt;&gt;"",L401&lt;&gt;""),(L401-K401)*1440,"")</f>
        <v/>
      </c>
      <c r="S401" s="33" t="str">
        <f aca="false">IF(AND(G401&lt;&gt;"",I401&lt;&gt;"",L401&lt;&gt;""),(L401-I401)*1440,"")</f>
        <v/>
      </c>
      <c r="T401" s="33" t="str">
        <f aca="false">IF(G401="","",IFERROR(INDEX(Settings!$B$5:$B$8,MATCH(G401,Settings!$A$5:$A$8,0)),""))</f>
        <v/>
      </c>
      <c r="U401" s="25" t="str">
        <f aca="false">IF(G401="","",IF(S401="","No",IF(S401&lt;=T401,"Yes","No")))</f>
        <v/>
      </c>
      <c r="V401" s="25" t="str">
        <f aca="false">IF(G401="","",IF(AND(J401="",K401="",L401=""),"Telemetry Blind Spot",IF(AND(K401="",L401=""),"Missed Alert",IF(L401="","Triage Delay",IF(S401&lt;=T401,"Detected - Within SLA",IF(AND(R401&lt;&gt;"",R401&gt;IFERROR(INDEX(Settings!$C$5:$C$8,MATCH(G401,Settings!$A$5:$A$8,0)),1E+099)),"Triage Delay","Detected - SLA Breach"))))))</f>
        <v/>
      </c>
      <c r="W401" s="25" t="str">
        <f aca="false">IF(G401="","",IF(L401&lt;&gt;"",1,0))</f>
        <v/>
      </c>
      <c r="X401" s="32"/>
      <c r="Y401" s="32"/>
      <c r="Z401" s="32"/>
      <c r="AA401" s="24"/>
      <c r="AB401" s="24"/>
      <c r="AC401" s="33" t="str">
        <f aca="false">IF(AND(G401&lt;&gt;"",L401&lt;&gt;"",X401&lt;&gt;""),(X401-L401)*1440,"")</f>
        <v/>
      </c>
      <c r="AD401" s="33" t="str">
        <f aca="false">IF(AND(G401&lt;&gt;"",X401&lt;&gt;"",Y401&lt;&gt;""),(Y401-X401)*1440,"")</f>
        <v/>
      </c>
      <c r="AE401" s="33" t="str">
        <f aca="false">IF(AND(G401&lt;&gt;"",Y401&lt;&gt;"",Z401&lt;&gt;""),(Z401-Y401)*1440,"")</f>
        <v/>
      </c>
      <c r="AF401" s="33" t="str">
        <f aca="false">IF(AND(G401&lt;&gt;"",L401&lt;&gt;"",Z401&lt;&gt;""),(Z401-L401)*1440,"")</f>
        <v/>
      </c>
      <c r="AG401" s="33" t="str">
        <f aca="false">IF(G401="","",IFERROR(INDEX(Settings!$D$5:$D$8,MATCH(G401,Settings!$A$5:$A$8,0)),""))</f>
        <v/>
      </c>
      <c r="AH401" s="25" t="str">
        <f aca="false">IF(G401="","",IF(AF401="","No",IF(AF401&lt;=AG401,"Yes","No")))</f>
        <v/>
      </c>
      <c r="AI401" s="25" t="str">
        <f aca="false">IF(G401="","",IF(L401="","N/A - Not Detected",IF(AND(X401="",Y401="",Z401=""),"No Containment Action",IF(Z401="",IF(Y401&lt;&gt;"","C2 Persisted","Host Isolation Gap"),IF(AF401&lt;=AG401,"Contained - Within SLA","Contained - SLA Breach")))))</f>
        <v/>
      </c>
      <c r="AJ401" s="25" t="str">
        <f aca="false">IF(G401="","",IF(Z401&lt;&gt;"",1,0))</f>
        <v/>
      </c>
      <c r="AK401" s="34"/>
      <c r="AL401" s="34"/>
      <c r="AM401" s="35"/>
      <c r="AN401" s="34"/>
      <c r="AO401" s="34"/>
      <c r="AP401" s="35"/>
      <c r="AQ401" s="34"/>
      <c r="AR401" s="34"/>
      <c r="AS401" s="34"/>
      <c r="AT401" s="35"/>
      <c r="AU401" s="35"/>
    </row>
    <row r="402" customFormat="false" ht="15" hidden="false" customHeight="false" outlineLevel="0" collapsed="false">
      <c r="A402" s="24"/>
      <c r="B402" s="24"/>
      <c r="C402" s="24"/>
      <c r="D402" s="24"/>
      <c r="E402" s="24"/>
      <c r="F402" s="24"/>
      <c r="G402" s="24"/>
      <c r="H402" s="24"/>
      <c r="I402" s="32"/>
      <c r="J402" s="32"/>
      <c r="K402" s="32"/>
      <c r="L402" s="32"/>
      <c r="M402" s="24"/>
      <c r="N402" s="24"/>
      <c r="O402" s="24"/>
      <c r="P402" s="33" t="str">
        <f aca="false">IF(AND(G402&lt;&gt;"",I402&lt;&gt;"",J402&lt;&gt;""),(J402-I402)*1440,"")</f>
        <v/>
      </c>
      <c r="Q402" s="33" t="str">
        <f aca="false">IF(AND(G402&lt;&gt;"",J402&lt;&gt;"",K402&lt;&gt;""),(K402-J402)*1440,"")</f>
        <v/>
      </c>
      <c r="R402" s="33" t="str">
        <f aca="false">IF(AND(G402&lt;&gt;"",K402&lt;&gt;"",L402&lt;&gt;""),(L402-K402)*1440,"")</f>
        <v/>
      </c>
      <c r="S402" s="33" t="str">
        <f aca="false">IF(AND(G402&lt;&gt;"",I402&lt;&gt;"",L402&lt;&gt;""),(L402-I402)*1440,"")</f>
        <v/>
      </c>
      <c r="T402" s="33" t="str">
        <f aca="false">IF(G402="","",IFERROR(INDEX(Settings!$B$5:$B$8,MATCH(G402,Settings!$A$5:$A$8,0)),""))</f>
        <v/>
      </c>
      <c r="U402" s="25" t="str">
        <f aca="false">IF(G402="","",IF(S402="","No",IF(S402&lt;=T402,"Yes","No")))</f>
        <v/>
      </c>
      <c r="V402" s="25" t="str">
        <f aca="false">IF(G402="","",IF(AND(J402="",K402="",L402=""),"Telemetry Blind Spot",IF(AND(K402="",L402=""),"Missed Alert",IF(L402="","Triage Delay",IF(S402&lt;=T402,"Detected - Within SLA",IF(AND(R402&lt;&gt;"",R402&gt;IFERROR(INDEX(Settings!$C$5:$C$8,MATCH(G402,Settings!$A$5:$A$8,0)),1E+099)),"Triage Delay","Detected - SLA Breach"))))))</f>
        <v/>
      </c>
      <c r="W402" s="25" t="str">
        <f aca="false">IF(G402="","",IF(L402&lt;&gt;"",1,0))</f>
        <v/>
      </c>
      <c r="X402" s="32"/>
      <c r="Y402" s="32"/>
      <c r="Z402" s="32"/>
      <c r="AA402" s="24"/>
      <c r="AB402" s="24"/>
      <c r="AC402" s="33" t="str">
        <f aca="false">IF(AND(G402&lt;&gt;"",L402&lt;&gt;"",X402&lt;&gt;""),(X402-L402)*1440,"")</f>
        <v/>
      </c>
      <c r="AD402" s="33" t="str">
        <f aca="false">IF(AND(G402&lt;&gt;"",X402&lt;&gt;"",Y402&lt;&gt;""),(Y402-X402)*1440,"")</f>
        <v/>
      </c>
      <c r="AE402" s="33" t="str">
        <f aca="false">IF(AND(G402&lt;&gt;"",Y402&lt;&gt;"",Z402&lt;&gt;""),(Z402-Y402)*1440,"")</f>
        <v/>
      </c>
      <c r="AF402" s="33" t="str">
        <f aca="false">IF(AND(G402&lt;&gt;"",L402&lt;&gt;"",Z402&lt;&gt;""),(Z402-L402)*1440,"")</f>
        <v/>
      </c>
      <c r="AG402" s="33" t="str">
        <f aca="false">IF(G402="","",IFERROR(INDEX(Settings!$D$5:$D$8,MATCH(G402,Settings!$A$5:$A$8,0)),""))</f>
        <v/>
      </c>
      <c r="AH402" s="25" t="str">
        <f aca="false">IF(G402="","",IF(AF402="","No",IF(AF402&lt;=AG402,"Yes","No")))</f>
        <v/>
      </c>
      <c r="AI402" s="25" t="str">
        <f aca="false">IF(G402="","",IF(L402="","N/A - Not Detected",IF(AND(X402="",Y402="",Z402=""),"No Containment Action",IF(Z402="",IF(Y402&lt;&gt;"","C2 Persisted","Host Isolation Gap"),IF(AF402&lt;=AG402,"Contained - Within SLA","Contained - SLA Breach")))))</f>
        <v/>
      </c>
      <c r="AJ402" s="25" t="str">
        <f aca="false">IF(G402="","",IF(Z402&lt;&gt;"",1,0))</f>
        <v/>
      </c>
      <c r="AK402" s="34"/>
      <c r="AL402" s="34"/>
      <c r="AM402" s="35"/>
      <c r="AN402" s="34"/>
      <c r="AO402" s="34"/>
      <c r="AP402" s="35"/>
      <c r="AQ402" s="34"/>
      <c r="AR402" s="34"/>
      <c r="AS402" s="34"/>
      <c r="AT402" s="35"/>
      <c r="AU402" s="35"/>
    </row>
    <row r="403" customFormat="false" ht="15" hidden="false" customHeight="false" outlineLevel="0" collapsed="false">
      <c r="A403" s="24"/>
      <c r="B403" s="24"/>
      <c r="C403" s="24"/>
      <c r="D403" s="24"/>
      <c r="E403" s="24"/>
      <c r="F403" s="24"/>
      <c r="G403" s="24"/>
      <c r="H403" s="24"/>
      <c r="I403" s="32"/>
      <c r="J403" s="32"/>
      <c r="K403" s="32"/>
      <c r="L403" s="32"/>
      <c r="M403" s="24"/>
      <c r="N403" s="24"/>
      <c r="O403" s="24"/>
      <c r="P403" s="33" t="str">
        <f aca="false">IF(AND(G403&lt;&gt;"",I403&lt;&gt;"",J403&lt;&gt;""),(J403-I403)*1440,"")</f>
        <v/>
      </c>
      <c r="Q403" s="33" t="str">
        <f aca="false">IF(AND(G403&lt;&gt;"",J403&lt;&gt;"",K403&lt;&gt;""),(K403-J403)*1440,"")</f>
        <v/>
      </c>
      <c r="R403" s="33" t="str">
        <f aca="false">IF(AND(G403&lt;&gt;"",K403&lt;&gt;"",L403&lt;&gt;""),(L403-K403)*1440,"")</f>
        <v/>
      </c>
      <c r="S403" s="33" t="str">
        <f aca="false">IF(AND(G403&lt;&gt;"",I403&lt;&gt;"",L403&lt;&gt;""),(L403-I403)*1440,"")</f>
        <v/>
      </c>
      <c r="T403" s="33" t="str">
        <f aca="false">IF(G403="","",IFERROR(INDEX(Settings!$B$5:$B$8,MATCH(G403,Settings!$A$5:$A$8,0)),""))</f>
        <v/>
      </c>
      <c r="U403" s="25" t="str">
        <f aca="false">IF(G403="","",IF(S403="","No",IF(S403&lt;=T403,"Yes","No")))</f>
        <v/>
      </c>
      <c r="V403" s="25" t="str">
        <f aca="false">IF(G403="","",IF(AND(J403="",K403="",L403=""),"Telemetry Blind Spot",IF(AND(K403="",L403=""),"Missed Alert",IF(L403="","Triage Delay",IF(S403&lt;=T403,"Detected - Within SLA",IF(AND(R403&lt;&gt;"",R403&gt;IFERROR(INDEX(Settings!$C$5:$C$8,MATCH(G403,Settings!$A$5:$A$8,0)),1E+099)),"Triage Delay","Detected - SLA Breach"))))))</f>
        <v/>
      </c>
      <c r="W403" s="25" t="str">
        <f aca="false">IF(G403="","",IF(L403&lt;&gt;"",1,0))</f>
        <v/>
      </c>
      <c r="X403" s="32"/>
      <c r="Y403" s="32"/>
      <c r="Z403" s="32"/>
      <c r="AA403" s="24"/>
      <c r="AB403" s="24"/>
      <c r="AC403" s="33" t="str">
        <f aca="false">IF(AND(G403&lt;&gt;"",L403&lt;&gt;"",X403&lt;&gt;""),(X403-L403)*1440,"")</f>
        <v/>
      </c>
      <c r="AD403" s="33" t="str">
        <f aca="false">IF(AND(G403&lt;&gt;"",X403&lt;&gt;"",Y403&lt;&gt;""),(Y403-X403)*1440,"")</f>
        <v/>
      </c>
      <c r="AE403" s="33" t="str">
        <f aca="false">IF(AND(G403&lt;&gt;"",Y403&lt;&gt;"",Z403&lt;&gt;""),(Z403-Y403)*1440,"")</f>
        <v/>
      </c>
      <c r="AF403" s="33" t="str">
        <f aca="false">IF(AND(G403&lt;&gt;"",L403&lt;&gt;"",Z403&lt;&gt;""),(Z403-L403)*1440,"")</f>
        <v/>
      </c>
      <c r="AG403" s="33" t="str">
        <f aca="false">IF(G403="","",IFERROR(INDEX(Settings!$D$5:$D$8,MATCH(G403,Settings!$A$5:$A$8,0)),""))</f>
        <v/>
      </c>
      <c r="AH403" s="25" t="str">
        <f aca="false">IF(G403="","",IF(AF403="","No",IF(AF403&lt;=AG403,"Yes","No")))</f>
        <v/>
      </c>
      <c r="AI403" s="25" t="str">
        <f aca="false">IF(G403="","",IF(L403="","N/A - Not Detected",IF(AND(X403="",Y403="",Z403=""),"No Containment Action",IF(Z403="",IF(Y403&lt;&gt;"","C2 Persisted","Host Isolation Gap"),IF(AF403&lt;=AG403,"Contained - Within SLA","Contained - SLA Breach")))))</f>
        <v/>
      </c>
      <c r="AJ403" s="25" t="str">
        <f aca="false">IF(G403="","",IF(Z403&lt;&gt;"",1,0))</f>
        <v/>
      </c>
      <c r="AK403" s="34"/>
      <c r="AL403" s="34"/>
      <c r="AM403" s="35"/>
      <c r="AN403" s="34"/>
      <c r="AO403" s="34"/>
      <c r="AP403" s="35"/>
      <c r="AQ403" s="34"/>
      <c r="AR403" s="34"/>
      <c r="AS403" s="34"/>
      <c r="AT403" s="35"/>
      <c r="AU403" s="35"/>
    </row>
    <row r="404" customFormat="false" ht="15" hidden="false" customHeight="false" outlineLevel="0" collapsed="false">
      <c r="A404" s="24"/>
      <c r="B404" s="24"/>
      <c r="C404" s="24"/>
      <c r="D404" s="24"/>
      <c r="E404" s="24"/>
      <c r="F404" s="24"/>
      <c r="G404" s="24"/>
      <c r="H404" s="24"/>
      <c r="I404" s="32"/>
      <c r="J404" s="32"/>
      <c r="K404" s="32"/>
      <c r="L404" s="32"/>
      <c r="M404" s="24"/>
      <c r="N404" s="24"/>
      <c r="O404" s="24"/>
      <c r="P404" s="33" t="str">
        <f aca="false">IF(AND(G404&lt;&gt;"",I404&lt;&gt;"",J404&lt;&gt;""),(J404-I404)*1440,"")</f>
        <v/>
      </c>
      <c r="Q404" s="33" t="str">
        <f aca="false">IF(AND(G404&lt;&gt;"",J404&lt;&gt;"",K404&lt;&gt;""),(K404-J404)*1440,"")</f>
        <v/>
      </c>
      <c r="R404" s="33" t="str">
        <f aca="false">IF(AND(G404&lt;&gt;"",K404&lt;&gt;"",L404&lt;&gt;""),(L404-K404)*1440,"")</f>
        <v/>
      </c>
      <c r="S404" s="33" t="str">
        <f aca="false">IF(AND(G404&lt;&gt;"",I404&lt;&gt;"",L404&lt;&gt;""),(L404-I404)*1440,"")</f>
        <v/>
      </c>
      <c r="T404" s="33" t="str">
        <f aca="false">IF(G404="","",IFERROR(INDEX(Settings!$B$5:$B$8,MATCH(G404,Settings!$A$5:$A$8,0)),""))</f>
        <v/>
      </c>
      <c r="U404" s="25" t="str">
        <f aca="false">IF(G404="","",IF(S404="","No",IF(S404&lt;=T404,"Yes","No")))</f>
        <v/>
      </c>
      <c r="V404" s="25" t="str">
        <f aca="false">IF(G404="","",IF(AND(J404="",K404="",L404=""),"Telemetry Blind Spot",IF(AND(K404="",L404=""),"Missed Alert",IF(L404="","Triage Delay",IF(S404&lt;=T404,"Detected - Within SLA",IF(AND(R404&lt;&gt;"",R404&gt;IFERROR(INDEX(Settings!$C$5:$C$8,MATCH(G404,Settings!$A$5:$A$8,0)),1E+099)),"Triage Delay","Detected - SLA Breach"))))))</f>
        <v/>
      </c>
      <c r="W404" s="25" t="str">
        <f aca="false">IF(G404="","",IF(L404&lt;&gt;"",1,0))</f>
        <v/>
      </c>
      <c r="X404" s="32"/>
      <c r="Y404" s="32"/>
      <c r="Z404" s="32"/>
      <c r="AA404" s="24"/>
      <c r="AB404" s="24"/>
      <c r="AC404" s="33" t="str">
        <f aca="false">IF(AND(G404&lt;&gt;"",L404&lt;&gt;"",X404&lt;&gt;""),(X404-L404)*1440,"")</f>
        <v/>
      </c>
      <c r="AD404" s="33" t="str">
        <f aca="false">IF(AND(G404&lt;&gt;"",X404&lt;&gt;"",Y404&lt;&gt;""),(Y404-X404)*1440,"")</f>
        <v/>
      </c>
      <c r="AE404" s="33" t="str">
        <f aca="false">IF(AND(G404&lt;&gt;"",Y404&lt;&gt;"",Z404&lt;&gt;""),(Z404-Y404)*1440,"")</f>
        <v/>
      </c>
      <c r="AF404" s="33" t="str">
        <f aca="false">IF(AND(G404&lt;&gt;"",L404&lt;&gt;"",Z404&lt;&gt;""),(Z404-L404)*1440,"")</f>
        <v/>
      </c>
      <c r="AG404" s="33" t="str">
        <f aca="false">IF(G404="","",IFERROR(INDEX(Settings!$D$5:$D$8,MATCH(G404,Settings!$A$5:$A$8,0)),""))</f>
        <v/>
      </c>
      <c r="AH404" s="25" t="str">
        <f aca="false">IF(G404="","",IF(AF404="","No",IF(AF404&lt;=AG404,"Yes","No")))</f>
        <v/>
      </c>
      <c r="AI404" s="25" t="str">
        <f aca="false">IF(G404="","",IF(L404="","N/A - Not Detected",IF(AND(X404="",Y404="",Z404=""),"No Containment Action",IF(Z404="",IF(Y404&lt;&gt;"","C2 Persisted","Host Isolation Gap"),IF(AF404&lt;=AG404,"Contained - Within SLA","Contained - SLA Breach")))))</f>
        <v/>
      </c>
      <c r="AJ404" s="25" t="str">
        <f aca="false">IF(G404="","",IF(Z404&lt;&gt;"",1,0))</f>
        <v/>
      </c>
      <c r="AK404" s="34"/>
      <c r="AL404" s="34"/>
      <c r="AM404" s="35"/>
      <c r="AN404" s="34"/>
      <c r="AO404" s="34"/>
      <c r="AP404" s="35"/>
      <c r="AQ404" s="34"/>
      <c r="AR404" s="34"/>
      <c r="AS404" s="34"/>
      <c r="AT404" s="35"/>
      <c r="AU404" s="35"/>
    </row>
    <row r="405" customFormat="false" ht="15" hidden="false" customHeight="false" outlineLevel="0" collapsed="false">
      <c r="A405" s="24"/>
      <c r="B405" s="24"/>
      <c r="C405" s="24"/>
      <c r="D405" s="24"/>
      <c r="E405" s="24"/>
      <c r="F405" s="24"/>
      <c r="G405" s="24"/>
      <c r="H405" s="24"/>
      <c r="I405" s="32"/>
      <c r="J405" s="32"/>
      <c r="K405" s="32"/>
      <c r="L405" s="32"/>
      <c r="M405" s="24"/>
      <c r="N405" s="24"/>
      <c r="O405" s="24"/>
      <c r="P405" s="33" t="str">
        <f aca="false">IF(AND(G405&lt;&gt;"",I405&lt;&gt;"",J405&lt;&gt;""),(J405-I405)*1440,"")</f>
        <v/>
      </c>
      <c r="Q405" s="33" t="str">
        <f aca="false">IF(AND(G405&lt;&gt;"",J405&lt;&gt;"",K405&lt;&gt;""),(K405-J405)*1440,"")</f>
        <v/>
      </c>
      <c r="R405" s="33" t="str">
        <f aca="false">IF(AND(G405&lt;&gt;"",K405&lt;&gt;"",L405&lt;&gt;""),(L405-K405)*1440,"")</f>
        <v/>
      </c>
      <c r="S405" s="33" t="str">
        <f aca="false">IF(AND(G405&lt;&gt;"",I405&lt;&gt;"",L405&lt;&gt;""),(L405-I405)*1440,"")</f>
        <v/>
      </c>
      <c r="T405" s="33" t="str">
        <f aca="false">IF(G405="","",IFERROR(INDEX(Settings!$B$5:$B$8,MATCH(G405,Settings!$A$5:$A$8,0)),""))</f>
        <v/>
      </c>
      <c r="U405" s="25" t="str">
        <f aca="false">IF(G405="","",IF(S405="","No",IF(S405&lt;=T405,"Yes","No")))</f>
        <v/>
      </c>
      <c r="V405" s="25" t="str">
        <f aca="false">IF(G405="","",IF(AND(J405="",K405="",L405=""),"Telemetry Blind Spot",IF(AND(K405="",L405=""),"Missed Alert",IF(L405="","Triage Delay",IF(S405&lt;=T405,"Detected - Within SLA",IF(AND(R405&lt;&gt;"",R405&gt;IFERROR(INDEX(Settings!$C$5:$C$8,MATCH(G405,Settings!$A$5:$A$8,0)),1E+099)),"Triage Delay","Detected - SLA Breach"))))))</f>
        <v/>
      </c>
      <c r="W405" s="25" t="str">
        <f aca="false">IF(G405="","",IF(L405&lt;&gt;"",1,0))</f>
        <v/>
      </c>
      <c r="X405" s="32"/>
      <c r="Y405" s="32"/>
      <c r="Z405" s="32"/>
      <c r="AA405" s="24"/>
      <c r="AB405" s="24"/>
      <c r="AC405" s="33" t="str">
        <f aca="false">IF(AND(G405&lt;&gt;"",L405&lt;&gt;"",X405&lt;&gt;""),(X405-L405)*1440,"")</f>
        <v/>
      </c>
      <c r="AD405" s="33" t="str">
        <f aca="false">IF(AND(G405&lt;&gt;"",X405&lt;&gt;"",Y405&lt;&gt;""),(Y405-X405)*1440,"")</f>
        <v/>
      </c>
      <c r="AE405" s="33" t="str">
        <f aca="false">IF(AND(G405&lt;&gt;"",Y405&lt;&gt;"",Z405&lt;&gt;""),(Z405-Y405)*1440,"")</f>
        <v/>
      </c>
      <c r="AF405" s="33" t="str">
        <f aca="false">IF(AND(G405&lt;&gt;"",L405&lt;&gt;"",Z405&lt;&gt;""),(Z405-L405)*1440,"")</f>
        <v/>
      </c>
      <c r="AG405" s="33" t="str">
        <f aca="false">IF(G405="","",IFERROR(INDEX(Settings!$D$5:$D$8,MATCH(G405,Settings!$A$5:$A$8,0)),""))</f>
        <v/>
      </c>
      <c r="AH405" s="25" t="str">
        <f aca="false">IF(G405="","",IF(AF405="","No",IF(AF405&lt;=AG405,"Yes","No")))</f>
        <v/>
      </c>
      <c r="AI405" s="25" t="str">
        <f aca="false">IF(G405="","",IF(L405="","N/A - Not Detected",IF(AND(X405="",Y405="",Z405=""),"No Containment Action",IF(Z405="",IF(Y405&lt;&gt;"","C2 Persisted","Host Isolation Gap"),IF(AF405&lt;=AG405,"Contained - Within SLA","Contained - SLA Breach")))))</f>
        <v/>
      </c>
      <c r="AJ405" s="25" t="str">
        <f aca="false">IF(G405="","",IF(Z405&lt;&gt;"",1,0))</f>
        <v/>
      </c>
      <c r="AK405" s="34"/>
      <c r="AL405" s="34"/>
      <c r="AM405" s="35"/>
      <c r="AN405" s="34"/>
      <c r="AO405" s="34"/>
      <c r="AP405" s="35"/>
      <c r="AQ405" s="34"/>
      <c r="AR405" s="34"/>
      <c r="AS405" s="34"/>
      <c r="AT405" s="35"/>
      <c r="AU405" s="35"/>
    </row>
    <row r="406" customFormat="false" ht="15" hidden="false" customHeight="false" outlineLevel="0" collapsed="false">
      <c r="A406" s="24"/>
      <c r="B406" s="24"/>
      <c r="C406" s="24"/>
      <c r="D406" s="24"/>
      <c r="E406" s="24"/>
      <c r="F406" s="24"/>
      <c r="G406" s="24"/>
      <c r="H406" s="24"/>
      <c r="I406" s="32"/>
      <c r="J406" s="32"/>
      <c r="K406" s="32"/>
      <c r="L406" s="32"/>
      <c r="M406" s="24"/>
      <c r="N406" s="24"/>
      <c r="O406" s="24"/>
      <c r="P406" s="33" t="str">
        <f aca="false">IF(AND(G406&lt;&gt;"",I406&lt;&gt;"",J406&lt;&gt;""),(J406-I406)*1440,"")</f>
        <v/>
      </c>
      <c r="Q406" s="33" t="str">
        <f aca="false">IF(AND(G406&lt;&gt;"",J406&lt;&gt;"",K406&lt;&gt;""),(K406-J406)*1440,"")</f>
        <v/>
      </c>
      <c r="R406" s="33" t="str">
        <f aca="false">IF(AND(G406&lt;&gt;"",K406&lt;&gt;"",L406&lt;&gt;""),(L406-K406)*1440,"")</f>
        <v/>
      </c>
      <c r="S406" s="33" t="str">
        <f aca="false">IF(AND(G406&lt;&gt;"",I406&lt;&gt;"",L406&lt;&gt;""),(L406-I406)*1440,"")</f>
        <v/>
      </c>
      <c r="T406" s="33" t="str">
        <f aca="false">IF(G406="","",IFERROR(INDEX(Settings!$B$5:$B$8,MATCH(G406,Settings!$A$5:$A$8,0)),""))</f>
        <v/>
      </c>
      <c r="U406" s="25" t="str">
        <f aca="false">IF(G406="","",IF(S406="","No",IF(S406&lt;=T406,"Yes","No")))</f>
        <v/>
      </c>
      <c r="V406" s="25" t="str">
        <f aca="false">IF(G406="","",IF(AND(J406="",K406="",L406=""),"Telemetry Blind Spot",IF(AND(K406="",L406=""),"Missed Alert",IF(L406="","Triage Delay",IF(S406&lt;=T406,"Detected - Within SLA",IF(AND(R406&lt;&gt;"",R406&gt;IFERROR(INDEX(Settings!$C$5:$C$8,MATCH(G406,Settings!$A$5:$A$8,0)),1E+099)),"Triage Delay","Detected - SLA Breach"))))))</f>
        <v/>
      </c>
      <c r="W406" s="25" t="str">
        <f aca="false">IF(G406="","",IF(L406&lt;&gt;"",1,0))</f>
        <v/>
      </c>
      <c r="X406" s="32"/>
      <c r="Y406" s="32"/>
      <c r="Z406" s="32"/>
      <c r="AA406" s="24"/>
      <c r="AB406" s="24"/>
      <c r="AC406" s="33" t="str">
        <f aca="false">IF(AND(G406&lt;&gt;"",L406&lt;&gt;"",X406&lt;&gt;""),(X406-L406)*1440,"")</f>
        <v/>
      </c>
      <c r="AD406" s="33" t="str">
        <f aca="false">IF(AND(G406&lt;&gt;"",X406&lt;&gt;"",Y406&lt;&gt;""),(Y406-X406)*1440,"")</f>
        <v/>
      </c>
      <c r="AE406" s="33" t="str">
        <f aca="false">IF(AND(G406&lt;&gt;"",Y406&lt;&gt;"",Z406&lt;&gt;""),(Z406-Y406)*1440,"")</f>
        <v/>
      </c>
      <c r="AF406" s="33" t="str">
        <f aca="false">IF(AND(G406&lt;&gt;"",L406&lt;&gt;"",Z406&lt;&gt;""),(Z406-L406)*1440,"")</f>
        <v/>
      </c>
      <c r="AG406" s="33" t="str">
        <f aca="false">IF(G406="","",IFERROR(INDEX(Settings!$D$5:$D$8,MATCH(G406,Settings!$A$5:$A$8,0)),""))</f>
        <v/>
      </c>
      <c r="AH406" s="25" t="str">
        <f aca="false">IF(G406="","",IF(AF406="","No",IF(AF406&lt;=AG406,"Yes","No")))</f>
        <v/>
      </c>
      <c r="AI406" s="25" t="str">
        <f aca="false">IF(G406="","",IF(L406="","N/A - Not Detected",IF(AND(X406="",Y406="",Z406=""),"No Containment Action",IF(Z406="",IF(Y406&lt;&gt;"","C2 Persisted","Host Isolation Gap"),IF(AF406&lt;=AG406,"Contained - Within SLA","Contained - SLA Breach")))))</f>
        <v/>
      </c>
      <c r="AJ406" s="25" t="str">
        <f aca="false">IF(G406="","",IF(Z406&lt;&gt;"",1,0))</f>
        <v/>
      </c>
      <c r="AK406" s="34"/>
      <c r="AL406" s="34"/>
      <c r="AM406" s="35"/>
      <c r="AN406" s="34"/>
      <c r="AO406" s="34"/>
      <c r="AP406" s="35"/>
      <c r="AQ406" s="34"/>
      <c r="AR406" s="34"/>
      <c r="AS406" s="34"/>
      <c r="AT406" s="35"/>
      <c r="AU406" s="35"/>
    </row>
    <row r="407" customFormat="false" ht="15" hidden="false" customHeight="false" outlineLevel="0" collapsed="false">
      <c r="A407" s="24"/>
      <c r="B407" s="24"/>
      <c r="C407" s="24"/>
      <c r="D407" s="24"/>
      <c r="E407" s="24"/>
      <c r="F407" s="24"/>
      <c r="G407" s="24"/>
      <c r="H407" s="24"/>
      <c r="I407" s="32"/>
      <c r="J407" s="32"/>
      <c r="K407" s="32"/>
      <c r="L407" s="32"/>
      <c r="M407" s="24"/>
      <c r="N407" s="24"/>
      <c r="O407" s="24"/>
      <c r="P407" s="33" t="str">
        <f aca="false">IF(AND(G407&lt;&gt;"",I407&lt;&gt;"",J407&lt;&gt;""),(J407-I407)*1440,"")</f>
        <v/>
      </c>
      <c r="Q407" s="33" t="str">
        <f aca="false">IF(AND(G407&lt;&gt;"",J407&lt;&gt;"",K407&lt;&gt;""),(K407-J407)*1440,"")</f>
        <v/>
      </c>
      <c r="R407" s="33" t="str">
        <f aca="false">IF(AND(G407&lt;&gt;"",K407&lt;&gt;"",L407&lt;&gt;""),(L407-K407)*1440,"")</f>
        <v/>
      </c>
      <c r="S407" s="33" t="str">
        <f aca="false">IF(AND(G407&lt;&gt;"",I407&lt;&gt;"",L407&lt;&gt;""),(L407-I407)*1440,"")</f>
        <v/>
      </c>
      <c r="T407" s="33" t="str">
        <f aca="false">IF(G407="","",IFERROR(INDEX(Settings!$B$5:$B$8,MATCH(G407,Settings!$A$5:$A$8,0)),""))</f>
        <v/>
      </c>
      <c r="U407" s="25" t="str">
        <f aca="false">IF(G407="","",IF(S407="","No",IF(S407&lt;=T407,"Yes","No")))</f>
        <v/>
      </c>
      <c r="V407" s="25" t="str">
        <f aca="false">IF(G407="","",IF(AND(J407="",K407="",L407=""),"Telemetry Blind Spot",IF(AND(K407="",L407=""),"Missed Alert",IF(L407="","Triage Delay",IF(S407&lt;=T407,"Detected - Within SLA",IF(AND(R407&lt;&gt;"",R407&gt;IFERROR(INDEX(Settings!$C$5:$C$8,MATCH(G407,Settings!$A$5:$A$8,0)),1E+099)),"Triage Delay","Detected - SLA Breach"))))))</f>
        <v/>
      </c>
      <c r="W407" s="25" t="str">
        <f aca="false">IF(G407="","",IF(L407&lt;&gt;"",1,0))</f>
        <v/>
      </c>
      <c r="X407" s="32"/>
      <c r="Y407" s="32"/>
      <c r="Z407" s="32"/>
      <c r="AA407" s="24"/>
      <c r="AB407" s="24"/>
      <c r="AC407" s="33" t="str">
        <f aca="false">IF(AND(G407&lt;&gt;"",L407&lt;&gt;"",X407&lt;&gt;""),(X407-L407)*1440,"")</f>
        <v/>
      </c>
      <c r="AD407" s="33" t="str">
        <f aca="false">IF(AND(G407&lt;&gt;"",X407&lt;&gt;"",Y407&lt;&gt;""),(Y407-X407)*1440,"")</f>
        <v/>
      </c>
      <c r="AE407" s="33" t="str">
        <f aca="false">IF(AND(G407&lt;&gt;"",Y407&lt;&gt;"",Z407&lt;&gt;""),(Z407-Y407)*1440,"")</f>
        <v/>
      </c>
      <c r="AF407" s="33" t="str">
        <f aca="false">IF(AND(G407&lt;&gt;"",L407&lt;&gt;"",Z407&lt;&gt;""),(Z407-L407)*1440,"")</f>
        <v/>
      </c>
      <c r="AG407" s="33" t="str">
        <f aca="false">IF(G407="","",IFERROR(INDEX(Settings!$D$5:$D$8,MATCH(G407,Settings!$A$5:$A$8,0)),""))</f>
        <v/>
      </c>
      <c r="AH407" s="25" t="str">
        <f aca="false">IF(G407="","",IF(AF407="","No",IF(AF407&lt;=AG407,"Yes","No")))</f>
        <v/>
      </c>
      <c r="AI407" s="25" t="str">
        <f aca="false">IF(G407="","",IF(L407="","N/A - Not Detected",IF(AND(X407="",Y407="",Z407=""),"No Containment Action",IF(Z407="",IF(Y407&lt;&gt;"","C2 Persisted","Host Isolation Gap"),IF(AF407&lt;=AG407,"Contained - Within SLA","Contained - SLA Breach")))))</f>
        <v/>
      </c>
      <c r="AJ407" s="25" t="str">
        <f aca="false">IF(G407="","",IF(Z407&lt;&gt;"",1,0))</f>
        <v/>
      </c>
      <c r="AK407" s="34"/>
      <c r="AL407" s="34"/>
      <c r="AM407" s="35"/>
      <c r="AN407" s="34"/>
      <c r="AO407" s="34"/>
      <c r="AP407" s="35"/>
      <c r="AQ407" s="34"/>
      <c r="AR407" s="34"/>
      <c r="AS407" s="34"/>
      <c r="AT407" s="35"/>
      <c r="AU407" s="35"/>
    </row>
    <row r="408" customFormat="false" ht="15" hidden="false" customHeight="false" outlineLevel="0" collapsed="false">
      <c r="A408" s="24"/>
      <c r="B408" s="24"/>
      <c r="C408" s="24"/>
      <c r="D408" s="24"/>
      <c r="E408" s="24"/>
      <c r="F408" s="24"/>
      <c r="G408" s="24"/>
      <c r="H408" s="24"/>
      <c r="I408" s="32"/>
      <c r="J408" s="32"/>
      <c r="K408" s="32"/>
      <c r="L408" s="32"/>
      <c r="M408" s="24"/>
      <c r="N408" s="24"/>
      <c r="O408" s="24"/>
      <c r="P408" s="33" t="str">
        <f aca="false">IF(AND(G408&lt;&gt;"",I408&lt;&gt;"",J408&lt;&gt;""),(J408-I408)*1440,"")</f>
        <v/>
      </c>
      <c r="Q408" s="33" t="str">
        <f aca="false">IF(AND(G408&lt;&gt;"",J408&lt;&gt;"",K408&lt;&gt;""),(K408-J408)*1440,"")</f>
        <v/>
      </c>
      <c r="R408" s="33" t="str">
        <f aca="false">IF(AND(G408&lt;&gt;"",K408&lt;&gt;"",L408&lt;&gt;""),(L408-K408)*1440,"")</f>
        <v/>
      </c>
      <c r="S408" s="33" t="str">
        <f aca="false">IF(AND(G408&lt;&gt;"",I408&lt;&gt;"",L408&lt;&gt;""),(L408-I408)*1440,"")</f>
        <v/>
      </c>
      <c r="T408" s="33" t="str">
        <f aca="false">IF(G408="","",IFERROR(INDEX(Settings!$B$5:$B$8,MATCH(G408,Settings!$A$5:$A$8,0)),""))</f>
        <v/>
      </c>
      <c r="U408" s="25" t="str">
        <f aca="false">IF(G408="","",IF(S408="","No",IF(S408&lt;=T408,"Yes","No")))</f>
        <v/>
      </c>
      <c r="V408" s="25" t="str">
        <f aca="false">IF(G408="","",IF(AND(J408="",K408="",L408=""),"Telemetry Blind Spot",IF(AND(K408="",L408=""),"Missed Alert",IF(L408="","Triage Delay",IF(S408&lt;=T408,"Detected - Within SLA",IF(AND(R408&lt;&gt;"",R408&gt;IFERROR(INDEX(Settings!$C$5:$C$8,MATCH(G408,Settings!$A$5:$A$8,0)),1E+099)),"Triage Delay","Detected - SLA Breach"))))))</f>
        <v/>
      </c>
      <c r="W408" s="25" t="str">
        <f aca="false">IF(G408="","",IF(L408&lt;&gt;"",1,0))</f>
        <v/>
      </c>
      <c r="X408" s="32"/>
      <c r="Y408" s="32"/>
      <c r="Z408" s="32"/>
      <c r="AA408" s="24"/>
      <c r="AB408" s="24"/>
      <c r="AC408" s="33" t="str">
        <f aca="false">IF(AND(G408&lt;&gt;"",L408&lt;&gt;"",X408&lt;&gt;""),(X408-L408)*1440,"")</f>
        <v/>
      </c>
      <c r="AD408" s="33" t="str">
        <f aca="false">IF(AND(G408&lt;&gt;"",X408&lt;&gt;"",Y408&lt;&gt;""),(Y408-X408)*1440,"")</f>
        <v/>
      </c>
      <c r="AE408" s="33" t="str">
        <f aca="false">IF(AND(G408&lt;&gt;"",Y408&lt;&gt;"",Z408&lt;&gt;""),(Z408-Y408)*1440,"")</f>
        <v/>
      </c>
      <c r="AF408" s="33" t="str">
        <f aca="false">IF(AND(G408&lt;&gt;"",L408&lt;&gt;"",Z408&lt;&gt;""),(Z408-L408)*1440,"")</f>
        <v/>
      </c>
      <c r="AG408" s="33" t="str">
        <f aca="false">IF(G408="","",IFERROR(INDEX(Settings!$D$5:$D$8,MATCH(G408,Settings!$A$5:$A$8,0)),""))</f>
        <v/>
      </c>
      <c r="AH408" s="25" t="str">
        <f aca="false">IF(G408="","",IF(AF408="","No",IF(AF408&lt;=AG408,"Yes","No")))</f>
        <v/>
      </c>
      <c r="AI408" s="25" t="str">
        <f aca="false">IF(G408="","",IF(L408="","N/A - Not Detected",IF(AND(X408="",Y408="",Z408=""),"No Containment Action",IF(Z408="",IF(Y408&lt;&gt;"","C2 Persisted","Host Isolation Gap"),IF(AF408&lt;=AG408,"Contained - Within SLA","Contained - SLA Breach")))))</f>
        <v/>
      </c>
      <c r="AJ408" s="25" t="str">
        <f aca="false">IF(G408="","",IF(Z408&lt;&gt;"",1,0))</f>
        <v/>
      </c>
      <c r="AK408" s="34"/>
      <c r="AL408" s="34"/>
      <c r="AM408" s="35"/>
      <c r="AN408" s="34"/>
      <c r="AO408" s="34"/>
      <c r="AP408" s="35"/>
      <c r="AQ408" s="34"/>
      <c r="AR408" s="34"/>
      <c r="AS408" s="34"/>
      <c r="AT408" s="35"/>
      <c r="AU408" s="35"/>
    </row>
    <row r="409" customFormat="false" ht="15" hidden="false" customHeight="false" outlineLevel="0" collapsed="false">
      <c r="A409" s="24"/>
      <c r="B409" s="24"/>
      <c r="C409" s="24"/>
      <c r="D409" s="24"/>
      <c r="E409" s="24"/>
      <c r="F409" s="24"/>
      <c r="G409" s="24"/>
      <c r="H409" s="24"/>
      <c r="I409" s="32"/>
      <c r="J409" s="32"/>
      <c r="K409" s="32"/>
      <c r="L409" s="32"/>
      <c r="M409" s="24"/>
      <c r="N409" s="24"/>
      <c r="O409" s="24"/>
      <c r="P409" s="33" t="str">
        <f aca="false">IF(AND(G409&lt;&gt;"",I409&lt;&gt;"",J409&lt;&gt;""),(J409-I409)*1440,"")</f>
        <v/>
      </c>
      <c r="Q409" s="33" t="str">
        <f aca="false">IF(AND(G409&lt;&gt;"",J409&lt;&gt;"",K409&lt;&gt;""),(K409-J409)*1440,"")</f>
        <v/>
      </c>
      <c r="R409" s="33" t="str">
        <f aca="false">IF(AND(G409&lt;&gt;"",K409&lt;&gt;"",L409&lt;&gt;""),(L409-K409)*1440,"")</f>
        <v/>
      </c>
      <c r="S409" s="33" t="str">
        <f aca="false">IF(AND(G409&lt;&gt;"",I409&lt;&gt;"",L409&lt;&gt;""),(L409-I409)*1440,"")</f>
        <v/>
      </c>
      <c r="T409" s="33" t="str">
        <f aca="false">IF(G409="","",IFERROR(INDEX(Settings!$B$5:$B$8,MATCH(G409,Settings!$A$5:$A$8,0)),""))</f>
        <v/>
      </c>
      <c r="U409" s="25" t="str">
        <f aca="false">IF(G409="","",IF(S409="","No",IF(S409&lt;=T409,"Yes","No")))</f>
        <v/>
      </c>
      <c r="V409" s="25" t="str">
        <f aca="false">IF(G409="","",IF(AND(J409="",K409="",L409=""),"Telemetry Blind Spot",IF(AND(K409="",L409=""),"Missed Alert",IF(L409="","Triage Delay",IF(S409&lt;=T409,"Detected - Within SLA",IF(AND(R409&lt;&gt;"",R409&gt;IFERROR(INDEX(Settings!$C$5:$C$8,MATCH(G409,Settings!$A$5:$A$8,0)),1E+099)),"Triage Delay","Detected - SLA Breach"))))))</f>
        <v/>
      </c>
      <c r="W409" s="25" t="str">
        <f aca="false">IF(G409="","",IF(L409&lt;&gt;"",1,0))</f>
        <v/>
      </c>
      <c r="X409" s="32"/>
      <c r="Y409" s="32"/>
      <c r="Z409" s="32"/>
      <c r="AA409" s="24"/>
      <c r="AB409" s="24"/>
      <c r="AC409" s="33" t="str">
        <f aca="false">IF(AND(G409&lt;&gt;"",L409&lt;&gt;"",X409&lt;&gt;""),(X409-L409)*1440,"")</f>
        <v/>
      </c>
      <c r="AD409" s="33" t="str">
        <f aca="false">IF(AND(G409&lt;&gt;"",X409&lt;&gt;"",Y409&lt;&gt;""),(Y409-X409)*1440,"")</f>
        <v/>
      </c>
      <c r="AE409" s="33" t="str">
        <f aca="false">IF(AND(G409&lt;&gt;"",Y409&lt;&gt;"",Z409&lt;&gt;""),(Z409-Y409)*1440,"")</f>
        <v/>
      </c>
      <c r="AF409" s="33" t="str">
        <f aca="false">IF(AND(G409&lt;&gt;"",L409&lt;&gt;"",Z409&lt;&gt;""),(Z409-L409)*1440,"")</f>
        <v/>
      </c>
      <c r="AG409" s="33" t="str">
        <f aca="false">IF(G409="","",IFERROR(INDEX(Settings!$D$5:$D$8,MATCH(G409,Settings!$A$5:$A$8,0)),""))</f>
        <v/>
      </c>
      <c r="AH409" s="25" t="str">
        <f aca="false">IF(G409="","",IF(AF409="","No",IF(AF409&lt;=AG409,"Yes","No")))</f>
        <v/>
      </c>
      <c r="AI409" s="25" t="str">
        <f aca="false">IF(G409="","",IF(L409="","N/A - Not Detected",IF(AND(X409="",Y409="",Z409=""),"No Containment Action",IF(Z409="",IF(Y409&lt;&gt;"","C2 Persisted","Host Isolation Gap"),IF(AF409&lt;=AG409,"Contained - Within SLA","Contained - SLA Breach")))))</f>
        <v/>
      </c>
      <c r="AJ409" s="25" t="str">
        <f aca="false">IF(G409="","",IF(Z409&lt;&gt;"",1,0))</f>
        <v/>
      </c>
      <c r="AK409" s="34"/>
      <c r="AL409" s="34"/>
      <c r="AM409" s="35"/>
      <c r="AN409" s="34"/>
      <c r="AO409" s="34"/>
      <c r="AP409" s="35"/>
      <c r="AQ409" s="34"/>
      <c r="AR409" s="34"/>
      <c r="AS409" s="34"/>
      <c r="AT409" s="35"/>
      <c r="AU409" s="35"/>
    </row>
    <row r="410" customFormat="false" ht="15" hidden="false" customHeight="false" outlineLevel="0" collapsed="false">
      <c r="A410" s="24"/>
      <c r="B410" s="24"/>
      <c r="C410" s="24"/>
      <c r="D410" s="24"/>
      <c r="E410" s="24"/>
      <c r="F410" s="24"/>
      <c r="G410" s="24"/>
      <c r="H410" s="24"/>
      <c r="I410" s="32"/>
      <c r="J410" s="32"/>
      <c r="K410" s="32"/>
      <c r="L410" s="32"/>
      <c r="M410" s="24"/>
      <c r="N410" s="24"/>
      <c r="O410" s="24"/>
      <c r="P410" s="33" t="str">
        <f aca="false">IF(AND(G410&lt;&gt;"",I410&lt;&gt;"",J410&lt;&gt;""),(J410-I410)*1440,"")</f>
        <v/>
      </c>
      <c r="Q410" s="33" t="str">
        <f aca="false">IF(AND(G410&lt;&gt;"",J410&lt;&gt;"",K410&lt;&gt;""),(K410-J410)*1440,"")</f>
        <v/>
      </c>
      <c r="R410" s="33" t="str">
        <f aca="false">IF(AND(G410&lt;&gt;"",K410&lt;&gt;"",L410&lt;&gt;""),(L410-K410)*1440,"")</f>
        <v/>
      </c>
      <c r="S410" s="33" t="str">
        <f aca="false">IF(AND(G410&lt;&gt;"",I410&lt;&gt;"",L410&lt;&gt;""),(L410-I410)*1440,"")</f>
        <v/>
      </c>
      <c r="T410" s="33" t="str">
        <f aca="false">IF(G410="","",IFERROR(INDEX(Settings!$B$5:$B$8,MATCH(G410,Settings!$A$5:$A$8,0)),""))</f>
        <v/>
      </c>
      <c r="U410" s="25" t="str">
        <f aca="false">IF(G410="","",IF(S410="","No",IF(S410&lt;=T410,"Yes","No")))</f>
        <v/>
      </c>
      <c r="V410" s="25" t="str">
        <f aca="false">IF(G410="","",IF(AND(J410="",K410="",L410=""),"Telemetry Blind Spot",IF(AND(K410="",L410=""),"Missed Alert",IF(L410="","Triage Delay",IF(S410&lt;=T410,"Detected - Within SLA",IF(AND(R410&lt;&gt;"",R410&gt;IFERROR(INDEX(Settings!$C$5:$C$8,MATCH(G410,Settings!$A$5:$A$8,0)),1E+099)),"Triage Delay","Detected - SLA Breach"))))))</f>
        <v/>
      </c>
      <c r="W410" s="25" t="str">
        <f aca="false">IF(G410="","",IF(L410&lt;&gt;"",1,0))</f>
        <v/>
      </c>
      <c r="X410" s="32"/>
      <c r="Y410" s="32"/>
      <c r="Z410" s="32"/>
      <c r="AA410" s="24"/>
      <c r="AB410" s="24"/>
      <c r="AC410" s="33" t="str">
        <f aca="false">IF(AND(G410&lt;&gt;"",L410&lt;&gt;"",X410&lt;&gt;""),(X410-L410)*1440,"")</f>
        <v/>
      </c>
      <c r="AD410" s="33" t="str">
        <f aca="false">IF(AND(G410&lt;&gt;"",X410&lt;&gt;"",Y410&lt;&gt;""),(Y410-X410)*1440,"")</f>
        <v/>
      </c>
      <c r="AE410" s="33" t="str">
        <f aca="false">IF(AND(G410&lt;&gt;"",Y410&lt;&gt;"",Z410&lt;&gt;""),(Z410-Y410)*1440,"")</f>
        <v/>
      </c>
      <c r="AF410" s="33" t="str">
        <f aca="false">IF(AND(G410&lt;&gt;"",L410&lt;&gt;"",Z410&lt;&gt;""),(Z410-L410)*1440,"")</f>
        <v/>
      </c>
      <c r="AG410" s="33" t="str">
        <f aca="false">IF(G410="","",IFERROR(INDEX(Settings!$D$5:$D$8,MATCH(G410,Settings!$A$5:$A$8,0)),""))</f>
        <v/>
      </c>
      <c r="AH410" s="25" t="str">
        <f aca="false">IF(G410="","",IF(AF410="","No",IF(AF410&lt;=AG410,"Yes","No")))</f>
        <v/>
      </c>
      <c r="AI410" s="25" t="str">
        <f aca="false">IF(G410="","",IF(L410="","N/A - Not Detected",IF(AND(X410="",Y410="",Z410=""),"No Containment Action",IF(Z410="",IF(Y410&lt;&gt;"","C2 Persisted","Host Isolation Gap"),IF(AF410&lt;=AG410,"Contained - Within SLA","Contained - SLA Breach")))))</f>
        <v/>
      </c>
      <c r="AJ410" s="25" t="str">
        <f aca="false">IF(G410="","",IF(Z410&lt;&gt;"",1,0))</f>
        <v/>
      </c>
      <c r="AK410" s="34"/>
      <c r="AL410" s="34"/>
      <c r="AM410" s="35"/>
      <c r="AN410" s="34"/>
      <c r="AO410" s="34"/>
      <c r="AP410" s="35"/>
      <c r="AQ410" s="34"/>
      <c r="AR410" s="34"/>
      <c r="AS410" s="34"/>
      <c r="AT410" s="35"/>
      <c r="AU410" s="35"/>
    </row>
    <row r="411" customFormat="false" ht="15" hidden="false" customHeight="false" outlineLevel="0" collapsed="false">
      <c r="A411" s="24"/>
      <c r="B411" s="24"/>
      <c r="C411" s="24"/>
      <c r="D411" s="24"/>
      <c r="E411" s="24"/>
      <c r="F411" s="24"/>
      <c r="G411" s="24"/>
      <c r="H411" s="24"/>
      <c r="I411" s="32"/>
      <c r="J411" s="32"/>
      <c r="K411" s="32"/>
      <c r="L411" s="32"/>
      <c r="M411" s="24"/>
      <c r="N411" s="24"/>
      <c r="O411" s="24"/>
      <c r="P411" s="33" t="str">
        <f aca="false">IF(AND(G411&lt;&gt;"",I411&lt;&gt;"",J411&lt;&gt;""),(J411-I411)*1440,"")</f>
        <v/>
      </c>
      <c r="Q411" s="33" t="str">
        <f aca="false">IF(AND(G411&lt;&gt;"",J411&lt;&gt;"",K411&lt;&gt;""),(K411-J411)*1440,"")</f>
        <v/>
      </c>
      <c r="R411" s="33" t="str">
        <f aca="false">IF(AND(G411&lt;&gt;"",K411&lt;&gt;"",L411&lt;&gt;""),(L411-K411)*1440,"")</f>
        <v/>
      </c>
      <c r="S411" s="33" t="str">
        <f aca="false">IF(AND(G411&lt;&gt;"",I411&lt;&gt;"",L411&lt;&gt;""),(L411-I411)*1440,"")</f>
        <v/>
      </c>
      <c r="T411" s="33" t="str">
        <f aca="false">IF(G411="","",IFERROR(INDEX(Settings!$B$5:$B$8,MATCH(G411,Settings!$A$5:$A$8,0)),""))</f>
        <v/>
      </c>
      <c r="U411" s="25" t="str">
        <f aca="false">IF(G411="","",IF(S411="","No",IF(S411&lt;=T411,"Yes","No")))</f>
        <v/>
      </c>
      <c r="V411" s="25" t="str">
        <f aca="false">IF(G411="","",IF(AND(J411="",K411="",L411=""),"Telemetry Blind Spot",IF(AND(K411="",L411=""),"Missed Alert",IF(L411="","Triage Delay",IF(S411&lt;=T411,"Detected - Within SLA",IF(AND(R411&lt;&gt;"",R411&gt;IFERROR(INDEX(Settings!$C$5:$C$8,MATCH(G411,Settings!$A$5:$A$8,0)),1E+099)),"Triage Delay","Detected - SLA Breach"))))))</f>
        <v/>
      </c>
      <c r="W411" s="25" t="str">
        <f aca="false">IF(G411="","",IF(L411&lt;&gt;"",1,0))</f>
        <v/>
      </c>
      <c r="X411" s="32"/>
      <c r="Y411" s="32"/>
      <c r="Z411" s="32"/>
      <c r="AA411" s="24"/>
      <c r="AB411" s="24"/>
      <c r="AC411" s="33" t="str">
        <f aca="false">IF(AND(G411&lt;&gt;"",L411&lt;&gt;"",X411&lt;&gt;""),(X411-L411)*1440,"")</f>
        <v/>
      </c>
      <c r="AD411" s="33" t="str">
        <f aca="false">IF(AND(G411&lt;&gt;"",X411&lt;&gt;"",Y411&lt;&gt;""),(Y411-X411)*1440,"")</f>
        <v/>
      </c>
      <c r="AE411" s="33" t="str">
        <f aca="false">IF(AND(G411&lt;&gt;"",Y411&lt;&gt;"",Z411&lt;&gt;""),(Z411-Y411)*1440,"")</f>
        <v/>
      </c>
      <c r="AF411" s="33" t="str">
        <f aca="false">IF(AND(G411&lt;&gt;"",L411&lt;&gt;"",Z411&lt;&gt;""),(Z411-L411)*1440,"")</f>
        <v/>
      </c>
      <c r="AG411" s="33" t="str">
        <f aca="false">IF(G411="","",IFERROR(INDEX(Settings!$D$5:$D$8,MATCH(G411,Settings!$A$5:$A$8,0)),""))</f>
        <v/>
      </c>
      <c r="AH411" s="25" t="str">
        <f aca="false">IF(G411="","",IF(AF411="","No",IF(AF411&lt;=AG411,"Yes","No")))</f>
        <v/>
      </c>
      <c r="AI411" s="25" t="str">
        <f aca="false">IF(G411="","",IF(L411="","N/A - Not Detected",IF(AND(X411="",Y411="",Z411=""),"No Containment Action",IF(Z411="",IF(Y411&lt;&gt;"","C2 Persisted","Host Isolation Gap"),IF(AF411&lt;=AG411,"Contained - Within SLA","Contained - SLA Breach")))))</f>
        <v/>
      </c>
      <c r="AJ411" s="25" t="str">
        <f aca="false">IF(G411="","",IF(Z411&lt;&gt;"",1,0))</f>
        <v/>
      </c>
      <c r="AK411" s="34"/>
      <c r="AL411" s="34"/>
      <c r="AM411" s="35"/>
      <c r="AN411" s="34"/>
      <c r="AO411" s="34"/>
      <c r="AP411" s="35"/>
      <c r="AQ411" s="34"/>
      <c r="AR411" s="34"/>
      <c r="AS411" s="34"/>
      <c r="AT411" s="35"/>
      <c r="AU411" s="35"/>
    </row>
    <row r="412" customFormat="false" ht="15" hidden="false" customHeight="false" outlineLevel="0" collapsed="false">
      <c r="A412" s="24"/>
      <c r="B412" s="24"/>
      <c r="C412" s="24"/>
      <c r="D412" s="24"/>
      <c r="E412" s="24"/>
      <c r="F412" s="24"/>
      <c r="G412" s="24"/>
      <c r="H412" s="24"/>
      <c r="I412" s="32"/>
      <c r="J412" s="32"/>
      <c r="K412" s="32"/>
      <c r="L412" s="32"/>
      <c r="M412" s="24"/>
      <c r="N412" s="24"/>
      <c r="O412" s="24"/>
      <c r="P412" s="33" t="str">
        <f aca="false">IF(AND(G412&lt;&gt;"",I412&lt;&gt;"",J412&lt;&gt;""),(J412-I412)*1440,"")</f>
        <v/>
      </c>
      <c r="Q412" s="33" t="str">
        <f aca="false">IF(AND(G412&lt;&gt;"",J412&lt;&gt;"",K412&lt;&gt;""),(K412-J412)*1440,"")</f>
        <v/>
      </c>
      <c r="R412" s="33" t="str">
        <f aca="false">IF(AND(G412&lt;&gt;"",K412&lt;&gt;"",L412&lt;&gt;""),(L412-K412)*1440,"")</f>
        <v/>
      </c>
      <c r="S412" s="33" t="str">
        <f aca="false">IF(AND(G412&lt;&gt;"",I412&lt;&gt;"",L412&lt;&gt;""),(L412-I412)*1440,"")</f>
        <v/>
      </c>
      <c r="T412" s="33" t="str">
        <f aca="false">IF(G412="","",IFERROR(INDEX(Settings!$B$5:$B$8,MATCH(G412,Settings!$A$5:$A$8,0)),""))</f>
        <v/>
      </c>
      <c r="U412" s="25" t="str">
        <f aca="false">IF(G412="","",IF(S412="","No",IF(S412&lt;=T412,"Yes","No")))</f>
        <v/>
      </c>
      <c r="V412" s="25" t="str">
        <f aca="false">IF(G412="","",IF(AND(J412="",K412="",L412=""),"Telemetry Blind Spot",IF(AND(K412="",L412=""),"Missed Alert",IF(L412="","Triage Delay",IF(S412&lt;=T412,"Detected - Within SLA",IF(AND(R412&lt;&gt;"",R412&gt;IFERROR(INDEX(Settings!$C$5:$C$8,MATCH(G412,Settings!$A$5:$A$8,0)),1E+099)),"Triage Delay","Detected - SLA Breach"))))))</f>
        <v/>
      </c>
      <c r="W412" s="25" t="str">
        <f aca="false">IF(G412="","",IF(L412&lt;&gt;"",1,0))</f>
        <v/>
      </c>
      <c r="X412" s="32"/>
      <c r="Y412" s="32"/>
      <c r="Z412" s="32"/>
      <c r="AA412" s="24"/>
      <c r="AB412" s="24"/>
      <c r="AC412" s="33" t="str">
        <f aca="false">IF(AND(G412&lt;&gt;"",L412&lt;&gt;"",X412&lt;&gt;""),(X412-L412)*1440,"")</f>
        <v/>
      </c>
      <c r="AD412" s="33" t="str">
        <f aca="false">IF(AND(G412&lt;&gt;"",X412&lt;&gt;"",Y412&lt;&gt;""),(Y412-X412)*1440,"")</f>
        <v/>
      </c>
      <c r="AE412" s="33" t="str">
        <f aca="false">IF(AND(G412&lt;&gt;"",Y412&lt;&gt;"",Z412&lt;&gt;""),(Z412-Y412)*1440,"")</f>
        <v/>
      </c>
      <c r="AF412" s="33" t="str">
        <f aca="false">IF(AND(G412&lt;&gt;"",L412&lt;&gt;"",Z412&lt;&gt;""),(Z412-L412)*1440,"")</f>
        <v/>
      </c>
      <c r="AG412" s="33" t="str">
        <f aca="false">IF(G412="","",IFERROR(INDEX(Settings!$D$5:$D$8,MATCH(G412,Settings!$A$5:$A$8,0)),""))</f>
        <v/>
      </c>
      <c r="AH412" s="25" t="str">
        <f aca="false">IF(G412="","",IF(AF412="","No",IF(AF412&lt;=AG412,"Yes","No")))</f>
        <v/>
      </c>
      <c r="AI412" s="25" t="str">
        <f aca="false">IF(G412="","",IF(L412="","N/A - Not Detected",IF(AND(X412="",Y412="",Z412=""),"No Containment Action",IF(Z412="",IF(Y412&lt;&gt;"","C2 Persisted","Host Isolation Gap"),IF(AF412&lt;=AG412,"Contained - Within SLA","Contained - SLA Breach")))))</f>
        <v/>
      </c>
      <c r="AJ412" s="25" t="str">
        <f aca="false">IF(G412="","",IF(Z412&lt;&gt;"",1,0))</f>
        <v/>
      </c>
      <c r="AK412" s="34"/>
      <c r="AL412" s="34"/>
      <c r="AM412" s="35"/>
      <c r="AN412" s="34"/>
      <c r="AO412" s="34"/>
      <c r="AP412" s="35"/>
      <c r="AQ412" s="34"/>
      <c r="AR412" s="34"/>
      <c r="AS412" s="34"/>
      <c r="AT412" s="35"/>
      <c r="AU412" s="35"/>
    </row>
    <row r="413" customFormat="false" ht="15" hidden="false" customHeight="false" outlineLevel="0" collapsed="false">
      <c r="A413" s="24"/>
      <c r="B413" s="24"/>
      <c r="C413" s="24"/>
      <c r="D413" s="24"/>
      <c r="E413" s="24"/>
      <c r="F413" s="24"/>
      <c r="G413" s="24"/>
      <c r="H413" s="24"/>
      <c r="I413" s="32"/>
      <c r="J413" s="32"/>
      <c r="K413" s="32"/>
      <c r="L413" s="32"/>
      <c r="M413" s="24"/>
      <c r="N413" s="24"/>
      <c r="O413" s="24"/>
      <c r="P413" s="33" t="str">
        <f aca="false">IF(AND(G413&lt;&gt;"",I413&lt;&gt;"",J413&lt;&gt;""),(J413-I413)*1440,"")</f>
        <v/>
      </c>
      <c r="Q413" s="33" t="str">
        <f aca="false">IF(AND(G413&lt;&gt;"",J413&lt;&gt;"",K413&lt;&gt;""),(K413-J413)*1440,"")</f>
        <v/>
      </c>
      <c r="R413" s="33" t="str">
        <f aca="false">IF(AND(G413&lt;&gt;"",K413&lt;&gt;"",L413&lt;&gt;""),(L413-K413)*1440,"")</f>
        <v/>
      </c>
      <c r="S413" s="33" t="str">
        <f aca="false">IF(AND(G413&lt;&gt;"",I413&lt;&gt;"",L413&lt;&gt;""),(L413-I413)*1440,"")</f>
        <v/>
      </c>
      <c r="T413" s="33" t="str">
        <f aca="false">IF(G413="","",IFERROR(INDEX(Settings!$B$5:$B$8,MATCH(G413,Settings!$A$5:$A$8,0)),""))</f>
        <v/>
      </c>
      <c r="U413" s="25" t="str">
        <f aca="false">IF(G413="","",IF(S413="","No",IF(S413&lt;=T413,"Yes","No")))</f>
        <v/>
      </c>
      <c r="V413" s="25" t="str">
        <f aca="false">IF(G413="","",IF(AND(J413="",K413="",L413=""),"Telemetry Blind Spot",IF(AND(K413="",L413=""),"Missed Alert",IF(L413="","Triage Delay",IF(S413&lt;=T413,"Detected - Within SLA",IF(AND(R413&lt;&gt;"",R413&gt;IFERROR(INDEX(Settings!$C$5:$C$8,MATCH(G413,Settings!$A$5:$A$8,0)),1E+099)),"Triage Delay","Detected - SLA Breach"))))))</f>
        <v/>
      </c>
      <c r="W413" s="25" t="str">
        <f aca="false">IF(G413="","",IF(L413&lt;&gt;"",1,0))</f>
        <v/>
      </c>
      <c r="X413" s="32"/>
      <c r="Y413" s="32"/>
      <c r="Z413" s="32"/>
      <c r="AA413" s="24"/>
      <c r="AB413" s="24"/>
      <c r="AC413" s="33" t="str">
        <f aca="false">IF(AND(G413&lt;&gt;"",L413&lt;&gt;"",X413&lt;&gt;""),(X413-L413)*1440,"")</f>
        <v/>
      </c>
      <c r="AD413" s="33" t="str">
        <f aca="false">IF(AND(G413&lt;&gt;"",X413&lt;&gt;"",Y413&lt;&gt;""),(Y413-X413)*1440,"")</f>
        <v/>
      </c>
      <c r="AE413" s="33" t="str">
        <f aca="false">IF(AND(G413&lt;&gt;"",Y413&lt;&gt;"",Z413&lt;&gt;""),(Z413-Y413)*1440,"")</f>
        <v/>
      </c>
      <c r="AF413" s="33" t="str">
        <f aca="false">IF(AND(G413&lt;&gt;"",L413&lt;&gt;"",Z413&lt;&gt;""),(Z413-L413)*1440,"")</f>
        <v/>
      </c>
      <c r="AG413" s="33" t="str">
        <f aca="false">IF(G413="","",IFERROR(INDEX(Settings!$D$5:$D$8,MATCH(G413,Settings!$A$5:$A$8,0)),""))</f>
        <v/>
      </c>
      <c r="AH413" s="25" t="str">
        <f aca="false">IF(G413="","",IF(AF413="","No",IF(AF413&lt;=AG413,"Yes","No")))</f>
        <v/>
      </c>
      <c r="AI413" s="25" t="str">
        <f aca="false">IF(G413="","",IF(L413="","N/A - Not Detected",IF(AND(X413="",Y413="",Z413=""),"No Containment Action",IF(Z413="",IF(Y413&lt;&gt;"","C2 Persisted","Host Isolation Gap"),IF(AF413&lt;=AG413,"Contained - Within SLA","Contained - SLA Breach")))))</f>
        <v/>
      </c>
      <c r="AJ413" s="25" t="str">
        <f aca="false">IF(G413="","",IF(Z413&lt;&gt;"",1,0))</f>
        <v/>
      </c>
      <c r="AK413" s="34"/>
      <c r="AL413" s="34"/>
      <c r="AM413" s="35"/>
      <c r="AN413" s="34"/>
      <c r="AO413" s="34"/>
      <c r="AP413" s="35"/>
      <c r="AQ413" s="34"/>
      <c r="AR413" s="34"/>
      <c r="AS413" s="34"/>
      <c r="AT413" s="35"/>
      <c r="AU413" s="35"/>
    </row>
    <row r="414" customFormat="false" ht="15" hidden="false" customHeight="false" outlineLevel="0" collapsed="false">
      <c r="A414" s="24"/>
      <c r="B414" s="24"/>
      <c r="C414" s="24"/>
      <c r="D414" s="24"/>
      <c r="E414" s="24"/>
      <c r="F414" s="24"/>
      <c r="G414" s="24"/>
      <c r="H414" s="24"/>
      <c r="I414" s="32"/>
      <c r="J414" s="32"/>
      <c r="K414" s="32"/>
      <c r="L414" s="32"/>
      <c r="M414" s="24"/>
      <c r="N414" s="24"/>
      <c r="O414" s="24"/>
      <c r="P414" s="33" t="str">
        <f aca="false">IF(AND(G414&lt;&gt;"",I414&lt;&gt;"",J414&lt;&gt;""),(J414-I414)*1440,"")</f>
        <v/>
      </c>
      <c r="Q414" s="33" t="str">
        <f aca="false">IF(AND(G414&lt;&gt;"",J414&lt;&gt;"",K414&lt;&gt;""),(K414-J414)*1440,"")</f>
        <v/>
      </c>
      <c r="R414" s="33" t="str">
        <f aca="false">IF(AND(G414&lt;&gt;"",K414&lt;&gt;"",L414&lt;&gt;""),(L414-K414)*1440,"")</f>
        <v/>
      </c>
      <c r="S414" s="33" t="str">
        <f aca="false">IF(AND(G414&lt;&gt;"",I414&lt;&gt;"",L414&lt;&gt;""),(L414-I414)*1440,"")</f>
        <v/>
      </c>
      <c r="T414" s="33" t="str">
        <f aca="false">IF(G414="","",IFERROR(INDEX(Settings!$B$5:$B$8,MATCH(G414,Settings!$A$5:$A$8,0)),""))</f>
        <v/>
      </c>
      <c r="U414" s="25" t="str">
        <f aca="false">IF(G414="","",IF(S414="","No",IF(S414&lt;=T414,"Yes","No")))</f>
        <v/>
      </c>
      <c r="V414" s="25" t="str">
        <f aca="false">IF(G414="","",IF(AND(J414="",K414="",L414=""),"Telemetry Blind Spot",IF(AND(K414="",L414=""),"Missed Alert",IF(L414="","Triage Delay",IF(S414&lt;=T414,"Detected - Within SLA",IF(AND(R414&lt;&gt;"",R414&gt;IFERROR(INDEX(Settings!$C$5:$C$8,MATCH(G414,Settings!$A$5:$A$8,0)),1E+099)),"Triage Delay","Detected - SLA Breach"))))))</f>
        <v/>
      </c>
      <c r="W414" s="25" t="str">
        <f aca="false">IF(G414="","",IF(L414&lt;&gt;"",1,0))</f>
        <v/>
      </c>
      <c r="X414" s="32"/>
      <c r="Y414" s="32"/>
      <c r="Z414" s="32"/>
      <c r="AA414" s="24"/>
      <c r="AB414" s="24"/>
      <c r="AC414" s="33" t="str">
        <f aca="false">IF(AND(G414&lt;&gt;"",L414&lt;&gt;"",X414&lt;&gt;""),(X414-L414)*1440,"")</f>
        <v/>
      </c>
      <c r="AD414" s="33" t="str">
        <f aca="false">IF(AND(G414&lt;&gt;"",X414&lt;&gt;"",Y414&lt;&gt;""),(Y414-X414)*1440,"")</f>
        <v/>
      </c>
      <c r="AE414" s="33" t="str">
        <f aca="false">IF(AND(G414&lt;&gt;"",Y414&lt;&gt;"",Z414&lt;&gt;""),(Z414-Y414)*1440,"")</f>
        <v/>
      </c>
      <c r="AF414" s="33" t="str">
        <f aca="false">IF(AND(G414&lt;&gt;"",L414&lt;&gt;"",Z414&lt;&gt;""),(Z414-L414)*1440,"")</f>
        <v/>
      </c>
      <c r="AG414" s="33" t="str">
        <f aca="false">IF(G414="","",IFERROR(INDEX(Settings!$D$5:$D$8,MATCH(G414,Settings!$A$5:$A$8,0)),""))</f>
        <v/>
      </c>
      <c r="AH414" s="25" t="str">
        <f aca="false">IF(G414="","",IF(AF414="","No",IF(AF414&lt;=AG414,"Yes","No")))</f>
        <v/>
      </c>
      <c r="AI414" s="25" t="str">
        <f aca="false">IF(G414="","",IF(L414="","N/A - Not Detected",IF(AND(X414="",Y414="",Z414=""),"No Containment Action",IF(Z414="",IF(Y414&lt;&gt;"","C2 Persisted","Host Isolation Gap"),IF(AF414&lt;=AG414,"Contained - Within SLA","Contained - SLA Breach")))))</f>
        <v/>
      </c>
      <c r="AJ414" s="25" t="str">
        <f aca="false">IF(G414="","",IF(Z414&lt;&gt;"",1,0))</f>
        <v/>
      </c>
      <c r="AK414" s="34"/>
      <c r="AL414" s="34"/>
      <c r="AM414" s="35"/>
      <c r="AN414" s="34"/>
      <c r="AO414" s="34"/>
      <c r="AP414" s="35"/>
      <c r="AQ414" s="34"/>
      <c r="AR414" s="34"/>
      <c r="AS414" s="34"/>
      <c r="AT414" s="35"/>
      <c r="AU414" s="35"/>
    </row>
    <row r="415" customFormat="false" ht="15" hidden="false" customHeight="false" outlineLevel="0" collapsed="false">
      <c r="A415" s="24"/>
      <c r="B415" s="24"/>
      <c r="C415" s="24"/>
      <c r="D415" s="24"/>
      <c r="E415" s="24"/>
      <c r="F415" s="24"/>
      <c r="G415" s="24"/>
      <c r="H415" s="24"/>
      <c r="I415" s="32"/>
      <c r="J415" s="32"/>
      <c r="K415" s="32"/>
      <c r="L415" s="32"/>
      <c r="M415" s="24"/>
      <c r="N415" s="24"/>
      <c r="O415" s="24"/>
      <c r="P415" s="33" t="str">
        <f aca="false">IF(AND(G415&lt;&gt;"",I415&lt;&gt;"",J415&lt;&gt;""),(J415-I415)*1440,"")</f>
        <v/>
      </c>
      <c r="Q415" s="33" t="str">
        <f aca="false">IF(AND(G415&lt;&gt;"",J415&lt;&gt;"",K415&lt;&gt;""),(K415-J415)*1440,"")</f>
        <v/>
      </c>
      <c r="R415" s="33" t="str">
        <f aca="false">IF(AND(G415&lt;&gt;"",K415&lt;&gt;"",L415&lt;&gt;""),(L415-K415)*1440,"")</f>
        <v/>
      </c>
      <c r="S415" s="33" t="str">
        <f aca="false">IF(AND(G415&lt;&gt;"",I415&lt;&gt;"",L415&lt;&gt;""),(L415-I415)*1440,"")</f>
        <v/>
      </c>
      <c r="T415" s="33" t="str">
        <f aca="false">IF(G415="","",IFERROR(INDEX(Settings!$B$5:$B$8,MATCH(G415,Settings!$A$5:$A$8,0)),""))</f>
        <v/>
      </c>
      <c r="U415" s="25" t="str">
        <f aca="false">IF(G415="","",IF(S415="","No",IF(S415&lt;=T415,"Yes","No")))</f>
        <v/>
      </c>
      <c r="V415" s="25" t="str">
        <f aca="false">IF(G415="","",IF(AND(J415="",K415="",L415=""),"Telemetry Blind Spot",IF(AND(K415="",L415=""),"Missed Alert",IF(L415="","Triage Delay",IF(S415&lt;=T415,"Detected - Within SLA",IF(AND(R415&lt;&gt;"",R415&gt;IFERROR(INDEX(Settings!$C$5:$C$8,MATCH(G415,Settings!$A$5:$A$8,0)),1E+099)),"Triage Delay","Detected - SLA Breach"))))))</f>
        <v/>
      </c>
      <c r="W415" s="25" t="str">
        <f aca="false">IF(G415="","",IF(L415&lt;&gt;"",1,0))</f>
        <v/>
      </c>
      <c r="X415" s="32"/>
      <c r="Y415" s="32"/>
      <c r="Z415" s="32"/>
      <c r="AA415" s="24"/>
      <c r="AB415" s="24"/>
      <c r="AC415" s="33" t="str">
        <f aca="false">IF(AND(G415&lt;&gt;"",L415&lt;&gt;"",X415&lt;&gt;""),(X415-L415)*1440,"")</f>
        <v/>
      </c>
      <c r="AD415" s="33" t="str">
        <f aca="false">IF(AND(G415&lt;&gt;"",X415&lt;&gt;"",Y415&lt;&gt;""),(Y415-X415)*1440,"")</f>
        <v/>
      </c>
      <c r="AE415" s="33" t="str">
        <f aca="false">IF(AND(G415&lt;&gt;"",Y415&lt;&gt;"",Z415&lt;&gt;""),(Z415-Y415)*1440,"")</f>
        <v/>
      </c>
      <c r="AF415" s="33" t="str">
        <f aca="false">IF(AND(G415&lt;&gt;"",L415&lt;&gt;"",Z415&lt;&gt;""),(Z415-L415)*1440,"")</f>
        <v/>
      </c>
      <c r="AG415" s="33" t="str">
        <f aca="false">IF(G415="","",IFERROR(INDEX(Settings!$D$5:$D$8,MATCH(G415,Settings!$A$5:$A$8,0)),""))</f>
        <v/>
      </c>
      <c r="AH415" s="25" t="str">
        <f aca="false">IF(G415="","",IF(AF415="","No",IF(AF415&lt;=AG415,"Yes","No")))</f>
        <v/>
      </c>
      <c r="AI415" s="25" t="str">
        <f aca="false">IF(G415="","",IF(L415="","N/A - Not Detected",IF(AND(X415="",Y415="",Z415=""),"No Containment Action",IF(Z415="",IF(Y415&lt;&gt;"","C2 Persisted","Host Isolation Gap"),IF(AF415&lt;=AG415,"Contained - Within SLA","Contained - SLA Breach")))))</f>
        <v/>
      </c>
      <c r="AJ415" s="25" t="str">
        <f aca="false">IF(G415="","",IF(Z415&lt;&gt;"",1,0))</f>
        <v/>
      </c>
      <c r="AK415" s="34"/>
      <c r="AL415" s="34"/>
      <c r="AM415" s="35"/>
      <c r="AN415" s="34"/>
      <c r="AO415" s="34"/>
      <c r="AP415" s="35"/>
      <c r="AQ415" s="34"/>
      <c r="AR415" s="34"/>
      <c r="AS415" s="34"/>
      <c r="AT415" s="35"/>
      <c r="AU415" s="35"/>
    </row>
    <row r="416" customFormat="false" ht="15" hidden="false" customHeight="false" outlineLevel="0" collapsed="false">
      <c r="A416" s="24"/>
      <c r="B416" s="24"/>
      <c r="C416" s="24"/>
      <c r="D416" s="24"/>
      <c r="E416" s="24"/>
      <c r="F416" s="24"/>
      <c r="G416" s="24"/>
      <c r="H416" s="24"/>
      <c r="I416" s="32"/>
      <c r="J416" s="32"/>
      <c r="K416" s="32"/>
      <c r="L416" s="32"/>
      <c r="M416" s="24"/>
      <c r="N416" s="24"/>
      <c r="O416" s="24"/>
      <c r="P416" s="33" t="str">
        <f aca="false">IF(AND(G416&lt;&gt;"",I416&lt;&gt;"",J416&lt;&gt;""),(J416-I416)*1440,"")</f>
        <v/>
      </c>
      <c r="Q416" s="33" t="str">
        <f aca="false">IF(AND(G416&lt;&gt;"",J416&lt;&gt;"",K416&lt;&gt;""),(K416-J416)*1440,"")</f>
        <v/>
      </c>
      <c r="R416" s="33" t="str">
        <f aca="false">IF(AND(G416&lt;&gt;"",K416&lt;&gt;"",L416&lt;&gt;""),(L416-K416)*1440,"")</f>
        <v/>
      </c>
      <c r="S416" s="33" t="str">
        <f aca="false">IF(AND(G416&lt;&gt;"",I416&lt;&gt;"",L416&lt;&gt;""),(L416-I416)*1440,"")</f>
        <v/>
      </c>
      <c r="T416" s="33" t="str">
        <f aca="false">IF(G416="","",IFERROR(INDEX(Settings!$B$5:$B$8,MATCH(G416,Settings!$A$5:$A$8,0)),""))</f>
        <v/>
      </c>
      <c r="U416" s="25" t="str">
        <f aca="false">IF(G416="","",IF(S416="","No",IF(S416&lt;=T416,"Yes","No")))</f>
        <v/>
      </c>
      <c r="V416" s="25" t="str">
        <f aca="false">IF(G416="","",IF(AND(J416="",K416="",L416=""),"Telemetry Blind Spot",IF(AND(K416="",L416=""),"Missed Alert",IF(L416="","Triage Delay",IF(S416&lt;=T416,"Detected - Within SLA",IF(AND(R416&lt;&gt;"",R416&gt;IFERROR(INDEX(Settings!$C$5:$C$8,MATCH(G416,Settings!$A$5:$A$8,0)),1E+099)),"Triage Delay","Detected - SLA Breach"))))))</f>
        <v/>
      </c>
      <c r="W416" s="25" t="str">
        <f aca="false">IF(G416="","",IF(L416&lt;&gt;"",1,0))</f>
        <v/>
      </c>
      <c r="X416" s="32"/>
      <c r="Y416" s="32"/>
      <c r="Z416" s="32"/>
      <c r="AA416" s="24"/>
      <c r="AB416" s="24"/>
      <c r="AC416" s="33" t="str">
        <f aca="false">IF(AND(G416&lt;&gt;"",L416&lt;&gt;"",X416&lt;&gt;""),(X416-L416)*1440,"")</f>
        <v/>
      </c>
      <c r="AD416" s="33" t="str">
        <f aca="false">IF(AND(G416&lt;&gt;"",X416&lt;&gt;"",Y416&lt;&gt;""),(Y416-X416)*1440,"")</f>
        <v/>
      </c>
      <c r="AE416" s="33" t="str">
        <f aca="false">IF(AND(G416&lt;&gt;"",Y416&lt;&gt;"",Z416&lt;&gt;""),(Z416-Y416)*1440,"")</f>
        <v/>
      </c>
      <c r="AF416" s="33" t="str">
        <f aca="false">IF(AND(G416&lt;&gt;"",L416&lt;&gt;"",Z416&lt;&gt;""),(Z416-L416)*1440,"")</f>
        <v/>
      </c>
      <c r="AG416" s="33" t="str">
        <f aca="false">IF(G416="","",IFERROR(INDEX(Settings!$D$5:$D$8,MATCH(G416,Settings!$A$5:$A$8,0)),""))</f>
        <v/>
      </c>
      <c r="AH416" s="25" t="str">
        <f aca="false">IF(G416="","",IF(AF416="","No",IF(AF416&lt;=AG416,"Yes","No")))</f>
        <v/>
      </c>
      <c r="AI416" s="25" t="str">
        <f aca="false">IF(G416="","",IF(L416="","N/A - Not Detected",IF(AND(X416="",Y416="",Z416=""),"No Containment Action",IF(Z416="",IF(Y416&lt;&gt;"","C2 Persisted","Host Isolation Gap"),IF(AF416&lt;=AG416,"Contained - Within SLA","Contained - SLA Breach")))))</f>
        <v/>
      </c>
      <c r="AJ416" s="25" t="str">
        <f aca="false">IF(G416="","",IF(Z416&lt;&gt;"",1,0))</f>
        <v/>
      </c>
      <c r="AK416" s="34"/>
      <c r="AL416" s="34"/>
      <c r="AM416" s="35"/>
      <c r="AN416" s="34"/>
      <c r="AO416" s="34"/>
      <c r="AP416" s="35"/>
      <c r="AQ416" s="34"/>
      <c r="AR416" s="34"/>
      <c r="AS416" s="34"/>
      <c r="AT416" s="35"/>
      <c r="AU416" s="35"/>
    </row>
    <row r="417" customFormat="false" ht="15" hidden="false" customHeight="false" outlineLevel="0" collapsed="false">
      <c r="A417" s="24"/>
      <c r="B417" s="24"/>
      <c r="C417" s="24"/>
      <c r="D417" s="24"/>
      <c r="E417" s="24"/>
      <c r="F417" s="24"/>
      <c r="G417" s="24"/>
      <c r="H417" s="24"/>
      <c r="I417" s="32"/>
      <c r="J417" s="32"/>
      <c r="K417" s="32"/>
      <c r="L417" s="32"/>
      <c r="M417" s="24"/>
      <c r="N417" s="24"/>
      <c r="O417" s="24"/>
      <c r="P417" s="33" t="str">
        <f aca="false">IF(AND(G417&lt;&gt;"",I417&lt;&gt;"",J417&lt;&gt;""),(J417-I417)*1440,"")</f>
        <v/>
      </c>
      <c r="Q417" s="33" t="str">
        <f aca="false">IF(AND(G417&lt;&gt;"",J417&lt;&gt;"",K417&lt;&gt;""),(K417-J417)*1440,"")</f>
        <v/>
      </c>
      <c r="R417" s="33" t="str">
        <f aca="false">IF(AND(G417&lt;&gt;"",K417&lt;&gt;"",L417&lt;&gt;""),(L417-K417)*1440,"")</f>
        <v/>
      </c>
      <c r="S417" s="33" t="str">
        <f aca="false">IF(AND(G417&lt;&gt;"",I417&lt;&gt;"",L417&lt;&gt;""),(L417-I417)*1440,"")</f>
        <v/>
      </c>
      <c r="T417" s="33" t="str">
        <f aca="false">IF(G417="","",IFERROR(INDEX(Settings!$B$5:$B$8,MATCH(G417,Settings!$A$5:$A$8,0)),""))</f>
        <v/>
      </c>
      <c r="U417" s="25" t="str">
        <f aca="false">IF(G417="","",IF(S417="","No",IF(S417&lt;=T417,"Yes","No")))</f>
        <v/>
      </c>
      <c r="V417" s="25" t="str">
        <f aca="false">IF(G417="","",IF(AND(J417="",K417="",L417=""),"Telemetry Blind Spot",IF(AND(K417="",L417=""),"Missed Alert",IF(L417="","Triage Delay",IF(S417&lt;=T417,"Detected - Within SLA",IF(AND(R417&lt;&gt;"",R417&gt;IFERROR(INDEX(Settings!$C$5:$C$8,MATCH(G417,Settings!$A$5:$A$8,0)),1E+099)),"Triage Delay","Detected - SLA Breach"))))))</f>
        <v/>
      </c>
      <c r="W417" s="25" t="str">
        <f aca="false">IF(G417="","",IF(L417&lt;&gt;"",1,0))</f>
        <v/>
      </c>
      <c r="X417" s="32"/>
      <c r="Y417" s="32"/>
      <c r="Z417" s="32"/>
      <c r="AA417" s="24"/>
      <c r="AB417" s="24"/>
      <c r="AC417" s="33" t="str">
        <f aca="false">IF(AND(G417&lt;&gt;"",L417&lt;&gt;"",X417&lt;&gt;""),(X417-L417)*1440,"")</f>
        <v/>
      </c>
      <c r="AD417" s="33" t="str">
        <f aca="false">IF(AND(G417&lt;&gt;"",X417&lt;&gt;"",Y417&lt;&gt;""),(Y417-X417)*1440,"")</f>
        <v/>
      </c>
      <c r="AE417" s="33" t="str">
        <f aca="false">IF(AND(G417&lt;&gt;"",Y417&lt;&gt;"",Z417&lt;&gt;""),(Z417-Y417)*1440,"")</f>
        <v/>
      </c>
      <c r="AF417" s="33" t="str">
        <f aca="false">IF(AND(G417&lt;&gt;"",L417&lt;&gt;"",Z417&lt;&gt;""),(Z417-L417)*1440,"")</f>
        <v/>
      </c>
      <c r="AG417" s="33" t="str">
        <f aca="false">IF(G417="","",IFERROR(INDEX(Settings!$D$5:$D$8,MATCH(G417,Settings!$A$5:$A$8,0)),""))</f>
        <v/>
      </c>
      <c r="AH417" s="25" t="str">
        <f aca="false">IF(G417="","",IF(AF417="","No",IF(AF417&lt;=AG417,"Yes","No")))</f>
        <v/>
      </c>
      <c r="AI417" s="25" t="str">
        <f aca="false">IF(G417="","",IF(L417="","N/A - Not Detected",IF(AND(X417="",Y417="",Z417=""),"No Containment Action",IF(Z417="",IF(Y417&lt;&gt;"","C2 Persisted","Host Isolation Gap"),IF(AF417&lt;=AG417,"Contained - Within SLA","Contained - SLA Breach")))))</f>
        <v/>
      </c>
      <c r="AJ417" s="25" t="str">
        <f aca="false">IF(G417="","",IF(Z417&lt;&gt;"",1,0))</f>
        <v/>
      </c>
      <c r="AK417" s="34"/>
      <c r="AL417" s="34"/>
      <c r="AM417" s="35"/>
      <c r="AN417" s="34"/>
      <c r="AO417" s="34"/>
      <c r="AP417" s="35"/>
      <c r="AQ417" s="34"/>
      <c r="AR417" s="34"/>
      <c r="AS417" s="34"/>
      <c r="AT417" s="35"/>
      <c r="AU417" s="35"/>
    </row>
    <row r="418" customFormat="false" ht="15" hidden="false" customHeight="false" outlineLevel="0" collapsed="false">
      <c r="A418" s="24"/>
      <c r="B418" s="24"/>
      <c r="C418" s="24"/>
      <c r="D418" s="24"/>
      <c r="E418" s="24"/>
      <c r="F418" s="24"/>
      <c r="G418" s="24"/>
      <c r="H418" s="24"/>
      <c r="I418" s="32"/>
      <c r="J418" s="32"/>
      <c r="K418" s="32"/>
      <c r="L418" s="32"/>
      <c r="M418" s="24"/>
      <c r="N418" s="24"/>
      <c r="O418" s="24"/>
      <c r="P418" s="33" t="str">
        <f aca="false">IF(AND(G418&lt;&gt;"",I418&lt;&gt;"",J418&lt;&gt;""),(J418-I418)*1440,"")</f>
        <v/>
      </c>
      <c r="Q418" s="33" t="str">
        <f aca="false">IF(AND(G418&lt;&gt;"",J418&lt;&gt;"",K418&lt;&gt;""),(K418-J418)*1440,"")</f>
        <v/>
      </c>
      <c r="R418" s="33" t="str">
        <f aca="false">IF(AND(G418&lt;&gt;"",K418&lt;&gt;"",L418&lt;&gt;""),(L418-K418)*1440,"")</f>
        <v/>
      </c>
      <c r="S418" s="33" t="str">
        <f aca="false">IF(AND(G418&lt;&gt;"",I418&lt;&gt;"",L418&lt;&gt;""),(L418-I418)*1440,"")</f>
        <v/>
      </c>
      <c r="T418" s="33" t="str">
        <f aca="false">IF(G418="","",IFERROR(INDEX(Settings!$B$5:$B$8,MATCH(G418,Settings!$A$5:$A$8,0)),""))</f>
        <v/>
      </c>
      <c r="U418" s="25" t="str">
        <f aca="false">IF(G418="","",IF(S418="","No",IF(S418&lt;=T418,"Yes","No")))</f>
        <v/>
      </c>
      <c r="V418" s="25" t="str">
        <f aca="false">IF(G418="","",IF(AND(J418="",K418="",L418=""),"Telemetry Blind Spot",IF(AND(K418="",L418=""),"Missed Alert",IF(L418="","Triage Delay",IF(S418&lt;=T418,"Detected - Within SLA",IF(AND(R418&lt;&gt;"",R418&gt;IFERROR(INDEX(Settings!$C$5:$C$8,MATCH(G418,Settings!$A$5:$A$8,0)),1E+099)),"Triage Delay","Detected - SLA Breach"))))))</f>
        <v/>
      </c>
      <c r="W418" s="25" t="str">
        <f aca="false">IF(G418="","",IF(L418&lt;&gt;"",1,0))</f>
        <v/>
      </c>
      <c r="X418" s="32"/>
      <c r="Y418" s="32"/>
      <c r="Z418" s="32"/>
      <c r="AA418" s="24"/>
      <c r="AB418" s="24"/>
      <c r="AC418" s="33" t="str">
        <f aca="false">IF(AND(G418&lt;&gt;"",L418&lt;&gt;"",X418&lt;&gt;""),(X418-L418)*1440,"")</f>
        <v/>
      </c>
      <c r="AD418" s="33" t="str">
        <f aca="false">IF(AND(G418&lt;&gt;"",X418&lt;&gt;"",Y418&lt;&gt;""),(Y418-X418)*1440,"")</f>
        <v/>
      </c>
      <c r="AE418" s="33" t="str">
        <f aca="false">IF(AND(G418&lt;&gt;"",Y418&lt;&gt;"",Z418&lt;&gt;""),(Z418-Y418)*1440,"")</f>
        <v/>
      </c>
      <c r="AF418" s="33" t="str">
        <f aca="false">IF(AND(G418&lt;&gt;"",L418&lt;&gt;"",Z418&lt;&gt;""),(Z418-L418)*1440,"")</f>
        <v/>
      </c>
      <c r="AG418" s="33" t="str">
        <f aca="false">IF(G418="","",IFERROR(INDEX(Settings!$D$5:$D$8,MATCH(G418,Settings!$A$5:$A$8,0)),""))</f>
        <v/>
      </c>
      <c r="AH418" s="25" t="str">
        <f aca="false">IF(G418="","",IF(AF418="","No",IF(AF418&lt;=AG418,"Yes","No")))</f>
        <v/>
      </c>
      <c r="AI418" s="25" t="str">
        <f aca="false">IF(G418="","",IF(L418="","N/A - Not Detected",IF(AND(X418="",Y418="",Z418=""),"No Containment Action",IF(Z418="",IF(Y418&lt;&gt;"","C2 Persisted","Host Isolation Gap"),IF(AF418&lt;=AG418,"Contained - Within SLA","Contained - SLA Breach")))))</f>
        <v/>
      </c>
      <c r="AJ418" s="25" t="str">
        <f aca="false">IF(G418="","",IF(Z418&lt;&gt;"",1,0))</f>
        <v/>
      </c>
      <c r="AK418" s="34"/>
      <c r="AL418" s="34"/>
      <c r="AM418" s="35"/>
      <c r="AN418" s="34"/>
      <c r="AO418" s="34"/>
      <c r="AP418" s="35"/>
      <c r="AQ418" s="34"/>
      <c r="AR418" s="34"/>
      <c r="AS418" s="34"/>
      <c r="AT418" s="35"/>
      <c r="AU418" s="35"/>
    </row>
    <row r="419" customFormat="false" ht="15" hidden="false" customHeight="false" outlineLevel="0" collapsed="false">
      <c r="A419" s="24"/>
      <c r="B419" s="24"/>
      <c r="C419" s="24"/>
      <c r="D419" s="24"/>
      <c r="E419" s="24"/>
      <c r="F419" s="24"/>
      <c r="G419" s="24"/>
      <c r="H419" s="24"/>
      <c r="I419" s="32"/>
      <c r="J419" s="32"/>
      <c r="K419" s="32"/>
      <c r="L419" s="32"/>
      <c r="M419" s="24"/>
      <c r="N419" s="24"/>
      <c r="O419" s="24"/>
      <c r="P419" s="33" t="str">
        <f aca="false">IF(AND(G419&lt;&gt;"",I419&lt;&gt;"",J419&lt;&gt;""),(J419-I419)*1440,"")</f>
        <v/>
      </c>
      <c r="Q419" s="33" t="str">
        <f aca="false">IF(AND(G419&lt;&gt;"",J419&lt;&gt;"",K419&lt;&gt;""),(K419-J419)*1440,"")</f>
        <v/>
      </c>
      <c r="R419" s="33" t="str">
        <f aca="false">IF(AND(G419&lt;&gt;"",K419&lt;&gt;"",L419&lt;&gt;""),(L419-K419)*1440,"")</f>
        <v/>
      </c>
      <c r="S419" s="33" t="str">
        <f aca="false">IF(AND(G419&lt;&gt;"",I419&lt;&gt;"",L419&lt;&gt;""),(L419-I419)*1440,"")</f>
        <v/>
      </c>
      <c r="T419" s="33" t="str">
        <f aca="false">IF(G419="","",IFERROR(INDEX(Settings!$B$5:$B$8,MATCH(G419,Settings!$A$5:$A$8,0)),""))</f>
        <v/>
      </c>
      <c r="U419" s="25" t="str">
        <f aca="false">IF(G419="","",IF(S419="","No",IF(S419&lt;=T419,"Yes","No")))</f>
        <v/>
      </c>
      <c r="V419" s="25" t="str">
        <f aca="false">IF(G419="","",IF(AND(J419="",K419="",L419=""),"Telemetry Blind Spot",IF(AND(K419="",L419=""),"Missed Alert",IF(L419="","Triage Delay",IF(S419&lt;=T419,"Detected - Within SLA",IF(AND(R419&lt;&gt;"",R419&gt;IFERROR(INDEX(Settings!$C$5:$C$8,MATCH(G419,Settings!$A$5:$A$8,0)),1E+099)),"Triage Delay","Detected - SLA Breach"))))))</f>
        <v/>
      </c>
      <c r="W419" s="25" t="str">
        <f aca="false">IF(G419="","",IF(L419&lt;&gt;"",1,0))</f>
        <v/>
      </c>
      <c r="X419" s="32"/>
      <c r="Y419" s="32"/>
      <c r="Z419" s="32"/>
      <c r="AA419" s="24"/>
      <c r="AB419" s="24"/>
      <c r="AC419" s="33" t="str">
        <f aca="false">IF(AND(G419&lt;&gt;"",L419&lt;&gt;"",X419&lt;&gt;""),(X419-L419)*1440,"")</f>
        <v/>
      </c>
      <c r="AD419" s="33" t="str">
        <f aca="false">IF(AND(G419&lt;&gt;"",X419&lt;&gt;"",Y419&lt;&gt;""),(Y419-X419)*1440,"")</f>
        <v/>
      </c>
      <c r="AE419" s="33" t="str">
        <f aca="false">IF(AND(G419&lt;&gt;"",Y419&lt;&gt;"",Z419&lt;&gt;""),(Z419-Y419)*1440,"")</f>
        <v/>
      </c>
      <c r="AF419" s="33" t="str">
        <f aca="false">IF(AND(G419&lt;&gt;"",L419&lt;&gt;"",Z419&lt;&gt;""),(Z419-L419)*1440,"")</f>
        <v/>
      </c>
      <c r="AG419" s="33" t="str">
        <f aca="false">IF(G419="","",IFERROR(INDEX(Settings!$D$5:$D$8,MATCH(G419,Settings!$A$5:$A$8,0)),""))</f>
        <v/>
      </c>
      <c r="AH419" s="25" t="str">
        <f aca="false">IF(G419="","",IF(AF419="","No",IF(AF419&lt;=AG419,"Yes","No")))</f>
        <v/>
      </c>
      <c r="AI419" s="25" t="str">
        <f aca="false">IF(G419="","",IF(L419="","N/A - Not Detected",IF(AND(X419="",Y419="",Z419=""),"No Containment Action",IF(Z419="",IF(Y419&lt;&gt;"","C2 Persisted","Host Isolation Gap"),IF(AF419&lt;=AG419,"Contained - Within SLA","Contained - SLA Breach")))))</f>
        <v/>
      </c>
      <c r="AJ419" s="25" t="str">
        <f aca="false">IF(G419="","",IF(Z419&lt;&gt;"",1,0))</f>
        <v/>
      </c>
      <c r="AK419" s="34"/>
      <c r="AL419" s="34"/>
      <c r="AM419" s="35"/>
      <c r="AN419" s="34"/>
      <c r="AO419" s="34"/>
      <c r="AP419" s="35"/>
      <c r="AQ419" s="34"/>
      <c r="AR419" s="34"/>
      <c r="AS419" s="34"/>
      <c r="AT419" s="35"/>
      <c r="AU419" s="35"/>
    </row>
    <row r="420" customFormat="false" ht="15" hidden="false" customHeight="false" outlineLevel="0" collapsed="false">
      <c r="A420" s="24"/>
      <c r="B420" s="24"/>
      <c r="C420" s="24"/>
      <c r="D420" s="24"/>
      <c r="E420" s="24"/>
      <c r="F420" s="24"/>
      <c r="G420" s="24"/>
      <c r="H420" s="24"/>
      <c r="I420" s="32"/>
      <c r="J420" s="32"/>
      <c r="K420" s="32"/>
      <c r="L420" s="32"/>
      <c r="M420" s="24"/>
      <c r="N420" s="24"/>
      <c r="O420" s="24"/>
      <c r="P420" s="33" t="str">
        <f aca="false">IF(AND(G420&lt;&gt;"",I420&lt;&gt;"",J420&lt;&gt;""),(J420-I420)*1440,"")</f>
        <v/>
      </c>
      <c r="Q420" s="33" t="str">
        <f aca="false">IF(AND(G420&lt;&gt;"",J420&lt;&gt;"",K420&lt;&gt;""),(K420-J420)*1440,"")</f>
        <v/>
      </c>
      <c r="R420" s="33" t="str">
        <f aca="false">IF(AND(G420&lt;&gt;"",K420&lt;&gt;"",L420&lt;&gt;""),(L420-K420)*1440,"")</f>
        <v/>
      </c>
      <c r="S420" s="33" t="str">
        <f aca="false">IF(AND(G420&lt;&gt;"",I420&lt;&gt;"",L420&lt;&gt;""),(L420-I420)*1440,"")</f>
        <v/>
      </c>
      <c r="T420" s="33" t="str">
        <f aca="false">IF(G420="","",IFERROR(INDEX(Settings!$B$5:$B$8,MATCH(G420,Settings!$A$5:$A$8,0)),""))</f>
        <v/>
      </c>
      <c r="U420" s="25" t="str">
        <f aca="false">IF(G420="","",IF(S420="","No",IF(S420&lt;=T420,"Yes","No")))</f>
        <v/>
      </c>
      <c r="V420" s="25" t="str">
        <f aca="false">IF(G420="","",IF(AND(J420="",K420="",L420=""),"Telemetry Blind Spot",IF(AND(K420="",L420=""),"Missed Alert",IF(L420="","Triage Delay",IF(S420&lt;=T420,"Detected - Within SLA",IF(AND(R420&lt;&gt;"",R420&gt;IFERROR(INDEX(Settings!$C$5:$C$8,MATCH(G420,Settings!$A$5:$A$8,0)),1E+099)),"Triage Delay","Detected - SLA Breach"))))))</f>
        <v/>
      </c>
      <c r="W420" s="25" t="str">
        <f aca="false">IF(G420="","",IF(L420&lt;&gt;"",1,0))</f>
        <v/>
      </c>
      <c r="X420" s="32"/>
      <c r="Y420" s="32"/>
      <c r="Z420" s="32"/>
      <c r="AA420" s="24"/>
      <c r="AB420" s="24"/>
      <c r="AC420" s="33" t="str">
        <f aca="false">IF(AND(G420&lt;&gt;"",L420&lt;&gt;"",X420&lt;&gt;""),(X420-L420)*1440,"")</f>
        <v/>
      </c>
      <c r="AD420" s="33" t="str">
        <f aca="false">IF(AND(G420&lt;&gt;"",X420&lt;&gt;"",Y420&lt;&gt;""),(Y420-X420)*1440,"")</f>
        <v/>
      </c>
      <c r="AE420" s="33" t="str">
        <f aca="false">IF(AND(G420&lt;&gt;"",Y420&lt;&gt;"",Z420&lt;&gt;""),(Z420-Y420)*1440,"")</f>
        <v/>
      </c>
      <c r="AF420" s="33" t="str">
        <f aca="false">IF(AND(G420&lt;&gt;"",L420&lt;&gt;"",Z420&lt;&gt;""),(Z420-L420)*1440,"")</f>
        <v/>
      </c>
      <c r="AG420" s="33" t="str">
        <f aca="false">IF(G420="","",IFERROR(INDEX(Settings!$D$5:$D$8,MATCH(G420,Settings!$A$5:$A$8,0)),""))</f>
        <v/>
      </c>
      <c r="AH420" s="25" t="str">
        <f aca="false">IF(G420="","",IF(AF420="","No",IF(AF420&lt;=AG420,"Yes","No")))</f>
        <v/>
      </c>
      <c r="AI420" s="25" t="str">
        <f aca="false">IF(G420="","",IF(L420="","N/A - Not Detected",IF(AND(X420="",Y420="",Z420=""),"No Containment Action",IF(Z420="",IF(Y420&lt;&gt;"","C2 Persisted","Host Isolation Gap"),IF(AF420&lt;=AG420,"Contained - Within SLA","Contained - SLA Breach")))))</f>
        <v/>
      </c>
      <c r="AJ420" s="25" t="str">
        <f aca="false">IF(G420="","",IF(Z420&lt;&gt;"",1,0))</f>
        <v/>
      </c>
      <c r="AK420" s="34"/>
      <c r="AL420" s="34"/>
      <c r="AM420" s="35"/>
      <c r="AN420" s="34"/>
      <c r="AO420" s="34"/>
      <c r="AP420" s="35"/>
      <c r="AQ420" s="34"/>
      <c r="AR420" s="34"/>
      <c r="AS420" s="34"/>
      <c r="AT420" s="35"/>
      <c r="AU420" s="35"/>
    </row>
    <row r="421" customFormat="false" ht="15" hidden="false" customHeight="false" outlineLevel="0" collapsed="false">
      <c r="A421" s="24"/>
      <c r="B421" s="24"/>
      <c r="C421" s="24"/>
      <c r="D421" s="24"/>
      <c r="E421" s="24"/>
      <c r="F421" s="24"/>
      <c r="G421" s="24"/>
      <c r="H421" s="24"/>
      <c r="I421" s="32"/>
      <c r="J421" s="32"/>
      <c r="K421" s="32"/>
      <c r="L421" s="32"/>
      <c r="M421" s="24"/>
      <c r="N421" s="24"/>
      <c r="O421" s="24"/>
      <c r="P421" s="33" t="str">
        <f aca="false">IF(AND(G421&lt;&gt;"",I421&lt;&gt;"",J421&lt;&gt;""),(J421-I421)*1440,"")</f>
        <v/>
      </c>
      <c r="Q421" s="33" t="str">
        <f aca="false">IF(AND(G421&lt;&gt;"",J421&lt;&gt;"",K421&lt;&gt;""),(K421-J421)*1440,"")</f>
        <v/>
      </c>
      <c r="R421" s="33" t="str">
        <f aca="false">IF(AND(G421&lt;&gt;"",K421&lt;&gt;"",L421&lt;&gt;""),(L421-K421)*1440,"")</f>
        <v/>
      </c>
      <c r="S421" s="33" t="str">
        <f aca="false">IF(AND(G421&lt;&gt;"",I421&lt;&gt;"",L421&lt;&gt;""),(L421-I421)*1440,"")</f>
        <v/>
      </c>
      <c r="T421" s="33" t="str">
        <f aca="false">IF(G421="","",IFERROR(INDEX(Settings!$B$5:$B$8,MATCH(G421,Settings!$A$5:$A$8,0)),""))</f>
        <v/>
      </c>
      <c r="U421" s="25" t="str">
        <f aca="false">IF(G421="","",IF(S421="","No",IF(S421&lt;=T421,"Yes","No")))</f>
        <v/>
      </c>
      <c r="V421" s="25" t="str">
        <f aca="false">IF(G421="","",IF(AND(J421="",K421="",L421=""),"Telemetry Blind Spot",IF(AND(K421="",L421=""),"Missed Alert",IF(L421="","Triage Delay",IF(S421&lt;=T421,"Detected - Within SLA",IF(AND(R421&lt;&gt;"",R421&gt;IFERROR(INDEX(Settings!$C$5:$C$8,MATCH(G421,Settings!$A$5:$A$8,0)),1E+099)),"Triage Delay","Detected - SLA Breach"))))))</f>
        <v/>
      </c>
      <c r="W421" s="25" t="str">
        <f aca="false">IF(G421="","",IF(L421&lt;&gt;"",1,0))</f>
        <v/>
      </c>
      <c r="X421" s="32"/>
      <c r="Y421" s="32"/>
      <c r="Z421" s="32"/>
      <c r="AA421" s="24"/>
      <c r="AB421" s="24"/>
      <c r="AC421" s="33" t="str">
        <f aca="false">IF(AND(G421&lt;&gt;"",L421&lt;&gt;"",X421&lt;&gt;""),(X421-L421)*1440,"")</f>
        <v/>
      </c>
      <c r="AD421" s="33" t="str">
        <f aca="false">IF(AND(G421&lt;&gt;"",X421&lt;&gt;"",Y421&lt;&gt;""),(Y421-X421)*1440,"")</f>
        <v/>
      </c>
      <c r="AE421" s="33" t="str">
        <f aca="false">IF(AND(G421&lt;&gt;"",Y421&lt;&gt;"",Z421&lt;&gt;""),(Z421-Y421)*1440,"")</f>
        <v/>
      </c>
      <c r="AF421" s="33" t="str">
        <f aca="false">IF(AND(G421&lt;&gt;"",L421&lt;&gt;"",Z421&lt;&gt;""),(Z421-L421)*1440,"")</f>
        <v/>
      </c>
      <c r="AG421" s="33" t="str">
        <f aca="false">IF(G421="","",IFERROR(INDEX(Settings!$D$5:$D$8,MATCH(G421,Settings!$A$5:$A$8,0)),""))</f>
        <v/>
      </c>
      <c r="AH421" s="25" t="str">
        <f aca="false">IF(G421="","",IF(AF421="","No",IF(AF421&lt;=AG421,"Yes","No")))</f>
        <v/>
      </c>
      <c r="AI421" s="25" t="str">
        <f aca="false">IF(G421="","",IF(L421="","N/A - Not Detected",IF(AND(X421="",Y421="",Z421=""),"No Containment Action",IF(Z421="",IF(Y421&lt;&gt;"","C2 Persisted","Host Isolation Gap"),IF(AF421&lt;=AG421,"Contained - Within SLA","Contained - SLA Breach")))))</f>
        <v/>
      </c>
      <c r="AJ421" s="25" t="str">
        <f aca="false">IF(G421="","",IF(Z421&lt;&gt;"",1,0))</f>
        <v/>
      </c>
      <c r="AK421" s="34"/>
      <c r="AL421" s="34"/>
      <c r="AM421" s="35"/>
      <c r="AN421" s="34"/>
      <c r="AO421" s="34"/>
      <c r="AP421" s="35"/>
      <c r="AQ421" s="34"/>
      <c r="AR421" s="34"/>
      <c r="AS421" s="34"/>
      <c r="AT421" s="35"/>
      <c r="AU421" s="35"/>
    </row>
    <row r="422" customFormat="false" ht="15" hidden="false" customHeight="false" outlineLevel="0" collapsed="false">
      <c r="A422" s="24"/>
      <c r="B422" s="24"/>
      <c r="C422" s="24"/>
      <c r="D422" s="24"/>
      <c r="E422" s="24"/>
      <c r="F422" s="24"/>
      <c r="G422" s="24"/>
      <c r="H422" s="24"/>
      <c r="I422" s="32"/>
      <c r="J422" s="32"/>
      <c r="K422" s="32"/>
      <c r="L422" s="32"/>
      <c r="M422" s="24"/>
      <c r="N422" s="24"/>
      <c r="O422" s="24"/>
      <c r="P422" s="33" t="str">
        <f aca="false">IF(AND(G422&lt;&gt;"",I422&lt;&gt;"",J422&lt;&gt;""),(J422-I422)*1440,"")</f>
        <v/>
      </c>
      <c r="Q422" s="33" t="str">
        <f aca="false">IF(AND(G422&lt;&gt;"",J422&lt;&gt;"",K422&lt;&gt;""),(K422-J422)*1440,"")</f>
        <v/>
      </c>
      <c r="R422" s="33" t="str">
        <f aca="false">IF(AND(G422&lt;&gt;"",K422&lt;&gt;"",L422&lt;&gt;""),(L422-K422)*1440,"")</f>
        <v/>
      </c>
      <c r="S422" s="33" t="str">
        <f aca="false">IF(AND(G422&lt;&gt;"",I422&lt;&gt;"",L422&lt;&gt;""),(L422-I422)*1440,"")</f>
        <v/>
      </c>
      <c r="T422" s="33" t="str">
        <f aca="false">IF(G422="","",IFERROR(INDEX(Settings!$B$5:$B$8,MATCH(G422,Settings!$A$5:$A$8,0)),""))</f>
        <v/>
      </c>
      <c r="U422" s="25" t="str">
        <f aca="false">IF(G422="","",IF(S422="","No",IF(S422&lt;=T422,"Yes","No")))</f>
        <v/>
      </c>
      <c r="V422" s="25" t="str">
        <f aca="false">IF(G422="","",IF(AND(J422="",K422="",L422=""),"Telemetry Blind Spot",IF(AND(K422="",L422=""),"Missed Alert",IF(L422="","Triage Delay",IF(S422&lt;=T422,"Detected - Within SLA",IF(AND(R422&lt;&gt;"",R422&gt;IFERROR(INDEX(Settings!$C$5:$C$8,MATCH(G422,Settings!$A$5:$A$8,0)),1E+099)),"Triage Delay","Detected - SLA Breach"))))))</f>
        <v/>
      </c>
      <c r="W422" s="25" t="str">
        <f aca="false">IF(G422="","",IF(L422&lt;&gt;"",1,0))</f>
        <v/>
      </c>
      <c r="X422" s="32"/>
      <c r="Y422" s="32"/>
      <c r="Z422" s="32"/>
      <c r="AA422" s="24"/>
      <c r="AB422" s="24"/>
      <c r="AC422" s="33" t="str">
        <f aca="false">IF(AND(G422&lt;&gt;"",L422&lt;&gt;"",X422&lt;&gt;""),(X422-L422)*1440,"")</f>
        <v/>
      </c>
      <c r="AD422" s="33" t="str">
        <f aca="false">IF(AND(G422&lt;&gt;"",X422&lt;&gt;"",Y422&lt;&gt;""),(Y422-X422)*1440,"")</f>
        <v/>
      </c>
      <c r="AE422" s="33" t="str">
        <f aca="false">IF(AND(G422&lt;&gt;"",Y422&lt;&gt;"",Z422&lt;&gt;""),(Z422-Y422)*1440,"")</f>
        <v/>
      </c>
      <c r="AF422" s="33" t="str">
        <f aca="false">IF(AND(G422&lt;&gt;"",L422&lt;&gt;"",Z422&lt;&gt;""),(Z422-L422)*1440,"")</f>
        <v/>
      </c>
      <c r="AG422" s="33" t="str">
        <f aca="false">IF(G422="","",IFERROR(INDEX(Settings!$D$5:$D$8,MATCH(G422,Settings!$A$5:$A$8,0)),""))</f>
        <v/>
      </c>
      <c r="AH422" s="25" t="str">
        <f aca="false">IF(G422="","",IF(AF422="","No",IF(AF422&lt;=AG422,"Yes","No")))</f>
        <v/>
      </c>
      <c r="AI422" s="25" t="str">
        <f aca="false">IF(G422="","",IF(L422="","N/A - Not Detected",IF(AND(X422="",Y422="",Z422=""),"No Containment Action",IF(Z422="",IF(Y422&lt;&gt;"","C2 Persisted","Host Isolation Gap"),IF(AF422&lt;=AG422,"Contained - Within SLA","Contained - SLA Breach")))))</f>
        <v/>
      </c>
      <c r="AJ422" s="25" t="str">
        <f aca="false">IF(G422="","",IF(Z422&lt;&gt;"",1,0))</f>
        <v/>
      </c>
      <c r="AK422" s="34"/>
      <c r="AL422" s="34"/>
      <c r="AM422" s="35"/>
      <c r="AN422" s="34"/>
      <c r="AO422" s="34"/>
      <c r="AP422" s="35"/>
      <c r="AQ422" s="34"/>
      <c r="AR422" s="34"/>
      <c r="AS422" s="34"/>
      <c r="AT422" s="35"/>
      <c r="AU422" s="35"/>
    </row>
    <row r="423" customFormat="false" ht="15" hidden="false" customHeight="false" outlineLevel="0" collapsed="false">
      <c r="A423" s="24"/>
      <c r="B423" s="24"/>
      <c r="C423" s="24"/>
      <c r="D423" s="24"/>
      <c r="E423" s="24"/>
      <c r="F423" s="24"/>
      <c r="G423" s="24"/>
      <c r="H423" s="24"/>
      <c r="I423" s="32"/>
      <c r="J423" s="32"/>
      <c r="K423" s="32"/>
      <c r="L423" s="32"/>
      <c r="M423" s="24"/>
      <c r="N423" s="24"/>
      <c r="O423" s="24"/>
      <c r="P423" s="33" t="str">
        <f aca="false">IF(AND(G423&lt;&gt;"",I423&lt;&gt;"",J423&lt;&gt;""),(J423-I423)*1440,"")</f>
        <v/>
      </c>
      <c r="Q423" s="33" t="str">
        <f aca="false">IF(AND(G423&lt;&gt;"",J423&lt;&gt;"",K423&lt;&gt;""),(K423-J423)*1440,"")</f>
        <v/>
      </c>
      <c r="R423" s="33" t="str">
        <f aca="false">IF(AND(G423&lt;&gt;"",K423&lt;&gt;"",L423&lt;&gt;""),(L423-K423)*1440,"")</f>
        <v/>
      </c>
      <c r="S423" s="33" t="str">
        <f aca="false">IF(AND(G423&lt;&gt;"",I423&lt;&gt;"",L423&lt;&gt;""),(L423-I423)*1440,"")</f>
        <v/>
      </c>
      <c r="T423" s="33" t="str">
        <f aca="false">IF(G423="","",IFERROR(INDEX(Settings!$B$5:$B$8,MATCH(G423,Settings!$A$5:$A$8,0)),""))</f>
        <v/>
      </c>
      <c r="U423" s="25" t="str">
        <f aca="false">IF(G423="","",IF(S423="","No",IF(S423&lt;=T423,"Yes","No")))</f>
        <v/>
      </c>
      <c r="V423" s="25" t="str">
        <f aca="false">IF(G423="","",IF(AND(J423="",K423="",L423=""),"Telemetry Blind Spot",IF(AND(K423="",L423=""),"Missed Alert",IF(L423="","Triage Delay",IF(S423&lt;=T423,"Detected - Within SLA",IF(AND(R423&lt;&gt;"",R423&gt;IFERROR(INDEX(Settings!$C$5:$C$8,MATCH(G423,Settings!$A$5:$A$8,0)),1E+099)),"Triage Delay","Detected - SLA Breach"))))))</f>
        <v/>
      </c>
      <c r="W423" s="25" t="str">
        <f aca="false">IF(G423="","",IF(L423&lt;&gt;"",1,0))</f>
        <v/>
      </c>
      <c r="X423" s="32"/>
      <c r="Y423" s="32"/>
      <c r="Z423" s="32"/>
      <c r="AA423" s="24"/>
      <c r="AB423" s="24"/>
      <c r="AC423" s="33" t="str">
        <f aca="false">IF(AND(G423&lt;&gt;"",L423&lt;&gt;"",X423&lt;&gt;""),(X423-L423)*1440,"")</f>
        <v/>
      </c>
      <c r="AD423" s="33" t="str">
        <f aca="false">IF(AND(G423&lt;&gt;"",X423&lt;&gt;"",Y423&lt;&gt;""),(Y423-X423)*1440,"")</f>
        <v/>
      </c>
      <c r="AE423" s="33" t="str">
        <f aca="false">IF(AND(G423&lt;&gt;"",Y423&lt;&gt;"",Z423&lt;&gt;""),(Z423-Y423)*1440,"")</f>
        <v/>
      </c>
      <c r="AF423" s="33" t="str">
        <f aca="false">IF(AND(G423&lt;&gt;"",L423&lt;&gt;"",Z423&lt;&gt;""),(Z423-L423)*1440,"")</f>
        <v/>
      </c>
      <c r="AG423" s="33" t="str">
        <f aca="false">IF(G423="","",IFERROR(INDEX(Settings!$D$5:$D$8,MATCH(G423,Settings!$A$5:$A$8,0)),""))</f>
        <v/>
      </c>
      <c r="AH423" s="25" t="str">
        <f aca="false">IF(G423="","",IF(AF423="","No",IF(AF423&lt;=AG423,"Yes","No")))</f>
        <v/>
      </c>
      <c r="AI423" s="25" t="str">
        <f aca="false">IF(G423="","",IF(L423="","N/A - Not Detected",IF(AND(X423="",Y423="",Z423=""),"No Containment Action",IF(Z423="",IF(Y423&lt;&gt;"","C2 Persisted","Host Isolation Gap"),IF(AF423&lt;=AG423,"Contained - Within SLA","Contained - SLA Breach")))))</f>
        <v/>
      </c>
      <c r="AJ423" s="25" t="str">
        <f aca="false">IF(G423="","",IF(Z423&lt;&gt;"",1,0))</f>
        <v/>
      </c>
      <c r="AK423" s="34"/>
      <c r="AL423" s="34"/>
      <c r="AM423" s="35"/>
      <c r="AN423" s="34"/>
      <c r="AO423" s="34"/>
      <c r="AP423" s="35"/>
      <c r="AQ423" s="34"/>
      <c r="AR423" s="34"/>
      <c r="AS423" s="34"/>
      <c r="AT423" s="35"/>
      <c r="AU423" s="35"/>
    </row>
    <row r="424" customFormat="false" ht="15" hidden="false" customHeight="false" outlineLevel="0" collapsed="false">
      <c r="A424" s="24"/>
      <c r="B424" s="24"/>
      <c r="C424" s="24"/>
      <c r="D424" s="24"/>
      <c r="E424" s="24"/>
      <c r="F424" s="24"/>
      <c r="G424" s="24"/>
      <c r="H424" s="24"/>
      <c r="I424" s="32"/>
      <c r="J424" s="32"/>
      <c r="K424" s="32"/>
      <c r="L424" s="32"/>
      <c r="M424" s="24"/>
      <c r="N424" s="24"/>
      <c r="O424" s="24"/>
      <c r="P424" s="33" t="str">
        <f aca="false">IF(AND(G424&lt;&gt;"",I424&lt;&gt;"",J424&lt;&gt;""),(J424-I424)*1440,"")</f>
        <v/>
      </c>
      <c r="Q424" s="33" t="str">
        <f aca="false">IF(AND(G424&lt;&gt;"",J424&lt;&gt;"",K424&lt;&gt;""),(K424-J424)*1440,"")</f>
        <v/>
      </c>
      <c r="R424" s="33" t="str">
        <f aca="false">IF(AND(G424&lt;&gt;"",K424&lt;&gt;"",L424&lt;&gt;""),(L424-K424)*1440,"")</f>
        <v/>
      </c>
      <c r="S424" s="33" t="str">
        <f aca="false">IF(AND(G424&lt;&gt;"",I424&lt;&gt;"",L424&lt;&gt;""),(L424-I424)*1440,"")</f>
        <v/>
      </c>
      <c r="T424" s="33" t="str">
        <f aca="false">IF(G424="","",IFERROR(INDEX(Settings!$B$5:$B$8,MATCH(G424,Settings!$A$5:$A$8,0)),""))</f>
        <v/>
      </c>
      <c r="U424" s="25" t="str">
        <f aca="false">IF(G424="","",IF(S424="","No",IF(S424&lt;=T424,"Yes","No")))</f>
        <v/>
      </c>
      <c r="V424" s="25" t="str">
        <f aca="false">IF(G424="","",IF(AND(J424="",K424="",L424=""),"Telemetry Blind Spot",IF(AND(K424="",L424=""),"Missed Alert",IF(L424="","Triage Delay",IF(S424&lt;=T424,"Detected - Within SLA",IF(AND(R424&lt;&gt;"",R424&gt;IFERROR(INDEX(Settings!$C$5:$C$8,MATCH(G424,Settings!$A$5:$A$8,0)),1E+099)),"Triage Delay","Detected - SLA Breach"))))))</f>
        <v/>
      </c>
      <c r="W424" s="25" t="str">
        <f aca="false">IF(G424="","",IF(L424&lt;&gt;"",1,0))</f>
        <v/>
      </c>
      <c r="X424" s="32"/>
      <c r="Y424" s="32"/>
      <c r="Z424" s="32"/>
      <c r="AA424" s="24"/>
      <c r="AB424" s="24"/>
      <c r="AC424" s="33" t="str">
        <f aca="false">IF(AND(G424&lt;&gt;"",L424&lt;&gt;"",X424&lt;&gt;""),(X424-L424)*1440,"")</f>
        <v/>
      </c>
      <c r="AD424" s="33" t="str">
        <f aca="false">IF(AND(G424&lt;&gt;"",X424&lt;&gt;"",Y424&lt;&gt;""),(Y424-X424)*1440,"")</f>
        <v/>
      </c>
      <c r="AE424" s="33" t="str">
        <f aca="false">IF(AND(G424&lt;&gt;"",Y424&lt;&gt;"",Z424&lt;&gt;""),(Z424-Y424)*1440,"")</f>
        <v/>
      </c>
      <c r="AF424" s="33" t="str">
        <f aca="false">IF(AND(G424&lt;&gt;"",L424&lt;&gt;"",Z424&lt;&gt;""),(Z424-L424)*1440,"")</f>
        <v/>
      </c>
      <c r="AG424" s="33" t="str">
        <f aca="false">IF(G424="","",IFERROR(INDEX(Settings!$D$5:$D$8,MATCH(G424,Settings!$A$5:$A$8,0)),""))</f>
        <v/>
      </c>
      <c r="AH424" s="25" t="str">
        <f aca="false">IF(G424="","",IF(AF424="","No",IF(AF424&lt;=AG424,"Yes","No")))</f>
        <v/>
      </c>
      <c r="AI424" s="25" t="str">
        <f aca="false">IF(G424="","",IF(L424="","N/A - Not Detected",IF(AND(X424="",Y424="",Z424=""),"No Containment Action",IF(Z424="",IF(Y424&lt;&gt;"","C2 Persisted","Host Isolation Gap"),IF(AF424&lt;=AG424,"Contained - Within SLA","Contained - SLA Breach")))))</f>
        <v/>
      </c>
      <c r="AJ424" s="25" t="str">
        <f aca="false">IF(G424="","",IF(Z424&lt;&gt;"",1,0))</f>
        <v/>
      </c>
      <c r="AK424" s="34"/>
      <c r="AL424" s="34"/>
      <c r="AM424" s="35"/>
      <c r="AN424" s="34"/>
      <c r="AO424" s="34"/>
      <c r="AP424" s="35"/>
      <c r="AQ424" s="34"/>
      <c r="AR424" s="34"/>
      <c r="AS424" s="34"/>
      <c r="AT424" s="35"/>
      <c r="AU424" s="35"/>
    </row>
    <row r="425" customFormat="false" ht="15" hidden="false" customHeight="false" outlineLevel="0" collapsed="false">
      <c r="A425" s="24"/>
      <c r="B425" s="24"/>
      <c r="C425" s="24"/>
      <c r="D425" s="24"/>
      <c r="E425" s="24"/>
      <c r="F425" s="24"/>
      <c r="G425" s="24"/>
      <c r="H425" s="24"/>
      <c r="I425" s="32"/>
      <c r="J425" s="32"/>
      <c r="K425" s="32"/>
      <c r="L425" s="32"/>
      <c r="M425" s="24"/>
      <c r="N425" s="24"/>
      <c r="O425" s="24"/>
      <c r="P425" s="33" t="str">
        <f aca="false">IF(AND(G425&lt;&gt;"",I425&lt;&gt;"",J425&lt;&gt;""),(J425-I425)*1440,"")</f>
        <v/>
      </c>
      <c r="Q425" s="33" t="str">
        <f aca="false">IF(AND(G425&lt;&gt;"",J425&lt;&gt;"",K425&lt;&gt;""),(K425-J425)*1440,"")</f>
        <v/>
      </c>
      <c r="R425" s="33" t="str">
        <f aca="false">IF(AND(G425&lt;&gt;"",K425&lt;&gt;"",L425&lt;&gt;""),(L425-K425)*1440,"")</f>
        <v/>
      </c>
      <c r="S425" s="33" t="str">
        <f aca="false">IF(AND(G425&lt;&gt;"",I425&lt;&gt;"",L425&lt;&gt;""),(L425-I425)*1440,"")</f>
        <v/>
      </c>
      <c r="T425" s="33" t="str">
        <f aca="false">IF(G425="","",IFERROR(INDEX(Settings!$B$5:$B$8,MATCH(G425,Settings!$A$5:$A$8,0)),""))</f>
        <v/>
      </c>
      <c r="U425" s="25" t="str">
        <f aca="false">IF(G425="","",IF(S425="","No",IF(S425&lt;=T425,"Yes","No")))</f>
        <v/>
      </c>
      <c r="V425" s="25" t="str">
        <f aca="false">IF(G425="","",IF(AND(J425="",K425="",L425=""),"Telemetry Blind Spot",IF(AND(K425="",L425=""),"Missed Alert",IF(L425="","Triage Delay",IF(S425&lt;=T425,"Detected - Within SLA",IF(AND(R425&lt;&gt;"",R425&gt;IFERROR(INDEX(Settings!$C$5:$C$8,MATCH(G425,Settings!$A$5:$A$8,0)),1E+099)),"Triage Delay","Detected - SLA Breach"))))))</f>
        <v/>
      </c>
      <c r="W425" s="25" t="str">
        <f aca="false">IF(G425="","",IF(L425&lt;&gt;"",1,0))</f>
        <v/>
      </c>
      <c r="X425" s="32"/>
      <c r="Y425" s="32"/>
      <c r="Z425" s="32"/>
      <c r="AA425" s="24"/>
      <c r="AB425" s="24"/>
      <c r="AC425" s="33" t="str">
        <f aca="false">IF(AND(G425&lt;&gt;"",L425&lt;&gt;"",X425&lt;&gt;""),(X425-L425)*1440,"")</f>
        <v/>
      </c>
      <c r="AD425" s="33" t="str">
        <f aca="false">IF(AND(G425&lt;&gt;"",X425&lt;&gt;"",Y425&lt;&gt;""),(Y425-X425)*1440,"")</f>
        <v/>
      </c>
      <c r="AE425" s="33" t="str">
        <f aca="false">IF(AND(G425&lt;&gt;"",Y425&lt;&gt;"",Z425&lt;&gt;""),(Z425-Y425)*1440,"")</f>
        <v/>
      </c>
      <c r="AF425" s="33" t="str">
        <f aca="false">IF(AND(G425&lt;&gt;"",L425&lt;&gt;"",Z425&lt;&gt;""),(Z425-L425)*1440,"")</f>
        <v/>
      </c>
      <c r="AG425" s="33" t="str">
        <f aca="false">IF(G425="","",IFERROR(INDEX(Settings!$D$5:$D$8,MATCH(G425,Settings!$A$5:$A$8,0)),""))</f>
        <v/>
      </c>
      <c r="AH425" s="25" t="str">
        <f aca="false">IF(G425="","",IF(AF425="","No",IF(AF425&lt;=AG425,"Yes","No")))</f>
        <v/>
      </c>
      <c r="AI425" s="25" t="str">
        <f aca="false">IF(G425="","",IF(L425="","N/A - Not Detected",IF(AND(X425="",Y425="",Z425=""),"No Containment Action",IF(Z425="",IF(Y425&lt;&gt;"","C2 Persisted","Host Isolation Gap"),IF(AF425&lt;=AG425,"Contained - Within SLA","Contained - SLA Breach")))))</f>
        <v/>
      </c>
      <c r="AJ425" s="25" t="str">
        <f aca="false">IF(G425="","",IF(Z425&lt;&gt;"",1,0))</f>
        <v/>
      </c>
      <c r="AK425" s="34"/>
      <c r="AL425" s="34"/>
      <c r="AM425" s="35"/>
      <c r="AN425" s="34"/>
      <c r="AO425" s="34"/>
      <c r="AP425" s="35"/>
      <c r="AQ425" s="34"/>
      <c r="AR425" s="34"/>
      <c r="AS425" s="34"/>
      <c r="AT425" s="35"/>
      <c r="AU425" s="35"/>
    </row>
    <row r="426" customFormat="false" ht="15" hidden="false" customHeight="false" outlineLevel="0" collapsed="false">
      <c r="A426" s="24"/>
      <c r="B426" s="24"/>
      <c r="C426" s="24"/>
      <c r="D426" s="24"/>
      <c r="E426" s="24"/>
      <c r="F426" s="24"/>
      <c r="G426" s="24"/>
      <c r="H426" s="24"/>
      <c r="I426" s="32"/>
      <c r="J426" s="32"/>
      <c r="K426" s="32"/>
      <c r="L426" s="32"/>
      <c r="M426" s="24"/>
      <c r="N426" s="24"/>
      <c r="O426" s="24"/>
      <c r="P426" s="33" t="str">
        <f aca="false">IF(AND(G426&lt;&gt;"",I426&lt;&gt;"",J426&lt;&gt;""),(J426-I426)*1440,"")</f>
        <v/>
      </c>
      <c r="Q426" s="33" t="str">
        <f aca="false">IF(AND(G426&lt;&gt;"",J426&lt;&gt;"",K426&lt;&gt;""),(K426-J426)*1440,"")</f>
        <v/>
      </c>
      <c r="R426" s="33" t="str">
        <f aca="false">IF(AND(G426&lt;&gt;"",K426&lt;&gt;"",L426&lt;&gt;""),(L426-K426)*1440,"")</f>
        <v/>
      </c>
      <c r="S426" s="33" t="str">
        <f aca="false">IF(AND(G426&lt;&gt;"",I426&lt;&gt;"",L426&lt;&gt;""),(L426-I426)*1440,"")</f>
        <v/>
      </c>
      <c r="T426" s="33" t="str">
        <f aca="false">IF(G426="","",IFERROR(INDEX(Settings!$B$5:$B$8,MATCH(G426,Settings!$A$5:$A$8,0)),""))</f>
        <v/>
      </c>
      <c r="U426" s="25" t="str">
        <f aca="false">IF(G426="","",IF(S426="","No",IF(S426&lt;=T426,"Yes","No")))</f>
        <v/>
      </c>
      <c r="V426" s="25" t="str">
        <f aca="false">IF(G426="","",IF(AND(J426="",K426="",L426=""),"Telemetry Blind Spot",IF(AND(K426="",L426=""),"Missed Alert",IF(L426="","Triage Delay",IF(S426&lt;=T426,"Detected - Within SLA",IF(AND(R426&lt;&gt;"",R426&gt;IFERROR(INDEX(Settings!$C$5:$C$8,MATCH(G426,Settings!$A$5:$A$8,0)),1E+099)),"Triage Delay","Detected - SLA Breach"))))))</f>
        <v/>
      </c>
      <c r="W426" s="25" t="str">
        <f aca="false">IF(G426="","",IF(L426&lt;&gt;"",1,0))</f>
        <v/>
      </c>
      <c r="X426" s="32"/>
      <c r="Y426" s="32"/>
      <c r="Z426" s="32"/>
      <c r="AA426" s="24"/>
      <c r="AB426" s="24"/>
      <c r="AC426" s="33" t="str">
        <f aca="false">IF(AND(G426&lt;&gt;"",L426&lt;&gt;"",X426&lt;&gt;""),(X426-L426)*1440,"")</f>
        <v/>
      </c>
      <c r="AD426" s="33" t="str">
        <f aca="false">IF(AND(G426&lt;&gt;"",X426&lt;&gt;"",Y426&lt;&gt;""),(Y426-X426)*1440,"")</f>
        <v/>
      </c>
      <c r="AE426" s="33" t="str">
        <f aca="false">IF(AND(G426&lt;&gt;"",Y426&lt;&gt;"",Z426&lt;&gt;""),(Z426-Y426)*1440,"")</f>
        <v/>
      </c>
      <c r="AF426" s="33" t="str">
        <f aca="false">IF(AND(G426&lt;&gt;"",L426&lt;&gt;"",Z426&lt;&gt;""),(Z426-L426)*1440,"")</f>
        <v/>
      </c>
      <c r="AG426" s="33" t="str">
        <f aca="false">IF(G426="","",IFERROR(INDEX(Settings!$D$5:$D$8,MATCH(G426,Settings!$A$5:$A$8,0)),""))</f>
        <v/>
      </c>
      <c r="AH426" s="25" t="str">
        <f aca="false">IF(G426="","",IF(AF426="","No",IF(AF426&lt;=AG426,"Yes","No")))</f>
        <v/>
      </c>
      <c r="AI426" s="25" t="str">
        <f aca="false">IF(G426="","",IF(L426="","N/A - Not Detected",IF(AND(X426="",Y426="",Z426=""),"No Containment Action",IF(Z426="",IF(Y426&lt;&gt;"","C2 Persisted","Host Isolation Gap"),IF(AF426&lt;=AG426,"Contained - Within SLA","Contained - SLA Breach")))))</f>
        <v/>
      </c>
      <c r="AJ426" s="25" t="str">
        <f aca="false">IF(G426="","",IF(Z426&lt;&gt;"",1,0))</f>
        <v/>
      </c>
      <c r="AK426" s="34"/>
      <c r="AL426" s="34"/>
      <c r="AM426" s="35"/>
      <c r="AN426" s="34"/>
      <c r="AO426" s="34"/>
      <c r="AP426" s="35"/>
      <c r="AQ426" s="34"/>
      <c r="AR426" s="34"/>
      <c r="AS426" s="34"/>
      <c r="AT426" s="35"/>
      <c r="AU426" s="35"/>
    </row>
    <row r="427" customFormat="false" ht="15" hidden="false" customHeight="false" outlineLevel="0" collapsed="false">
      <c r="A427" s="24"/>
      <c r="B427" s="24"/>
      <c r="C427" s="24"/>
      <c r="D427" s="24"/>
      <c r="E427" s="24"/>
      <c r="F427" s="24"/>
      <c r="G427" s="24"/>
      <c r="H427" s="24"/>
      <c r="I427" s="32"/>
      <c r="J427" s="32"/>
      <c r="K427" s="32"/>
      <c r="L427" s="32"/>
      <c r="M427" s="24"/>
      <c r="N427" s="24"/>
      <c r="O427" s="24"/>
      <c r="P427" s="33" t="str">
        <f aca="false">IF(AND(G427&lt;&gt;"",I427&lt;&gt;"",J427&lt;&gt;""),(J427-I427)*1440,"")</f>
        <v/>
      </c>
      <c r="Q427" s="33" t="str">
        <f aca="false">IF(AND(G427&lt;&gt;"",J427&lt;&gt;"",K427&lt;&gt;""),(K427-J427)*1440,"")</f>
        <v/>
      </c>
      <c r="R427" s="33" t="str">
        <f aca="false">IF(AND(G427&lt;&gt;"",K427&lt;&gt;"",L427&lt;&gt;""),(L427-K427)*1440,"")</f>
        <v/>
      </c>
      <c r="S427" s="33" t="str">
        <f aca="false">IF(AND(G427&lt;&gt;"",I427&lt;&gt;"",L427&lt;&gt;""),(L427-I427)*1440,"")</f>
        <v/>
      </c>
      <c r="T427" s="33" t="str">
        <f aca="false">IF(G427="","",IFERROR(INDEX(Settings!$B$5:$B$8,MATCH(G427,Settings!$A$5:$A$8,0)),""))</f>
        <v/>
      </c>
      <c r="U427" s="25" t="str">
        <f aca="false">IF(G427="","",IF(S427="","No",IF(S427&lt;=T427,"Yes","No")))</f>
        <v/>
      </c>
      <c r="V427" s="25" t="str">
        <f aca="false">IF(G427="","",IF(AND(J427="",K427="",L427=""),"Telemetry Blind Spot",IF(AND(K427="",L427=""),"Missed Alert",IF(L427="","Triage Delay",IF(S427&lt;=T427,"Detected - Within SLA",IF(AND(R427&lt;&gt;"",R427&gt;IFERROR(INDEX(Settings!$C$5:$C$8,MATCH(G427,Settings!$A$5:$A$8,0)),1E+099)),"Triage Delay","Detected - SLA Breach"))))))</f>
        <v/>
      </c>
      <c r="W427" s="25" t="str">
        <f aca="false">IF(G427="","",IF(L427&lt;&gt;"",1,0))</f>
        <v/>
      </c>
      <c r="X427" s="32"/>
      <c r="Y427" s="32"/>
      <c r="Z427" s="32"/>
      <c r="AA427" s="24"/>
      <c r="AB427" s="24"/>
      <c r="AC427" s="33" t="str">
        <f aca="false">IF(AND(G427&lt;&gt;"",L427&lt;&gt;"",X427&lt;&gt;""),(X427-L427)*1440,"")</f>
        <v/>
      </c>
      <c r="AD427" s="33" t="str">
        <f aca="false">IF(AND(G427&lt;&gt;"",X427&lt;&gt;"",Y427&lt;&gt;""),(Y427-X427)*1440,"")</f>
        <v/>
      </c>
      <c r="AE427" s="33" t="str">
        <f aca="false">IF(AND(G427&lt;&gt;"",Y427&lt;&gt;"",Z427&lt;&gt;""),(Z427-Y427)*1440,"")</f>
        <v/>
      </c>
      <c r="AF427" s="33" t="str">
        <f aca="false">IF(AND(G427&lt;&gt;"",L427&lt;&gt;"",Z427&lt;&gt;""),(Z427-L427)*1440,"")</f>
        <v/>
      </c>
      <c r="AG427" s="33" t="str">
        <f aca="false">IF(G427="","",IFERROR(INDEX(Settings!$D$5:$D$8,MATCH(G427,Settings!$A$5:$A$8,0)),""))</f>
        <v/>
      </c>
      <c r="AH427" s="25" t="str">
        <f aca="false">IF(G427="","",IF(AF427="","No",IF(AF427&lt;=AG427,"Yes","No")))</f>
        <v/>
      </c>
      <c r="AI427" s="25" t="str">
        <f aca="false">IF(G427="","",IF(L427="","N/A - Not Detected",IF(AND(X427="",Y427="",Z427=""),"No Containment Action",IF(Z427="",IF(Y427&lt;&gt;"","C2 Persisted","Host Isolation Gap"),IF(AF427&lt;=AG427,"Contained - Within SLA","Contained - SLA Breach")))))</f>
        <v/>
      </c>
      <c r="AJ427" s="25" t="str">
        <f aca="false">IF(G427="","",IF(Z427&lt;&gt;"",1,0))</f>
        <v/>
      </c>
      <c r="AK427" s="34"/>
      <c r="AL427" s="34"/>
      <c r="AM427" s="35"/>
      <c r="AN427" s="34"/>
      <c r="AO427" s="34"/>
      <c r="AP427" s="35"/>
      <c r="AQ427" s="34"/>
      <c r="AR427" s="34"/>
      <c r="AS427" s="34"/>
      <c r="AT427" s="35"/>
      <c r="AU427" s="35"/>
    </row>
    <row r="428" customFormat="false" ht="15" hidden="false" customHeight="false" outlineLevel="0" collapsed="false">
      <c r="A428" s="24"/>
      <c r="B428" s="24"/>
      <c r="C428" s="24"/>
      <c r="D428" s="24"/>
      <c r="E428" s="24"/>
      <c r="F428" s="24"/>
      <c r="G428" s="24"/>
      <c r="H428" s="24"/>
      <c r="I428" s="32"/>
      <c r="J428" s="32"/>
      <c r="K428" s="32"/>
      <c r="L428" s="32"/>
      <c r="M428" s="24"/>
      <c r="N428" s="24"/>
      <c r="O428" s="24"/>
      <c r="P428" s="33" t="str">
        <f aca="false">IF(AND(G428&lt;&gt;"",I428&lt;&gt;"",J428&lt;&gt;""),(J428-I428)*1440,"")</f>
        <v/>
      </c>
      <c r="Q428" s="33" t="str">
        <f aca="false">IF(AND(G428&lt;&gt;"",J428&lt;&gt;"",K428&lt;&gt;""),(K428-J428)*1440,"")</f>
        <v/>
      </c>
      <c r="R428" s="33" t="str">
        <f aca="false">IF(AND(G428&lt;&gt;"",K428&lt;&gt;"",L428&lt;&gt;""),(L428-K428)*1440,"")</f>
        <v/>
      </c>
      <c r="S428" s="33" t="str">
        <f aca="false">IF(AND(G428&lt;&gt;"",I428&lt;&gt;"",L428&lt;&gt;""),(L428-I428)*1440,"")</f>
        <v/>
      </c>
      <c r="T428" s="33" t="str">
        <f aca="false">IF(G428="","",IFERROR(INDEX(Settings!$B$5:$B$8,MATCH(G428,Settings!$A$5:$A$8,0)),""))</f>
        <v/>
      </c>
      <c r="U428" s="25" t="str">
        <f aca="false">IF(G428="","",IF(S428="","No",IF(S428&lt;=T428,"Yes","No")))</f>
        <v/>
      </c>
      <c r="V428" s="25" t="str">
        <f aca="false">IF(G428="","",IF(AND(J428="",K428="",L428=""),"Telemetry Blind Spot",IF(AND(K428="",L428=""),"Missed Alert",IF(L428="","Triage Delay",IF(S428&lt;=T428,"Detected - Within SLA",IF(AND(R428&lt;&gt;"",R428&gt;IFERROR(INDEX(Settings!$C$5:$C$8,MATCH(G428,Settings!$A$5:$A$8,0)),1E+099)),"Triage Delay","Detected - SLA Breach"))))))</f>
        <v/>
      </c>
      <c r="W428" s="25" t="str">
        <f aca="false">IF(G428="","",IF(L428&lt;&gt;"",1,0))</f>
        <v/>
      </c>
      <c r="X428" s="32"/>
      <c r="Y428" s="32"/>
      <c r="Z428" s="32"/>
      <c r="AA428" s="24"/>
      <c r="AB428" s="24"/>
      <c r="AC428" s="33" t="str">
        <f aca="false">IF(AND(G428&lt;&gt;"",L428&lt;&gt;"",X428&lt;&gt;""),(X428-L428)*1440,"")</f>
        <v/>
      </c>
      <c r="AD428" s="33" t="str">
        <f aca="false">IF(AND(G428&lt;&gt;"",X428&lt;&gt;"",Y428&lt;&gt;""),(Y428-X428)*1440,"")</f>
        <v/>
      </c>
      <c r="AE428" s="33" t="str">
        <f aca="false">IF(AND(G428&lt;&gt;"",Y428&lt;&gt;"",Z428&lt;&gt;""),(Z428-Y428)*1440,"")</f>
        <v/>
      </c>
      <c r="AF428" s="33" t="str">
        <f aca="false">IF(AND(G428&lt;&gt;"",L428&lt;&gt;"",Z428&lt;&gt;""),(Z428-L428)*1440,"")</f>
        <v/>
      </c>
      <c r="AG428" s="33" t="str">
        <f aca="false">IF(G428="","",IFERROR(INDEX(Settings!$D$5:$D$8,MATCH(G428,Settings!$A$5:$A$8,0)),""))</f>
        <v/>
      </c>
      <c r="AH428" s="25" t="str">
        <f aca="false">IF(G428="","",IF(AF428="","No",IF(AF428&lt;=AG428,"Yes","No")))</f>
        <v/>
      </c>
      <c r="AI428" s="25" t="str">
        <f aca="false">IF(G428="","",IF(L428="","N/A - Not Detected",IF(AND(X428="",Y428="",Z428=""),"No Containment Action",IF(Z428="",IF(Y428&lt;&gt;"","C2 Persisted","Host Isolation Gap"),IF(AF428&lt;=AG428,"Contained - Within SLA","Contained - SLA Breach")))))</f>
        <v/>
      </c>
      <c r="AJ428" s="25" t="str">
        <f aca="false">IF(G428="","",IF(Z428&lt;&gt;"",1,0))</f>
        <v/>
      </c>
      <c r="AK428" s="34"/>
      <c r="AL428" s="34"/>
      <c r="AM428" s="35"/>
      <c r="AN428" s="34"/>
      <c r="AO428" s="34"/>
      <c r="AP428" s="35"/>
      <c r="AQ428" s="34"/>
      <c r="AR428" s="34"/>
      <c r="AS428" s="34"/>
      <c r="AT428" s="35"/>
      <c r="AU428" s="35"/>
    </row>
    <row r="429" customFormat="false" ht="15" hidden="false" customHeight="false" outlineLevel="0" collapsed="false">
      <c r="A429" s="24"/>
      <c r="B429" s="24"/>
      <c r="C429" s="24"/>
      <c r="D429" s="24"/>
      <c r="E429" s="24"/>
      <c r="F429" s="24"/>
      <c r="G429" s="24"/>
      <c r="H429" s="24"/>
      <c r="I429" s="32"/>
      <c r="J429" s="32"/>
      <c r="K429" s="32"/>
      <c r="L429" s="32"/>
      <c r="M429" s="24"/>
      <c r="N429" s="24"/>
      <c r="O429" s="24"/>
      <c r="P429" s="33" t="str">
        <f aca="false">IF(AND(G429&lt;&gt;"",I429&lt;&gt;"",J429&lt;&gt;""),(J429-I429)*1440,"")</f>
        <v/>
      </c>
      <c r="Q429" s="33" t="str">
        <f aca="false">IF(AND(G429&lt;&gt;"",J429&lt;&gt;"",K429&lt;&gt;""),(K429-J429)*1440,"")</f>
        <v/>
      </c>
      <c r="R429" s="33" t="str">
        <f aca="false">IF(AND(G429&lt;&gt;"",K429&lt;&gt;"",L429&lt;&gt;""),(L429-K429)*1440,"")</f>
        <v/>
      </c>
      <c r="S429" s="33" t="str">
        <f aca="false">IF(AND(G429&lt;&gt;"",I429&lt;&gt;"",L429&lt;&gt;""),(L429-I429)*1440,"")</f>
        <v/>
      </c>
      <c r="T429" s="33" t="str">
        <f aca="false">IF(G429="","",IFERROR(INDEX(Settings!$B$5:$B$8,MATCH(G429,Settings!$A$5:$A$8,0)),""))</f>
        <v/>
      </c>
      <c r="U429" s="25" t="str">
        <f aca="false">IF(G429="","",IF(S429="","No",IF(S429&lt;=T429,"Yes","No")))</f>
        <v/>
      </c>
      <c r="V429" s="25" t="str">
        <f aca="false">IF(G429="","",IF(AND(J429="",K429="",L429=""),"Telemetry Blind Spot",IF(AND(K429="",L429=""),"Missed Alert",IF(L429="","Triage Delay",IF(S429&lt;=T429,"Detected - Within SLA",IF(AND(R429&lt;&gt;"",R429&gt;IFERROR(INDEX(Settings!$C$5:$C$8,MATCH(G429,Settings!$A$5:$A$8,0)),1E+099)),"Triage Delay","Detected - SLA Breach"))))))</f>
        <v/>
      </c>
      <c r="W429" s="25" t="str">
        <f aca="false">IF(G429="","",IF(L429&lt;&gt;"",1,0))</f>
        <v/>
      </c>
      <c r="X429" s="32"/>
      <c r="Y429" s="32"/>
      <c r="Z429" s="32"/>
      <c r="AA429" s="24"/>
      <c r="AB429" s="24"/>
      <c r="AC429" s="33" t="str">
        <f aca="false">IF(AND(G429&lt;&gt;"",L429&lt;&gt;"",X429&lt;&gt;""),(X429-L429)*1440,"")</f>
        <v/>
      </c>
      <c r="AD429" s="33" t="str">
        <f aca="false">IF(AND(G429&lt;&gt;"",X429&lt;&gt;"",Y429&lt;&gt;""),(Y429-X429)*1440,"")</f>
        <v/>
      </c>
      <c r="AE429" s="33" t="str">
        <f aca="false">IF(AND(G429&lt;&gt;"",Y429&lt;&gt;"",Z429&lt;&gt;""),(Z429-Y429)*1440,"")</f>
        <v/>
      </c>
      <c r="AF429" s="33" t="str">
        <f aca="false">IF(AND(G429&lt;&gt;"",L429&lt;&gt;"",Z429&lt;&gt;""),(Z429-L429)*1440,"")</f>
        <v/>
      </c>
      <c r="AG429" s="33" t="str">
        <f aca="false">IF(G429="","",IFERROR(INDEX(Settings!$D$5:$D$8,MATCH(G429,Settings!$A$5:$A$8,0)),""))</f>
        <v/>
      </c>
      <c r="AH429" s="25" t="str">
        <f aca="false">IF(G429="","",IF(AF429="","No",IF(AF429&lt;=AG429,"Yes","No")))</f>
        <v/>
      </c>
      <c r="AI429" s="25" t="str">
        <f aca="false">IF(G429="","",IF(L429="","N/A - Not Detected",IF(AND(X429="",Y429="",Z429=""),"No Containment Action",IF(Z429="",IF(Y429&lt;&gt;"","C2 Persisted","Host Isolation Gap"),IF(AF429&lt;=AG429,"Contained - Within SLA","Contained - SLA Breach")))))</f>
        <v/>
      </c>
      <c r="AJ429" s="25" t="str">
        <f aca="false">IF(G429="","",IF(Z429&lt;&gt;"",1,0))</f>
        <v/>
      </c>
      <c r="AK429" s="34"/>
      <c r="AL429" s="34"/>
      <c r="AM429" s="35"/>
      <c r="AN429" s="34"/>
      <c r="AO429" s="34"/>
      <c r="AP429" s="35"/>
      <c r="AQ429" s="34"/>
      <c r="AR429" s="34"/>
      <c r="AS429" s="34"/>
      <c r="AT429" s="35"/>
      <c r="AU429" s="35"/>
    </row>
    <row r="430" customFormat="false" ht="15" hidden="false" customHeight="false" outlineLevel="0" collapsed="false">
      <c r="A430" s="24"/>
      <c r="B430" s="24"/>
      <c r="C430" s="24"/>
      <c r="D430" s="24"/>
      <c r="E430" s="24"/>
      <c r="F430" s="24"/>
      <c r="G430" s="24"/>
      <c r="H430" s="24"/>
      <c r="I430" s="32"/>
      <c r="J430" s="32"/>
      <c r="K430" s="32"/>
      <c r="L430" s="32"/>
      <c r="M430" s="24"/>
      <c r="N430" s="24"/>
      <c r="O430" s="24"/>
      <c r="P430" s="33" t="str">
        <f aca="false">IF(AND(G430&lt;&gt;"",I430&lt;&gt;"",J430&lt;&gt;""),(J430-I430)*1440,"")</f>
        <v/>
      </c>
      <c r="Q430" s="33" t="str">
        <f aca="false">IF(AND(G430&lt;&gt;"",J430&lt;&gt;"",K430&lt;&gt;""),(K430-J430)*1440,"")</f>
        <v/>
      </c>
      <c r="R430" s="33" t="str">
        <f aca="false">IF(AND(G430&lt;&gt;"",K430&lt;&gt;"",L430&lt;&gt;""),(L430-K430)*1440,"")</f>
        <v/>
      </c>
      <c r="S430" s="33" t="str">
        <f aca="false">IF(AND(G430&lt;&gt;"",I430&lt;&gt;"",L430&lt;&gt;""),(L430-I430)*1440,"")</f>
        <v/>
      </c>
      <c r="T430" s="33" t="str">
        <f aca="false">IF(G430="","",IFERROR(INDEX(Settings!$B$5:$B$8,MATCH(G430,Settings!$A$5:$A$8,0)),""))</f>
        <v/>
      </c>
      <c r="U430" s="25" t="str">
        <f aca="false">IF(G430="","",IF(S430="","No",IF(S430&lt;=T430,"Yes","No")))</f>
        <v/>
      </c>
      <c r="V430" s="25" t="str">
        <f aca="false">IF(G430="","",IF(AND(J430="",K430="",L430=""),"Telemetry Blind Spot",IF(AND(K430="",L430=""),"Missed Alert",IF(L430="","Triage Delay",IF(S430&lt;=T430,"Detected - Within SLA",IF(AND(R430&lt;&gt;"",R430&gt;IFERROR(INDEX(Settings!$C$5:$C$8,MATCH(G430,Settings!$A$5:$A$8,0)),1E+099)),"Triage Delay","Detected - SLA Breach"))))))</f>
        <v/>
      </c>
      <c r="W430" s="25" t="str">
        <f aca="false">IF(G430="","",IF(L430&lt;&gt;"",1,0))</f>
        <v/>
      </c>
      <c r="X430" s="32"/>
      <c r="Y430" s="32"/>
      <c r="Z430" s="32"/>
      <c r="AA430" s="24"/>
      <c r="AB430" s="24"/>
      <c r="AC430" s="33" t="str">
        <f aca="false">IF(AND(G430&lt;&gt;"",L430&lt;&gt;"",X430&lt;&gt;""),(X430-L430)*1440,"")</f>
        <v/>
      </c>
      <c r="AD430" s="33" t="str">
        <f aca="false">IF(AND(G430&lt;&gt;"",X430&lt;&gt;"",Y430&lt;&gt;""),(Y430-X430)*1440,"")</f>
        <v/>
      </c>
      <c r="AE430" s="33" t="str">
        <f aca="false">IF(AND(G430&lt;&gt;"",Y430&lt;&gt;"",Z430&lt;&gt;""),(Z430-Y430)*1440,"")</f>
        <v/>
      </c>
      <c r="AF430" s="33" t="str">
        <f aca="false">IF(AND(G430&lt;&gt;"",L430&lt;&gt;"",Z430&lt;&gt;""),(Z430-L430)*1440,"")</f>
        <v/>
      </c>
      <c r="AG430" s="33" t="str">
        <f aca="false">IF(G430="","",IFERROR(INDEX(Settings!$D$5:$D$8,MATCH(G430,Settings!$A$5:$A$8,0)),""))</f>
        <v/>
      </c>
      <c r="AH430" s="25" t="str">
        <f aca="false">IF(G430="","",IF(AF430="","No",IF(AF430&lt;=AG430,"Yes","No")))</f>
        <v/>
      </c>
      <c r="AI430" s="25" t="str">
        <f aca="false">IF(G430="","",IF(L430="","N/A - Not Detected",IF(AND(X430="",Y430="",Z430=""),"No Containment Action",IF(Z430="",IF(Y430&lt;&gt;"","C2 Persisted","Host Isolation Gap"),IF(AF430&lt;=AG430,"Contained - Within SLA","Contained - SLA Breach")))))</f>
        <v/>
      </c>
      <c r="AJ430" s="25" t="str">
        <f aca="false">IF(G430="","",IF(Z430&lt;&gt;"",1,0))</f>
        <v/>
      </c>
      <c r="AK430" s="34"/>
      <c r="AL430" s="34"/>
      <c r="AM430" s="35"/>
      <c r="AN430" s="34"/>
      <c r="AO430" s="34"/>
      <c r="AP430" s="35"/>
      <c r="AQ430" s="34"/>
      <c r="AR430" s="34"/>
      <c r="AS430" s="34"/>
      <c r="AT430" s="35"/>
      <c r="AU430" s="35"/>
    </row>
    <row r="431" customFormat="false" ht="15" hidden="false" customHeight="false" outlineLevel="0" collapsed="false">
      <c r="A431" s="24"/>
      <c r="B431" s="24"/>
      <c r="C431" s="24"/>
      <c r="D431" s="24"/>
      <c r="E431" s="24"/>
      <c r="F431" s="24"/>
      <c r="G431" s="24"/>
      <c r="H431" s="24"/>
      <c r="I431" s="32"/>
      <c r="J431" s="32"/>
      <c r="K431" s="32"/>
      <c r="L431" s="32"/>
      <c r="M431" s="24"/>
      <c r="N431" s="24"/>
      <c r="O431" s="24"/>
      <c r="P431" s="33" t="str">
        <f aca="false">IF(AND(G431&lt;&gt;"",I431&lt;&gt;"",J431&lt;&gt;""),(J431-I431)*1440,"")</f>
        <v/>
      </c>
      <c r="Q431" s="33" t="str">
        <f aca="false">IF(AND(G431&lt;&gt;"",J431&lt;&gt;"",K431&lt;&gt;""),(K431-J431)*1440,"")</f>
        <v/>
      </c>
      <c r="R431" s="33" t="str">
        <f aca="false">IF(AND(G431&lt;&gt;"",K431&lt;&gt;"",L431&lt;&gt;""),(L431-K431)*1440,"")</f>
        <v/>
      </c>
      <c r="S431" s="33" t="str">
        <f aca="false">IF(AND(G431&lt;&gt;"",I431&lt;&gt;"",L431&lt;&gt;""),(L431-I431)*1440,"")</f>
        <v/>
      </c>
      <c r="T431" s="33" t="str">
        <f aca="false">IF(G431="","",IFERROR(INDEX(Settings!$B$5:$B$8,MATCH(G431,Settings!$A$5:$A$8,0)),""))</f>
        <v/>
      </c>
      <c r="U431" s="25" t="str">
        <f aca="false">IF(G431="","",IF(S431="","No",IF(S431&lt;=T431,"Yes","No")))</f>
        <v/>
      </c>
      <c r="V431" s="25" t="str">
        <f aca="false">IF(G431="","",IF(AND(J431="",K431="",L431=""),"Telemetry Blind Spot",IF(AND(K431="",L431=""),"Missed Alert",IF(L431="","Triage Delay",IF(S431&lt;=T431,"Detected - Within SLA",IF(AND(R431&lt;&gt;"",R431&gt;IFERROR(INDEX(Settings!$C$5:$C$8,MATCH(G431,Settings!$A$5:$A$8,0)),1E+099)),"Triage Delay","Detected - SLA Breach"))))))</f>
        <v/>
      </c>
      <c r="W431" s="25" t="str">
        <f aca="false">IF(G431="","",IF(L431&lt;&gt;"",1,0))</f>
        <v/>
      </c>
      <c r="X431" s="32"/>
      <c r="Y431" s="32"/>
      <c r="Z431" s="32"/>
      <c r="AA431" s="24"/>
      <c r="AB431" s="24"/>
      <c r="AC431" s="33" t="str">
        <f aca="false">IF(AND(G431&lt;&gt;"",L431&lt;&gt;"",X431&lt;&gt;""),(X431-L431)*1440,"")</f>
        <v/>
      </c>
      <c r="AD431" s="33" t="str">
        <f aca="false">IF(AND(G431&lt;&gt;"",X431&lt;&gt;"",Y431&lt;&gt;""),(Y431-X431)*1440,"")</f>
        <v/>
      </c>
      <c r="AE431" s="33" t="str">
        <f aca="false">IF(AND(G431&lt;&gt;"",Y431&lt;&gt;"",Z431&lt;&gt;""),(Z431-Y431)*1440,"")</f>
        <v/>
      </c>
      <c r="AF431" s="33" t="str">
        <f aca="false">IF(AND(G431&lt;&gt;"",L431&lt;&gt;"",Z431&lt;&gt;""),(Z431-L431)*1440,"")</f>
        <v/>
      </c>
      <c r="AG431" s="33" t="str">
        <f aca="false">IF(G431="","",IFERROR(INDEX(Settings!$D$5:$D$8,MATCH(G431,Settings!$A$5:$A$8,0)),""))</f>
        <v/>
      </c>
      <c r="AH431" s="25" t="str">
        <f aca="false">IF(G431="","",IF(AF431="","No",IF(AF431&lt;=AG431,"Yes","No")))</f>
        <v/>
      </c>
      <c r="AI431" s="25" t="str">
        <f aca="false">IF(G431="","",IF(L431="","N/A - Not Detected",IF(AND(X431="",Y431="",Z431=""),"No Containment Action",IF(Z431="",IF(Y431&lt;&gt;"","C2 Persisted","Host Isolation Gap"),IF(AF431&lt;=AG431,"Contained - Within SLA","Contained - SLA Breach")))))</f>
        <v/>
      </c>
      <c r="AJ431" s="25" t="str">
        <f aca="false">IF(G431="","",IF(Z431&lt;&gt;"",1,0))</f>
        <v/>
      </c>
      <c r="AK431" s="34"/>
      <c r="AL431" s="34"/>
      <c r="AM431" s="35"/>
      <c r="AN431" s="34"/>
      <c r="AO431" s="34"/>
      <c r="AP431" s="35"/>
      <c r="AQ431" s="34"/>
      <c r="AR431" s="34"/>
      <c r="AS431" s="34"/>
      <c r="AT431" s="35"/>
      <c r="AU431" s="35"/>
    </row>
    <row r="432" customFormat="false" ht="15" hidden="false" customHeight="false" outlineLevel="0" collapsed="false">
      <c r="A432" s="24"/>
      <c r="B432" s="24"/>
      <c r="C432" s="24"/>
      <c r="D432" s="24"/>
      <c r="E432" s="24"/>
      <c r="F432" s="24"/>
      <c r="G432" s="24"/>
      <c r="H432" s="24"/>
      <c r="I432" s="32"/>
      <c r="J432" s="32"/>
      <c r="K432" s="32"/>
      <c r="L432" s="32"/>
      <c r="M432" s="24"/>
      <c r="N432" s="24"/>
      <c r="O432" s="24"/>
      <c r="P432" s="33" t="str">
        <f aca="false">IF(AND(G432&lt;&gt;"",I432&lt;&gt;"",J432&lt;&gt;""),(J432-I432)*1440,"")</f>
        <v/>
      </c>
      <c r="Q432" s="33" t="str">
        <f aca="false">IF(AND(G432&lt;&gt;"",J432&lt;&gt;"",K432&lt;&gt;""),(K432-J432)*1440,"")</f>
        <v/>
      </c>
      <c r="R432" s="33" t="str">
        <f aca="false">IF(AND(G432&lt;&gt;"",K432&lt;&gt;"",L432&lt;&gt;""),(L432-K432)*1440,"")</f>
        <v/>
      </c>
      <c r="S432" s="33" t="str">
        <f aca="false">IF(AND(G432&lt;&gt;"",I432&lt;&gt;"",L432&lt;&gt;""),(L432-I432)*1440,"")</f>
        <v/>
      </c>
      <c r="T432" s="33" t="str">
        <f aca="false">IF(G432="","",IFERROR(INDEX(Settings!$B$5:$B$8,MATCH(G432,Settings!$A$5:$A$8,0)),""))</f>
        <v/>
      </c>
      <c r="U432" s="25" t="str">
        <f aca="false">IF(G432="","",IF(S432="","No",IF(S432&lt;=T432,"Yes","No")))</f>
        <v/>
      </c>
      <c r="V432" s="25" t="str">
        <f aca="false">IF(G432="","",IF(AND(J432="",K432="",L432=""),"Telemetry Blind Spot",IF(AND(K432="",L432=""),"Missed Alert",IF(L432="","Triage Delay",IF(S432&lt;=T432,"Detected - Within SLA",IF(AND(R432&lt;&gt;"",R432&gt;IFERROR(INDEX(Settings!$C$5:$C$8,MATCH(G432,Settings!$A$5:$A$8,0)),1E+099)),"Triage Delay","Detected - SLA Breach"))))))</f>
        <v/>
      </c>
      <c r="W432" s="25" t="str">
        <f aca="false">IF(G432="","",IF(L432&lt;&gt;"",1,0))</f>
        <v/>
      </c>
      <c r="X432" s="32"/>
      <c r="Y432" s="32"/>
      <c r="Z432" s="32"/>
      <c r="AA432" s="24"/>
      <c r="AB432" s="24"/>
      <c r="AC432" s="33" t="str">
        <f aca="false">IF(AND(G432&lt;&gt;"",L432&lt;&gt;"",X432&lt;&gt;""),(X432-L432)*1440,"")</f>
        <v/>
      </c>
      <c r="AD432" s="33" t="str">
        <f aca="false">IF(AND(G432&lt;&gt;"",X432&lt;&gt;"",Y432&lt;&gt;""),(Y432-X432)*1440,"")</f>
        <v/>
      </c>
      <c r="AE432" s="33" t="str">
        <f aca="false">IF(AND(G432&lt;&gt;"",Y432&lt;&gt;"",Z432&lt;&gt;""),(Z432-Y432)*1440,"")</f>
        <v/>
      </c>
      <c r="AF432" s="33" t="str">
        <f aca="false">IF(AND(G432&lt;&gt;"",L432&lt;&gt;"",Z432&lt;&gt;""),(Z432-L432)*1440,"")</f>
        <v/>
      </c>
      <c r="AG432" s="33" t="str">
        <f aca="false">IF(G432="","",IFERROR(INDEX(Settings!$D$5:$D$8,MATCH(G432,Settings!$A$5:$A$8,0)),""))</f>
        <v/>
      </c>
      <c r="AH432" s="25" t="str">
        <f aca="false">IF(G432="","",IF(AF432="","No",IF(AF432&lt;=AG432,"Yes","No")))</f>
        <v/>
      </c>
      <c r="AI432" s="25" t="str">
        <f aca="false">IF(G432="","",IF(L432="","N/A - Not Detected",IF(AND(X432="",Y432="",Z432=""),"No Containment Action",IF(Z432="",IF(Y432&lt;&gt;"","C2 Persisted","Host Isolation Gap"),IF(AF432&lt;=AG432,"Contained - Within SLA","Contained - SLA Breach")))))</f>
        <v/>
      </c>
      <c r="AJ432" s="25" t="str">
        <f aca="false">IF(G432="","",IF(Z432&lt;&gt;"",1,0))</f>
        <v/>
      </c>
      <c r="AK432" s="34"/>
      <c r="AL432" s="34"/>
      <c r="AM432" s="35"/>
      <c r="AN432" s="34"/>
      <c r="AO432" s="34"/>
      <c r="AP432" s="35"/>
      <c r="AQ432" s="34"/>
      <c r="AR432" s="34"/>
      <c r="AS432" s="34"/>
      <c r="AT432" s="35"/>
      <c r="AU432" s="35"/>
    </row>
    <row r="433" customFormat="false" ht="15" hidden="false" customHeight="false" outlineLevel="0" collapsed="false">
      <c r="A433" s="24"/>
      <c r="B433" s="24"/>
      <c r="C433" s="24"/>
      <c r="D433" s="24"/>
      <c r="E433" s="24"/>
      <c r="F433" s="24"/>
      <c r="G433" s="24"/>
      <c r="H433" s="24"/>
      <c r="I433" s="32"/>
      <c r="J433" s="32"/>
      <c r="K433" s="32"/>
      <c r="L433" s="32"/>
      <c r="M433" s="24"/>
      <c r="N433" s="24"/>
      <c r="O433" s="24"/>
      <c r="P433" s="33" t="str">
        <f aca="false">IF(AND(G433&lt;&gt;"",I433&lt;&gt;"",J433&lt;&gt;""),(J433-I433)*1440,"")</f>
        <v/>
      </c>
      <c r="Q433" s="33" t="str">
        <f aca="false">IF(AND(G433&lt;&gt;"",J433&lt;&gt;"",K433&lt;&gt;""),(K433-J433)*1440,"")</f>
        <v/>
      </c>
      <c r="R433" s="33" t="str">
        <f aca="false">IF(AND(G433&lt;&gt;"",K433&lt;&gt;"",L433&lt;&gt;""),(L433-K433)*1440,"")</f>
        <v/>
      </c>
      <c r="S433" s="33" t="str">
        <f aca="false">IF(AND(G433&lt;&gt;"",I433&lt;&gt;"",L433&lt;&gt;""),(L433-I433)*1440,"")</f>
        <v/>
      </c>
      <c r="T433" s="33" t="str">
        <f aca="false">IF(G433="","",IFERROR(INDEX(Settings!$B$5:$B$8,MATCH(G433,Settings!$A$5:$A$8,0)),""))</f>
        <v/>
      </c>
      <c r="U433" s="25" t="str">
        <f aca="false">IF(G433="","",IF(S433="","No",IF(S433&lt;=T433,"Yes","No")))</f>
        <v/>
      </c>
      <c r="V433" s="25" t="str">
        <f aca="false">IF(G433="","",IF(AND(J433="",K433="",L433=""),"Telemetry Blind Spot",IF(AND(K433="",L433=""),"Missed Alert",IF(L433="","Triage Delay",IF(S433&lt;=T433,"Detected - Within SLA",IF(AND(R433&lt;&gt;"",R433&gt;IFERROR(INDEX(Settings!$C$5:$C$8,MATCH(G433,Settings!$A$5:$A$8,0)),1E+099)),"Triage Delay","Detected - SLA Breach"))))))</f>
        <v/>
      </c>
      <c r="W433" s="25" t="str">
        <f aca="false">IF(G433="","",IF(L433&lt;&gt;"",1,0))</f>
        <v/>
      </c>
      <c r="X433" s="32"/>
      <c r="Y433" s="32"/>
      <c r="Z433" s="32"/>
      <c r="AA433" s="24"/>
      <c r="AB433" s="24"/>
      <c r="AC433" s="33" t="str">
        <f aca="false">IF(AND(G433&lt;&gt;"",L433&lt;&gt;"",X433&lt;&gt;""),(X433-L433)*1440,"")</f>
        <v/>
      </c>
      <c r="AD433" s="33" t="str">
        <f aca="false">IF(AND(G433&lt;&gt;"",X433&lt;&gt;"",Y433&lt;&gt;""),(Y433-X433)*1440,"")</f>
        <v/>
      </c>
      <c r="AE433" s="33" t="str">
        <f aca="false">IF(AND(G433&lt;&gt;"",Y433&lt;&gt;"",Z433&lt;&gt;""),(Z433-Y433)*1440,"")</f>
        <v/>
      </c>
      <c r="AF433" s="33" t="str">
        <f aca="false">IF(AND(G433&lt;&gt;"",L433&lt;&gt;"",Z433&lt;&gt;""),(Z433-L433)*1440,"")</f>
        <v/>
      </c>
      <c r="AG433" s="33" t="str">
        <f aca="false">IF(G433="","",IFERROR(INDEX(Settings!$D$5:$D$8,MATCH(G433,Settings!$A$5:$A$8,0)),""))</f>
        <v/>
      </c>
      <c r="AH433" s="25" t="str">
        <f aca="false">IF(G433="","",IF(AF433="","No",IF(AF433&lt;=AG433,"Yes","No")))</f>
        <v/>
      </c>
      <c r="AI433" s="25" t="str">
        <f aca="false">IF(G433="","",IF(L433="","N/A - Not Detected",IF(AND(X433="",Y433="",Z433=""),"No Containment Action",IF(Z433="",IF(Y433&lt;&gt;"","C2 Persisted","Host Isolation Gap"),IF(AF433&lt;=AG433,"Contained - Within SLA","Contained - SLA Breach")))))</f>
        <v/>
      </c>
      <c r="AJ433" s="25" t="str">
        <f aca="false">IF(G433="","",IF(Z433&lt;&gt;"",1,0))</f>
        <v/>
      </c>
      <c r="AK433" s="34"/>
      <c r="AL433" s="34"/>
      <c r="AM433" s="35"/>
      <c r="AN433" s="34"/>
      <c r="AO433" s="34"/>
      <c r="AP433" s="35"/>
      <c r="AQ433" s="34"/>
      <c r="AR433" s="34"/>
      <c r="AS433" s="34"/>
      <c r="AT433" s="35"/>
      <c r="AU433" s="35"/>
    </row>
    <row r="434" customFormat="false" ht="15" hidden="false" customHeight="false" outlineLevel="0" collapsed="false">
      <c r="A434" s="24"/>
      <c r="B434" s="24"/>
      <c r="C434" s="24"/>
      <c r="D434" s="24"/>
      <c r="E434" s="24"/>
      <c r="F434" s="24"/>
      <c r="G434" s="24"/>
      <c r="H434" s="24"/>
      <c r="I434" s="32"/>
      <c r="J434" s="32"/>
      <c r="K434" s="32"/>
      <c r="L434" s="32"/>
      <c r="M434" s="24"/>
      <c r="N434" s="24"/>
      <c r="O434" s="24"/>
      <c r="P434" s="33" t="str">
        <f aca="false">IF(AND(G434&lt;&gt;"",I434&lt;&gt;"",J434&lt;&gt;""),(J434-I434)*1440,"")</f>
        <v/>
      </c>
      <c r="Q434" s="33" t="str">
        <f aca="false">IF(AND(G434&lt;&gt;"",J434&lt;&gt;"",K434&lt;&gt;""),(K434-J434)*1440,"")</f>
        <v/>
      </c>
      <c r="R434" s="33" t="str">
        <f aca="false">IF(AND(G434&lt;&gt;"",K434&lt;&gt;"",L434&lt;&gt;""),(L434-K434)*1440,"")</f>
        <v/>
      </c>
      <c r="S434" s="33" t="str">
        <f aca="false">IF(AND(G434&lt;&gt;"",I434&lt;&gt;"",L434&lt;&gt;""),(L434-I434)*1440,"")</f>
        <v/>
      </c>
      <c r="T434" s="33" t="str">
        <f aca="false">IF(G434="","",IFERROR(INDEX(Settings!$B$5:$B$8,MATCH(G434,Settings!$A$5:$A$8,0)),""))</f>
        <v/>
      </c>
      <c r="U434" s="25" t="str">
        <f aca="false">IF(G434="","",IF(S434="","No",IF(S434&lt;=T434,"Yes","No")))</f>
        <v/>
      </c>
      <c r="V434" s="25" t="str">
        <f aca="false">IF(G434="","",IF(AND(J434="",K434="",L434=""),"Telemetry Blind Spot",IF(AND(K434="",L434=""),"Missed Alert",IF(L434="","Triage Delay",IF(S434&lt;=T434,"Detected - Within SLA",IF(AND(R434&lt;&gt;"",R434&gt;IFERROR(INDEX(Settings!$C$5:$C$8,MATCH(G434,Settings!$A$5:$A$8,0)),1E+099)),"Triage Delay","Detected - SLA Breach"))))))</f>
        <v/>
      </c>
      <c r="W434" s="25" t="str">
        <f aca="false">IF(G434="","",IF(L434&lt;&gt;"",1,0))</f>
        <v/>
      </c>
      <c r="X434" s="32"/>
      <c r="Y434" s="32"/>
      <c r="Z434" s="32"/>
      <c r="AA434" s="24"/>
      <c r="AB434" s="24"/>
      <c r="AC434" s="33" t="str">
        <f aca="false">IF(AND(G434&lt;&gt;"",L434&lt;&gt;"",X434&lt;&gt;""),(X434-L434)*1440,"")</f>
        <v/>
      </c>
      <c r="AD434" s="33" t="str">
        <f aca="false">IF(AND(G434&lt;&gt;"",X434&lt;&gt;"",Y434&lt;&gt;""),(Y434-X434)*1440,"")</f>
        <v/>
      </c>
      <c r="AE434" s="33" t="str">
        <f aca="false">IF(AND(G434&lt;&gt;"",Y434&lt;&gt;"",Z434&lt;&gt;""),(Z434-Y434)*1440,"")</f>
        <v/>
      </c>
      <c r="AF434" s="33" t="str">
        <f aca="false">IF(AND(G434&lt;&gt;"",L434&lt;&gt;"",Z434&lt;&gt;""),(Z434-L434)*1440,"")</f>
        <v/>
      </c>
      <c r="AG434" s="33" t="str">
        <f aca="false">IF(G434="","",IFERROR(INDEX(Settings!$D$5:$D$8,MATCH(G434,Settings!$A$5:$A$8,0)),""))</f>
        <v/>
      </c>
      <c r="AH434" s="25" t="str">
        <f aca="false">IF(G434="","",IF(AF434="","No",IF(AF434&lt;=AG434,"Yes","No")))</f>
        <v/>
      </c>
      <c r="AI434" s="25" t="str">
        <f aca="false">IF(G434="","",IF(L434="","N/A - Not Detected",IF(AND(X434="",Y434="",Z434=""),"No Containment Action",IF(Z434="",IF(Y434&lt;&gt;"","C2 Persisted","Host Isolation Gap"),IF(AF434&lt;=AG434,"Contained - Within SLA","Contained - SLA Breach")))))</f>
        <v/>
      </c>
      <c r="AJ434" s="25" t="str">
        <f aca="false">IF(G434="","",IF(Z434&lt;&gt;"",1,0))</f>
        <v/>
      </c>
      <c r="AK434" s="34"/>
      <c r="AL434" s="34"/>
      <c r="AM434" s="35"/>
      <c r="AN434" s="34"/>
      <c r="AO434" s="34"/>
      <c r="AP434" s="35"/>
      <c r="AQ434" s="34"/>
      <c r="AR434" s="34"/>
      <c r="AS434" s="34"/>
      <c r="AT434" s="35"/>
      <c r="AU434" s="35"/>
    </row>
    <row r="435" customFormat="false" ht="15" hidden="false" customHeight="false" outlineLevel="0" collapsed="false">
      <c r="A435" s="24"/>
      <c r="B435" s="24"/>
      <c r="C435" s="24"/>
      <c r="D435" s="24"/>
      <c r="E435" s="24"/>
      <c r="F435" s="24"/>
      <c r="G435" s="24"/>
      <c r="H435" s="24"/>
      <c r="I435" s="32"/>
      <c r="J435" s="32"/>
      <c r="K435" s="32"/>
      <c r="L435" s="32"/>
      <c r="M435" s="24"/>
      <c r="N435" s="24"/>
      <c r="O435" s="24"/>
      <c r="P435" s="33" t="str">
        <f aca="false">IF(AND(G435&lt;&gt;"",I435&lt;&gt;"",J435&lt;&gt;""),(J435-I435)*1440,"")</f>
        <v/>
      </c>
      <c r="Q435" s="33" t="str">
        <f aca="false">IF(AND(G435&lt;&gt;"",J435&lt;&gt;"",K435&lt;&gt;""),(K435-J435)*1440,"")</f>
        <v/>
      </c>
      <c r="R435" s="33" t="str">
        <f aca="false">IF(AND(G435&lt;&gt;"",K435&lt;&gt;"",L435&lt;&gt;""),(L435-K435)*1440,"")</f>
        <v/>
      </c>
      <c r="S435" s="33" t="str">
        <f aca="false">IF(AND(G435&lt;&gt;"",I435&lt;&gt;"",L435&lt;&gt;""),(L435-I435)*1440,"")</f>
        <v/>
      </c>
      <c r="T435" s="33" t="str">
        <f aca="false">IF(G435="","",IFERROR(INDEX(Settings!$B$5:$B$8,MATCH(G435,Settings!$A$5:$A$8,0)),""))</f>
        <v/>
      </c>
      <c r="U435" s="25" t="str">
        <f aca="false">IF(G435="","",IF(S435="","No",IF(S435&lt;=T435,"Yes","No")))</f>
        <v/>
      </c>
      <c r="V435" s="25" t="str">
        <f aca="false">IF(G435="","",IF(AND(J435="",K435="",L435=""),"Telemetry Blind Spot",IF(AND(K435="",L435=""),"Missed Alert",IF(L435="","Triage Delay",IF(S435&lt;=T435,"Detected - Within SLA",IF(AND(R435&lt;&gt;"",R435&gt;IFERROR(INDEX(Settings!$C$5:$C$8,MATCH(G435,Settings!$A$5:$A$8,0)),1E+099)),"Triage Delay","Detected - SLA Breach"))))))</f>
        <v/>
      </c>
      <c r="W435" s="25" t="str">
        <f aca="false">IF(G435="","",IF(L435&lt;&gt;"",1,0))</f>
        <v/>
      </c>
      <c r="X435" s="32"/>
      <c r="Y435" s="32"/>
      <c r="Z435" s="32"/>
      <c r="AA435" s="24"/>
      <c r="AB435" s="24"/>
      <c r="AC435" s="33" t="str">
        <f aca="false">IF(AND(G435&lt;&gt;"",L435&lt;&gt;"",X435&lt;&gt;""),(X435-L435)*1440,"")</f>
        <v/>
      </c>
      <c r="AD435" s="33" t="str">
        <f aca="false">IF(AND(G435&lt;&gt;"",X435&lt;&gt;"",Y435&lt;&gt;""),(Y435-X435)*1440,"")</f>
        <v/>
      </c>
      <c r="AE435" s="33" t="str">
        <f aca="false">IF(AND(G435&lt;&gt;"",Y435&lt;&gt;"",Z435&lt;&gt;""),(Z435-Y435)*1440,"")</f>
        <v/>
      </c>
      <c r="AF435" s="33" t="str">
        <f aca="false">IF(AND(G435&lt;&gt;"",L435&lt;&gt;"",Z435&lt;&gt;""),(Z435-L435)*1440,"")</f>
        <v/>
      </c>
      <c r="AG435" s="33" t="str">
        <f aca="false">IF(G435="","",IFERROR(INDEX(Settings!$D$5:$D$8,MATCH(G435,Settings!$A$5:$A$8,0)),""))</f>
        <v/>
      </c>
      <c r="AH435" s="25" t="str">
        <f aca="false">IF(G435="","",IF(AF435="","No",IF(AF435&lt;=AG435,"Yes","No")))</f>
        <v/>
      </c>
      <c r="AI435" s="25" t="str">
        <f aca="false">IF(G435="","",IF(L435="","N/A - Not Detected",IF(AND(X435="",Y435="",Z435=""),"No Containment Action",IF(Z435="",IF(Y435&lt;&gt;"","C2 Persisted","Host Isolation Gap"),IF(AF435&lt;=AG435,"Contained - Within SLA","Contained - SLA Breach")))))</f>
        <v/>
      </c>
      <c r="AJ435" s="25" t="str">
        <f aca="false">IF(G435="","",IF(Z435&lt;&gt;"",1,0))</f>
        <v/>
      </c>
      <c r="AK435" s="34"/>
      <c r="AL435" s="34"/>
      <c r="AM435" s="35"/>
      <c r="AN435" s="34"/>
      <c r="AO435" s="34"/>
      <c r="AP435" s="35"/>
      <c r="AQ435" s="34"/>
      <c r="AR435" s="34"/>
      <c r="AS435" s="34"/>
      <c r="AT435" s="35"/>
      <c r="AU435" s="35"/>
    </row>
    <row r="436" customFormat="false" ht="15" hidden="false" customHeight="false" outlineLevel="0" collapsed="false">
      <c r="A436" s="24"/>
      <c r="B436" s="24"/>
      <c r="C436" s="24"/>
      <c r="D436" s="24"/>
      <c r="E436" s="24"/>
      <c r="F436" s="24"/>
      <c r="G436" s="24"/>
      <c r="H436" s="24"/>
      <c r="I436" s="32"/>
      <c r="J436" s="32"/>
      <c r="K436" s="32"/>
      <c r="L436" s="32"/>
      <c r="M436" s="24"/>
      <c r="N436" s="24"/>
      <c r="O436" s="24"/>
      <c r="P436" s="33" t="str">
        <f aca="false">IF(AND(G436&lt;&gt;"",I436&lt;&gt;"",J436&lt;&gt;""),(J436-I436)*1440,"")</f>
        <v/>
      </c>
      <c r="Q436" s="33" t="str">
        <f aca="false">IF(AND(G436&lt;&gt;"",J436&lt;&gt;"",K436&lt;&gt;""),(K436-J436)*1440,"")</f>
        <v/>
      </c>
      <c r="R436" s="33" t="str">
        <f aca="false">IF(AND(G436&lt;&gt;"",K436&lt;&gt;"",L436&lt;&gt;""),(L436-K436)*1440,"")</f>
        <v/>
      </c>
      <c r="S436" s="33" t="str">
        <f aca="false">IF(AND(G436&lt;&gt;"",I436&lt;&gt;"",L436&lt;&gt;""),(L436-I436)*1440,"")</f>
        <v/>
      </c>
      <c r="T436" s="33" t="str">
        <f aca="false">IF(G436="","",IFERROR(INDEX(Settings!$B$5:$B$8,MATCH(G436,Settings!$A$5:$A$8,0)),""))</f>
        <v/>
      </c>
      <c r="U436" s="25" t="str">
        <f aca="false">IF(G436="","",IF(S436="","No",IF(S436&lt;=T436,"Yes","No")))</f>
        <v/>
      </c>
      <c r="V436" s="25" t="str">
        <f aca="false">IF(G436="","",IF(AND(J436="",K436="",L436=""),"Telemetry Blind Spot",IF(AND(K436="",L436=""),"Missed Alert",IF(L436="","Triage Delay",IF(S436&lt;=T436,"Detected - Within SLA",IF(AND(R436&lt;&gt;"",R436&gt;IFERROR(INDEX(Settings!$C$5:$C$8,MATCH(G436,Settings!$A$5:$A$8,0)),1E+099)),"Triage Delay","Detected - SLA Breach"))))))</f>
        <v/>
      </c>
      <c r="W436" s="25" t="str">
        <f aca="false">IF(G436="","",IF(L436&lt;&gt;"",1,0))</f>
        <v/>
      </c>
      <c r="X436" s="32"/>
      <c r="Y436" s="32"/>
      <c r="Z436" s="32"/>
      <c r="AA436" s="24"/>
      <c r="AB436" s="24"/>
      <c r="AC436" s="33" t="str">
        <f aca="false">IF(AND(G436&lt;&gt;"",L436&lt;&gt;"",X436&lt;&gt;""),(X436-L436)*1440,"")</f>
        <v/>
      </c>
      <c r="AD436" s="33" t="str">
        <f aca="false">IF(AND(G436&lt;&gt;"",X436&lt;&gt;"",Y436&lt;&gt;""),(Y436-X436)*1440,"")</f>
        <v/>
      </c>
      <c r="AE436" s="33" t="str">
        <f aca="false">IF(AND(G436&lt;&gt;"",Y436&lt;&gt;"",Z436&lt;&gt;""),(Z436-Y436)*1440,"")</f>
        <v/>
      </c>
      <c r="AF436" s="33" t="str">
        <f aca="false">IF(AND(G436&lt;&gt;"",L436&lt;&gt;"",Z436&lt;&gt;""),(Z436-L436)*1440,"")</f>
        <v/>
      </c>
      <c r="AG436" s="33" t="str">
        <f aca="false">IF(G436="","",IFERROR(INDEX(Settings!$D$5:$D$8,MATCH(G436,Settings!$A$5:$A$8,0)),""))</f>
        <v/>
      </c>
      <c r="AH436" s="25" t="str">
        <f aca="false">IF(G436="","",IF(AF436="","No",IF(AF436&lt;=AG436,"Yes","No")))</f>
        <v/>
      </c>
      <c r="AI436" s="25" t="str">
        <f aca="false">IF(G436="","",IF(L436="","N/A - Not Detected",IF(AND(X436="",Y436="",Z436=""),"No Containment Action",IF(Z436="",IF(Y436&lt;&gt;"","C2 Persisted","Host Isolation Gap"),IF(AF436&lt;=AG436,"Contained - Within SLA","Contained - SLA Breach")))))</f>
        <v/>
      </c>
      <c r="AJ436" s="25" t="str">
        <f aca="false">IF(G436="","",IF(Z436&lt;&gt;"",1,0))</f>
        <v/>
      </c>
      <c r="AK436" s="34"/>
      <c r="AL436" s="34"/>
      <c r="AM436" s="35"/>
      <c r="AN436" s="34"/>
      <c r="AO436" s="34"/>
      <c r="AP436" s="35"/>
      <c r="AQ436" s="34"/>
      <c r="AR436" s="34"/>
      <c r="AS436" s="34"/>
      <c r="AT436" s="35"/>
      <c r="AU436" s="35"/>
    </row>
    <row r="437" customFormat="false" ht="15" hidden="false" customHeight="false" outlineLevel="0" collapsed="false">
      <c r="A437" s="24"/>
      <c r="B437" s="24"/>
      <c r="C437" s="24"/>
      <c r="D437" s="24"/>
      <c r="E437" s="24"/>
      <c r="F437" s="24"/>
      <c r="G437" s="24"/>
      <c r="H437" s="24"/>
      <c r="I437" s="32"/>
      <c r="J437" s="32"/>
      <c r="K437" s="32"/>
      <c r="L437" s="32"/>
      <c r="M437" s="24"/>
      <c r="N437" s="24"/>
      <c r="O437" s="24"/>
      <c r="P437" s="33" t="str">
        <f aca="false">IF(AND(G437&lt;&gt;"",I437&lt;&gt;"",J437&lt;&gt;""),(J437-I437)*1440,"")</f>
        <v/>
      </c>
      <c r="Q437" s="33" t="str">
        <f aca="false">IF(AND(G437&lt;&gt;"",J437&lt;&gt;"",K437&lt;&gt;""),(K437-J437)*1440,"")</f>
        <v/>
      </c>
      <c r="R437" s="33" t="str">
        <f aca="false">IF(AND(G437&lt;&gt;"",K437&lt;&gt;"",L437&lt;&gt;""),(L437-K437)*1440,"")</f>
        <v/>
      </c>
      <c r="S437" s="33" t="str">
        <f aca="false">IF(AND(G437&lt;&gt;"",I437&lt;&gt;"",L437&lt;&gt;""),(L437-I437)*1440,"")</f>
        <v/>
      </c>
      <c r="T437" s="33" t="str">
        <f aca="false">IF(G437="","",IFERROR(INDEX(Settings!$B$5:$B$8,MATCH(G437,Settings!$A$5:$A$8,0)),""))</f>
        <v/>
      </c>
      <c r="U437" s="25" t="str">
        <f aca="false">IF(G437="","",IF(S437="","No",IF(S437&lt;=T437,"Yes","No")))</f>
        <v/>
      </c>
      <c r="V437" s="25" t="str">
        <f aca="false">IF(G437="","",IF(AND(J437="",K437="",L437=""),"Telemetry Blind Spot",IF(AND(K437="",L437=""),"Missed Alert",IF(L437="","Triage Delay",IF(S437&lt;=T437,"Detected - Within SLA",IF(AND(R437&lt;&gt;"",R437&gt;IFERROR(INDEX(Settings!$C$5:$C$8,MATCH(G437,Settings!$A$5:$A$8,0)),1E+099)),"Triage Delay","Detected - SLA Breach"))))))</f>
        <v/>
      </c>
      <c r="W437" s="25" t="str">
        <f aca="false">IF(G437="","",IF(L437&lt;&gt;"",1,0))</f>
        <v/>
      </c>
      <c r="X437" s="32"/>
      <c r="Y437" s="32"/>
      <c r="Z437" s="32"/>
      <c r="AA437" s="24"/>
      <c r="AB437" s="24"/>
      <c r="AC437" s="33" t="str">
        <f aca="false">IF(AND(G437&lt;&gt;"",L437&lt;&gt;"",X437&lt;&gt;""),(X437-L437)*1440,"")</f>
        <v/>
      </c>
      <c r="AD437" s="33" t="str">
        <f aca="false">IF(AND(G437&lt;&gt;"",X437&lt;&gt;"",Y437&lt;&gt;""),(Y437-X437)*1440,"")</f>
        <v/>
      </c>
      <c r="AE437" s="33" t="str">
        <f aca="false">IF(AND(G437&lt;&gt;"",Y437&lt;&gt;"",Z437&lt;&gt;""),(Z437-Y437)*1440,"")</f>
        <v/>
      </c>
      <c r="AF437" s="33" t="str">
        <f aca="false">IF(AND(G437&lt;&gt;"",L437&lt;&gt;"",Z437&lt;&gt;""),(Z437-L437)*1440,"")</f>
        <v/>
      </c>
      <c r="AG437" s="33" t="str">
        <f aca="false">IF(G437="","",IFERROR(INDEX(Settings!$D$5:$D$8,MATCH(G437,Settings!$A$5:$A$8,0)),""))</f>
        <v/>
      </c>
      <c r="AH437" s="25" t="str">
        <f aca="false">IF(G437="","",IF(AF437="","No",IF(AF437&lt;=AG437,"Yes","No")))</f>
        <v/>
      </c>
      <c r="AI437" s="25" t="str">
        <f aca="false">IF(G437="","",IF(L437="","N/A - Not Detected",IF(AND(X437="",Y437="",Z437=""),"No Containment Action",IF(Z437="",IF(Y437&lt;&gt;"","C2 Persisted","Host Isolation Gap"),IF(AF437&lt;=AG437,"Contained - Within SLA","Contained - SLA Breach")))))</f>
        <v/>
      </c>
      <c r="AJ437" s="25" t="str">
        <f aca="false">IF(G437="","",IF(Z437&lt;&gt;"",1,0))</f>
        <v/>
      </c>
      <c r="AK437" s="34"/>
      <c r="AL437" s="34"/>
      <c r="AM437" s="35"/>
      <c r="AN437" s="34"/>
      <c r="AO437" s="34"/>
      <c r="AP437" s="35"/>
      <c r="AQ437" s="34"/>
      <c r="AR437" s="34"/>
      <c r="AS437" s="34"/>
      <c r="AT437" s="35"/>
      <c r="AU437" s="35"/>
    </row>
    <row r="438" customFormat="false" ht="15" hidden="false" customHeight="false" outlineLevel="0" collapsed="false">
      <c r="A438" s="24"/>
      <c r="B438" s="24"/>
      <c r="C438" s="24"/>
      <c r="D438" s="24"/>
      <c r="E438" s="24"/>
      <c r="F438" s="24"/>
      <c r="G438" s="24"/>
      <c r="H438" s="24"/>
      <c r="I438" s="32"/>
      <c r="J438" s="32"/>
      <c r="K438" s="32"/>
      <c r="L438" s="32"/>
      <c r="M438" s="24"/>
      <c r="N438" s="24"/>
      <c r="O438" s="24"/>
      <c r="P438" s="33" t="str">
        <f aca="false">IF(AND(G438&lt;&gt;"",I438&lt;&gt;"",J438&lt;&gt;""),(J438-I438)*1440,"")</f>
        <v/>
      </c>
      <c r="Q438" s="33" t="str">
        <f aca="false">IF(AND(G438&lt;&gt;"",J438&lt;&gt;"",K438&lt;&gt;""),(K438-J438)*1440,"")</f>
        <v/>
      </c>
      <c r="R438" s="33" t="str">
        <f aca="false">IF(AND(G438&lt;&gt;"",K438&lt;&gt;"",L438&lt;&gt;""),(L438-K438)*1440,"")</f>
        <v/>
      </c>
      <c r="S438" s="33" t="str">
        <f aca="false">IF(AND(G438&lt;&gt;"",I438&lt;&gt;"",L438&lt;&gt;""),(L438-I438)*1440,"")</f>
        <v/>
      </c>
      <c r="T438" s="33" t="str">
        <f aca="false">IF(G438="","",IFERROR(INDEX(Settings!$B$5:$B$8,MATCH(G438,Settings!$A$5:$A$8,0)),""))</f>
        <v/>
      </c>
      <c r="U438" s="25" t="str">
        <f aca="false">IF(G438="","",IF(S438="","No",IF(S438&lt;=T438,"Yes","No")))</f>
        <v/>
      </c>
      <c r="V438" s="25" t="str">
        <f aca="false">IF(G438="","",IF(AND(J438="",K438="",L438=""),"Telemetry Blind Spot",IF(AND(K438="",L438=""),"Missed Alert",IF(L438="","Triage Delay",IF(S438&lt;=T438,"Detected - Within SLA",IF(AND(R438&lt;&gt;"",R438&gt;IFERROR(INDEX(Settings!$C$5:$C$8,MATCH(G438,Settings!$A$5:$A$8,0)),1E+099)),"Triage Delay","Detected - SLA Breach"))))))</f>
        <v/>
      </c>
      <c r="W438" s="25" t="str">
        <f aca="false">IF(G438="","",IF(L438&lt;&gt;"",1,0))</f>
        <v/>
      </c>
      <c r="X438" s="32"/>
      <c r="Y438" s="32"/>
      <c r="Z438" s="32"/>
      <c r="AA438" s="24"/>
      <c r="AB438" s="24"/>
      <c r="AC438" s="33" t="str">
        <f aca="false">IF(AND(G438&lt;&gt;"",L438&lt;&gt;"",X438&lt;&gt;""),(X438-L438)*1440,"")</f>
        <v/>
      </c>
      <c r="AD438" s="33" t="str">
        <f aca="false">IF(AND(G438&lt;&gt;"",X438&lt;&gt;"",Y438&lt;&gt;""),(Y438-X438)*1440,"")</f>
        <v/>
      </c>
      <c r="AE438" s="33" t="str">
        <f aca="false">IF(AND(G438&lt;&gt;"",Y438&lt;&gt;"",Z438&lt;&gt;""),(Z438-Y438)*1440,"")</f>
        <v/>
      </c>
      <c r="AF438" s="33" t="str">
        <f aca="false">IF(AND(G438&lt;&gt;"",L438&lt;&gt;"",Z438&lt;&gt;""),(Z438-L438)*1440,"")</f>
        <v/>
      </c>
      <c r="AG438" s="33" t="str">
        <f aca="false">IF(G438="","",IFERROR(INDEX(Settings!$D$5:$D$8,MATCH(G438,Settings!$A$5:$A$8,0)),""))</f>
        <v/>
      </c>
      <c r="AH438" s="25" t="str">
        <f aca="false">IF(G438="","",IF(AF438="","No",IF(AF438&lt;=AG438,"Yes","No")))</f>
        <v/>
      </c>
      <c r="AI438" s="25" t="str">
        <f aca="false">IF(G438="","",IF(L438="","N/A - Not Detected",IF(AND(X438="",Y438="",Z438=""),"No Containment Action",IF(Z438="",IF(Y438&lt;&gt;"","C2 Persisted","Host Isolation Gap"),IF(AF438&lt;=AG438,"Contained - Within SLA","Contained - SLA Breach")))))</f>
        <v/>
      </c>
      <c r="AJ438" s="25" t="str">
        <f aca="false">IF(G438="","",IF(Z438&lt;&gt;"",1,0))</f>
        <v/>
      </c>
      <c r="AK438" s="34"/>
      <c r="AL438" s="34"/>
      <c r="AM438" s="35"/>
      <c r="AN438" s="34"/>
      <c r="AO438" s="34"/>
      <c r="AP438" s="35"/>
      <c r="AQ438" s="34"/>
      <c r="AR438" s="34"/>
      <c r="AS438" s="34"/>
      <c r="AT438" s="35"/>
      <c r="AU438" s="35"/>
    </row>
    <row r="439" customFormat="false" ht="15" hidden="false" customHeight="false" outlineLevel="0" collapsed="false">
      <c r="A439" s="24"/>
      <c r="B439" s="24"/>
      <c r="C439" s="24"/>
      <c r="D439" s="24"/>
      <c r="E439" s="24"/>
      <c r="F439" s="24"/>
      <c r="G439" s="24"/>
      <c r="H439" s="24"/>
      <c r="I439" s="32"/>
      <c r="J439" s="32"/>
      <c r="K439" s="32"/>
      <c r="L439" s="32"/>
      <c r="M439" s="24"/>
      <c r="N439" s="24"/>
      <c r="O439" s="24"/>
      <c r="P439" s="33" t="str">
        <f aca="false">IF(AND(G439&lt;&gt;"",I439&lt;&gt;"",J439&lt;&gt;""),(J439-I439)*1440,"")</f>
        <v/>
      </c>
      <c r="Q439" s="33" t="str">
        <f aca="false">IF(AND(G439&lt;&gt;"",J439&lt;&gt;"",K439&lt;&gt;""),(K439-J439)*1440,"")</f>
        <v/>
      </c>
      <c r="R439" s="33" t="str">
        <f aca="false">IF(AND(G439&lt;&gt;"",K439&lt;&gt;"",L439&lt;&gt;""),(L439-K439)*1440,"")</f>
        <v/>
      </c>
      <c r="S439" s="33" t="str">
        <f aca="false">IF(AND(G439&lt;&gt;"",I439&lt;&gt;"",L439&lt;&gt;""),(L439-I439)*1440,"")</f>
        <v/>
      </c>
      <c r="T439" s="33" t="str">
        <f aca="false">IF(G439="","",IFERROR(INDEX(Settings!$B$5:$B$8,MATCH(G439,Settings!$A$5:$A$8,0)),""))</f>
        <v/>
      </c>
      <c r="U439" s="25" t="str">
        <f aca="false">IF(G439="","",IF(S439="","No",IF(S439&lt;=T439,"Yes","No")))</f>
        <v/>
      </c>
      <c r="V439" s="25" t="str">
        <f aca="false">IF(G439="","",IF(AND(J439="",K439="",L439=""),"Telemetry Blind Spot",IF(AND(K439="",L439=""),"Missed Alert",IF(L439="","Triage Delay",IF(S439&lt;=T439,"Detected - Within SLA",IF(AND(R439&lt;&gt;"",R439&gt;IFERROR(INDEX(Settings!$C$5:$C$8,MATCH(G439,Settings!$A$5:$A$8,0)),1E+099)),"Triage Delay","Detected - SLA Breach"))))))</f>
        <v/>
      </c>
      <c r="W439" s="25" t="str">
        <f aca="false">IF(G439="","",IF(L439&lt;&gt;"",1,0))</f>
        <v/>
      </c>
      <c r="X439" s="32"/>
      <c r="Y439" s="32"/>
      <c r="Z439" s="32"/>
      <c r="AA439" s="24"/>
      <c r="AB439" s="24"/>
      <c r="AC439" s="33" t="str">
        <f aca="false">IF(AND(G439&lt;&gt;"",L439&lt;&gt;"",X439&lt;&gt;""),(X439-L439)*1440,"")</f>
        <v/>
      </c>
      <c r="AD439" s="33" t="str">
        <f aca="false">IF(AND(G439&lt;&gt;"",X439&lt;&gt;"",Y439&lt;&gt;""),(Y439-X439)*1440,"")</f>
        <v/>
      </c>
      <c r="AE439" s="33" t="str">
        <f aca="false">IF(AND(G439&lt;&gt;"",Y439&lt;&gt;"",Z439&lt;&gt;""),(Z439-Y439)*1440,"")</f>
        <v/>
      </c>
      <c r="AF439" s="33" t="str">
        <f aca="false">IF(AND(G439&lt;&gt;"",L439&lt;&gt;"",Z439&lt;&gt;""),(Z439-L439)*1440,"")</f>
        <v/>
      </c>
      <c r="AG439" s="33" t="str">
        <f aca="false">IF(G439="","",IFERROR(INDEX(Settings!$D$5:$D$8,MATCH(G439,Settings!$A$5:$A$8,0)),""))</f>
        <v/>
      </c>
      <c r="AH439" s="25" t="str">
        <f aca="false">IF(G439="","",IF(AF439="","No",IF(AF439&lt;=AG439,"Yes","No")))</f>
        <v/>
      </c>
      <c r="AI439" s="25" t="str">
        <f aca="false">IF(G439="","",IF(L439="","N/A - Not Detected",IF(AND(X439="",Y439="",Z439=""),"No Containment Action",IF(Z439="",IF(Y439&lt;&gt;"","C2 Persisted","Host Isolation Gap"),IF(AF439&lt;=AG439,"Contained - Within SLA","Contained - SLA Breach")))))</f>
        <v/>
      </c>
      <c r="AJ439" s="25" t="str">
        <f aca="false">IF(G439="","",IF(Z439&lt;&gt;"",1,0))</f>
        <v/>
      </c>
      <c r="AK439" s="34"/>
      <c r="AL439" s="34"/>
      <c r="AM439" s="35"/>
      <c r="AN439" s="34"/>
      <c r="AO439" s="34"/>
      <c r="AP439" s="35"/>
      <c r="AQ439" s="34"/>
      <c r="AR439" s="34"/>
      <c r="AS439" s="34"/>
      <c r="AT439" s="35"/>
      <c r="AU439" s="35"/>
    </row>
    <row r="440" customFormat="false" ht="15" hidden="false" customHeight="false" outlineLevel="0" collapsed="false">
      <c r="A440" s="24"/>
      <c r="B440" s="24"/>
      <c r="C440" s="24"/>
      <c r="D440" s="24"/>
      <c r="E440" s="24"/>
      <c r="F440" s="24"/>
      <c r="G440" s="24"/>
      <c r="H440" s="24"/>
      <c r="I440" s="32"/>
      <c r="J440" s="32"/>
      <c r="K440" s="32"/>
      <c r="L440" s="32"/>
      <c r="M440" s="24"/>
      <c r="N440" s="24"/>
      <c r="O440" s="24"/>
      <c r="P440" s="33" t="str">
        <f aca="false">IF(AND(G440&lt;&gt;"",I440&lt;&gt;"",J440&lt;&gt;""),(J440-I440)*1440,"")</f>
        <v/>
      </c>
      <c r="Q440" s="33" t="str">
        <f aca="false">IF(AND(G440&lt;&gt;"",J440&lt;&gt;"",K440&lt;&gt;""),(K440-J440)*1440,"")</f>
        <v/>
      </c>
      <c r="R440" s="33" t="str">
        <f aca="false">IF(AND(G440&lt;&gt;"",K440&lt;&gt;"",L440&lt;&gt;""),(L440-K440)*1440,"")</f>
        <v/>
      </c>
      <c r="S440" s="33" t="str">
        <f aca="false">IF(AND(G440&lt;&gt;"",I440&lt;&gt;"",L440&lt;&gt;""),(L440-I440)*1440,"")</f>
        <v/>
      </c>
      <c r="T440" s="33" t="str">
        <f aca="false">IF(G440="","",IFERROR(INDEX(Settings!$B$5:$B$8,MATCH(G440,Settings!$A$5:$A$8,0)),""))</f>
        <v/>
      </c>
      <c r="U440" s="25" t="str">
        <f aca="false">IF(G440="","",IF(S440="","No",IF(S440&lt;=T440,"Yes","No")))</f>
        <v/>
      </c>
      <c r="V440" s="25" t="str">
        <f aca="false">IF(G440="","",IF(AND(J440="",K440="",L440=""),"Telemetry Blind Spot",IF(AND(K440="",L440=""),"Missed Alert",IF(L440="","Triage Delay",IF(S440&lt;=T440,"Detected - Within SLA",IF(AND(R440&lt;&gt;"",R440&gt;IFERROR(INDEX(Settings!$C$5:$C$8,MATCH(G440,Settings!$A$5:$A$8,0)),1E+099)),"Triage Delay","Detected - SLA Breach"))))))</f>
        <v/>
      </c>
      <c r="W440" s="25" t="str">
        <f aca="false">IF(G440="","",IF(L440&lt;&gt;"",1,0))</f>
        <v/>
      </c>
      <c r="X440" s="32"/>
      <c r="Y440" s="32"/>
      <c r="Z440" s="32"/>
      <c r="AA440" s="24"/>
      <c r="AB440" s="24"/>
      <c r="AC440" s="33" t="str">
        <f aca="false">IF(AND(G440&lt;&gt;"",L440&lt;&gt;"",X440&lt;&gt;""),(X440-L440)*1440,"")</f>
        <v/>
      </c>
      <c r="AD440" s="33" t="str">
        <f aca="false">IF(AND(G440&lt;&gt;"",X440&lt;&gt;"",Y440&lt;&gt;""),(Y440-X440)*1440,"")</f>
        <v/>
      </c>
      <c r="AE440" s="33" t="str">
        <f aca="false">IF(AND(G440&lt;&gt;"",Y440&lt;&gt;"",Z440&lt;&gt;""),(Z440-Y440)*1440,"")</f>
        <v/>
      </c>
      <c r="AF440" s="33" t="str">
        <f aca="false">IF(AND(G440&lt;&gt;"",L440&lt;&gt;"",Z440&lt;&gt;""),(Z440-L440)*1440,"")</f>
        <v/>
      </c>
      <c r="AG440" s="33" t="str">
        <f aca="false">IF(G440="","",IFERROR(INDEX(Settings!$D$5:$D$8,MATCH(G440,Settings!$A$5:$A$8,0)),""))</f>
        <v/>
      </c>
      <c r="AH440" s="25" t="str">
        <f aca="false">IF(G440="","",IF(AF440="","No",IF(AF440&lt;=AG440,"Yes","No")))</f>
        <v/>
      </c>
      <c r="AI440" s="25" t="str">
        <f aca="false">IF(G440="","",IF(L440="","N/A - Not Detected",IF(AND(X440="",Y440="",Z440=""),"No Containment Action",IF(Z440="",IF(Y440&lt;&gt;"","C2 Persisted","Host Isolation Gap"),IF(AF440&lt;=AG440,"Contained - Within SLA","Contained - SLA Breach")))))</f>
        <v/>
      </c>
      <c r="AJ440" s="25" t="str">
        <f aca="false">IF(G440="","",IF(Z440&lt;&gt;"",1,0))</f>
        <v/>
      </c>
      <c r="AK440" s="34"/>
      <c r="AL440" s="34"/>
      <c r="AM440" s="35"/>
      <c r="AN440" s="34"/>
      <c r="AO440" s="34"/>
      <c r="AP440" s="35"/>
      <c r="AQ440" s="34"/>
      <c r="AR440" s="34"/>
      <c r="AS440" s="34"/>
      <c r="AT440" s="35"/>
      <c r="AU440" s="35"/>
    </row>
    <row r="441" customFormat="false" ht="15" hidden="false" customHeight="false" outlineLevel="0" collapsed="false">
      <c r="A441" s="24"/>
      <c r="B441" s="24"/>
      <c r="C441" s="24"/>
      <c r="D441" s="24"/>
      <c r="E441" s="24"/>
      <c r="F441" s="24"/>
      <c r="G441" s="24"/>
      <c r="H441" s="24"/>
      <c r="I441" s="32"/>
      <c r="J441" s="32"/>
      <c r="K441" s="32"/>
      <c r="L441" s="32"/>
      <c r="M441" s="24"/>
      <c r="N441" s="24"/>
      <c r="O441" s="24"/>
      <c r="P441" s="33" t="str">
        <f aca="false">IF(AND(G441&lt;&gt;"",I441&lt;&gt;"",J441&lt;&gt;""),(J441-I441)*1440,"")</f>
        <v/>
      </c>
      <c r="Q441" s="33" t="str">
        <f aca="false">IF(AND(G441&lt;&gt;"",J441&lt;&gt;"",K441&lt;&gt;""),(K441-J441)*1440,"")</f>
        <v/>
      </c>
      <c r="R441" s="33" t="str">
        <f aca="false">IF(AND(G441&lt;&gt;"",K441&lt;&gt;"",L441&lt;&gt;""),(L441-K441)*1440,"")</f>
        <v/>
      </c>
      <c r="S441" s="33" t="str">
        <f aca="false">IF(AND(G441&lt;&gt;"",I441&lt;&gt;"",L441&lt;&gt;""),(L441-I441)*1440,"")</f>
        <v/>
      </c>
      <c r="T441" s="33" t="str">
        <f aca="false">IF(G441="","",IFERROR(INDEX(Settings!$B$5:$B$8,MATCH(G441,Settings!$A$5:$A$8,0)),""))</f>
        <v/>
      </c>
      <c r="U441" s="25" t="str">
        <f aca="false">IF(G441="","",IF(S441="","No",IF(S441&lt;=T441,"Yes","No")))</f>
        <v/>
      </c>
      <c r="V441" s="25" t="str">
        <f aca="false">IF(G441="","",IF(AND(J441="",K441="",L441=""),"Telemetry Blind Spot",IF(AND(K441="",L441=""),"Missed Alert",IF(L441="","Triage Delay",IF(S441&lt;=T441,"Detected - Within SLA",IF(AND(R441&lt;&gt;"",R441&gt;IFERROR(INDEX(Settings!$C$5:$C$8,MATCH(G441,Settings!$A$5:$A$8,0)),1E+099)),"Triage Delay","Detected - SLA Breach"))))))</f>
        <v/>
      </c>
      <c r="W441" s="25" t="str">
        <f aca="false">IF(G441="","",IF(L441&lt;&gt;"",1,0))</f>
        <v/>
      </c>
      <c r="X441" s="32"/>
      <c r="Y441" s="32"/>
      <c r="Z441" s="32"/>
      <c r="AA441" s="24"/>
      <c r="AB441" s="24"/>
      <c r="AC441" s="33" t="str">
        <f aca="false">IF(AND(G441&lt;&gt;"",L441&lt;&gt;"",X441&lt;&gt;""),(X441-L441)*1440,"")</f>
        <v/>
      </c>
      <c r="AD441" s="33" t="str">
        <f aca="false">IF(AND(G441&lt;&gt;"",X441&lt;&gt;"",Y441&lt;&gt;""),(Y441-X441)*1440,"")</f>
        <v/>
      </c>
      <c r="AE441" s="33" t="str">
        <f aca="false">IF(AND(G441&lt;&gt;"",Y441&lt;&gt;"",Z441&lt;&gt;""),(Z441-Y441)*1440,"")</f>
        <v/>
      </c>
      <c r="AF441" s="33" t="str">
        <f aca="false">IF(AND(G441&lt;&gt;"",L441&lt;&gt;"",Z441&lt;&gt;""),(Z441-L441)*1440,"")</f>
        <v/>
      </c>
      <c r="AG441" s="33" t="str">
        <f aca="false">IF(G441="","",IFERROR(INDEX(Settings!$D$5:$D$8,MATCH(G441,Settings!$A$5:$A$8,0)),""))</f>
        <v/>
      </c>
      <c r="AH441" s="25" t="str">
        <f aca="false">IF(G441="","",IF(AF441="","No",IF(AF441&lt;=AG441,"Yes","No")))</f>
        <v/>
      </c>
      <c r="AI441" s="25" t="str">
        <f aca="false">IF(G441="","",IF(L441="","N/A - Not Detected",IF(AND(X441="",Y441="",Z441=""),"No Containment Action",IF(Z441="",IF(Y441&lt;&gt;"","C2 Persisted","Host Isolation Gap"),IF(AF441&lt;=AG441,"Contained - Within SLA","Contained - SLA Breach")))))</f>
        <v/>
      </c>
      <c r="AJ441" s="25" t="str">
        <f aca="false">IF(G441="","",IF(Z441&lt;&gt;"",1,0))</f>
        <v/>
      </c>
      <c r="AK441" s="34"/>
      <c r="AL441" s="34"/>
      <c r="AM441" s="35"/>
      <c r="AN441" s="34"/>
      <c r="AO441" s="34"/>
      <c r="AP441" s="35"/>
      <c r="AQ441" s="34"/>
      <c r="AR441" s="34"/>
      <c r="AS441" s="34"/>
      <c r="AT441" s="35"/>
      <c r="AU441" s="35"/>
    </row>
    <row r="442" customFormat="false" ht="15" hidden="false" customHeight="false" outlineLevel="0" collapsed="false">
      <c r="A442" s="24"/>
      <c r="B442" s="24"/>
      <c r="C442" s="24"/>
      <c r="D442" s="24"/>
      <c r="E442" s="24"/>
      <c r="F442" s="24"/>
      <c r="G442" s="24"/>
      <c r="H442" s="24"/>
      <c r="I442" s="32"/>
      <c r="J442" s="32"/>
      <c r="K442" s="32"/>
      <c r="L442" s="32"/>
      <c r="M442" s="24"/>
      <c r="N442" s="24"/>
      <c r="O442" s="24"/>
      <c r="P442" s="33" t="str">
        <f aca="false">IF(AND(G442&lt;&gt;"",I442&lt;&gt;"",J442&lt;&gt;""),(J442-I442)*1440,"")</f>
        <v/>
      </c>
      <c r="Q442" s="33" t="str">
        <f aca="false">IF(AND(G442&lt;&gt;"",J442&lt;&gt;"",K442&lt;&gt;""),(K442-J442)*1440,"")</f>
        <v/>
      </c>
      <c r="R442" s="33" t="str">
        <f aca="false">IF(AND(G442&lt;&gt;"",K442&lt;&gt;"",L442&lt;&gt;""),(L442-K442)*1440,"")</f>
        <v/>
      </c>
      <c r="S442" s="33" t="str">
        <f aca="false">IF(AND(G442&lt;&gt;"",I442&lt;&gt;"",L442&lt;&gt;""),(L442-I442)*1440,"")</f>
        <v/>
      </c>
      <c r="T442" s="33" t="str">
        <f aca="false">IF(G442="","",IFERROR(INDEX(Settings!$B$5:$B$8,MATCH(G442,Settings!$A$5:$A$8,0)),""))</f>
        <v/>
      </c>
      <c r="U442" s="25" t="str">
        <f aca="false">IF(G442="","",IF(S442="","No",IF(S442&lt;=T442,"Yes","No")))</f>
        <v/>
      </c>
      <c r="V442" s="25" t="str">
        <f aca="false">IF(G442="","",IF(AND(J442="",K442="",L442=""),"Telemetry Blind Spot",IF(AND(K442="",L442=""),"Missed Alert",IF(L442="","Triage Delay",IF(S442&lt;=T442,"Detected - Within SLA",IF(AND(R442&lt;&gt;"",R442&gt;IFERROR(INDEX(Settings!$C$5:$C$8,MATCH(G442,Settings!$A$5:$A$8,0)),1E+099)),"Triage Delay","Detected - SLA Breach"))))))</f>
        <v/>
      </c>
      <c r="W442" s="25" t="str">
        <f aca="false">IF(G442="","",IF(L442&lt;&gt;"",1,0))</f>
        <v/>
      </c>
      <c r="X442" s="32"/>
      <c r="Y442" s="32"/>
      <c r="Z442" s="32"/>
      <c r="AA442" s="24"/>
      <c r="AB442" s="24"/>
      <c r="AC442" s="33" t="str">
        <f aca="false">IF(AND(G442&lt;&gt;"",L442&lt;&gt;"",X442&lt;&gt;""),(X442-L442)*1440,"")</f>
        <v/>
      </c>
      <c r="AD442" s="33" t="str">
        <f aca="false">IF(AND(G442&lt;&gt;"",X442&lt;&gt;"",Y442&lt;&gt;""),(Y442-X442)*1440,"")</f>
        <v/>
      </c>
      <c r="AE442" s="33" t="str">
        <f aca="false">IF(AND(G442&lt;&gt;"",Y442&lt;&gt;"",Z442&lt;&gt;""),(Z442-Y442)*1440,"")</f>
        <v/>
      </c>
      <c r="AF442" s="33" t="str">
        <f aca="false">IF(AND(G442&lt;&gt;"",L442&lt;&gt;"",Z442&lt;&gt;""),(Z442-L442)*1440,"")</f>
        <v/>
      </c>
      <c r="AG442" s="33" t="str">
        <f aca="false">IF(G442="","",IFERROR(INDEX(Settings!$D$5:$D$8,MATCH(G442,Settings!$A$5:$A$8,0)),""))</f>
        <v/>
      </c>
      <c r="AH442" s="25" t="str">
        <f aca="false">IF(G442="","",IF(AF442="","No",IF(AF442&lt;=AG442,"Yes","No")))</f>
        <v/>
      </c>
      <c r="AI442" s="25" t="str">
        <f aca="false">IF(G442="","",IF(L442="","N/A - Not Detected",IF(AND(X442="",Y442="",Z442=""),"No Containment Action",IF(Z442="",IF(Y442&lt;&gt;"","C2 Persisted","Host Isolation Gap"),IF(AF442&lt;=AG442,"Contained - Within SLA","Contained - SLA Breach")))))</f>
        <v/>
      </c>
      <c r="AJ442" s="25" t="str">
        <f aca="false">IF(G442="","",IF(Z442&lt;&gt;"",1,0))</f>
        <v/>
      </c>
      <c r="AK442" s="34"/>
      <c r="AL442" s="34"/>
      <c r="AM442" s="35"/>
      <c r="AN442" s="34"/>
      <c r="AO442" s="34"/>
      <c r="AP442" s="35"/>
      <c r="AQ442" s="34"/>
      <c r="AR442" s="34"/>
      <c r="AS442" s="34"/>
      <c r="AT442" s="35"/>
      <c r="AU442" s="35"/>
    </row>
    <row r="443" customFormat="false" ht="15" hidden="false" customHeight="false" outlineLevel="0" collapsed="false">
      <c r="A443" s="24"/>
      <c r="B443" s="24"/>
      <c r="C443" s="24"/>
      <c r="D443" s="24"/>
      <c r="E443" s="24"/>
      <c r="F443" s="24"/>
      <c r="G443" s="24"/>
      <c r="H443" s="24"/>
      <c r="I443" s="32"/>
      <c r="J443" s="32"/>
      <c r="K443" s="32"/>
      <c r="L443" s="32"/>
      <c r="M443" s="24"/>
      <c r="N443" s="24"/>
      <c r="O443" s="24"/>
      <c r="P443" s="33" t="str">
        <f aca="false">IF(AND(G443&lt;&gt;"",I443&lt;&gt;"",J443&lt;&gt;""),(J443-I443)*1440,"")</f>
        <v/>
      </c>
      <c r="Q443" s="33" t="str">
        <f aca="false">IF(AND(G443&lt;&gt;"",J443&lt;&gt;"",K443&lt;&gt;""),(K443-J443)*1440,"")</f>
        <v/>
      </c>
      <c r="R443" s="33" t="str">
        <f aca="false">IF(AND(G443&lt;&gt;"",K443&lt;&gt;"",L443&lt;&gt;""),(L443-K443)*1440,"")</f>
        <v/>
      </c>
      <c r="S443" s="33" t="str">
        <f aca="false">IF(AND(G443&lt;&gt;"",I443&lt;&gt;"",L443&lt;&gt;""),(L443-I443)*1440,"")</f>
        <v/>
      </c>
      <c r="T443" s="33" t="str">
        <f aca="false">IF(G443="","",IFERROR(INDEX(Settings!$B$5:$B$8,MATCH(G443,Settings!$A$5:$A$8,0)),""))</f>
        <v/>
      </c>
      <c r="U443" s="25" t="str">
        <f aca="false">IF(G443="","",IF(S443="","No",IF(S443&lt;=T443,"Yes","No")))</f>
        <v/>
      </c>
      <c r="V443" s="25" t="str">
        <f aca="false">IF(G443="","",IF(AND(J443="",K443="",L443=""),"Telemetry Blind Spot",IF(AND(K443="",L443=""),"Missed Alert",IF(L443="","Triage Delay",IF(S443&lt;=T443,"Detected - Within SLA",IF(AND(R443&lt;&gt;"",R443&gt;IFERROR(INDEX(Settings!$C$5:$C$8,MATCH(G443,Settings!$A$5:$A$8,0)),1E+099)),"Triage Delay","Detected - SLA Breach"))))))</f>
        <v/>
      </c>
      <c r="W443" s="25" t="str">
        <f aca="false">IF(G443="","",IF(L443&lt;&gt;"",1,0))</f>
        <v/>
      </c>
      <c r="X443" s="32"/>
      <c r="Y443" s="32"/>
      <c r="Z443" s="32"/>
      <c r="AA443" s="24"/>
      <c r="AB443" s="24"/>
      <c r="AC443" s="33" t="str">
        <f aca="false">IF(AND(G443&lt;&gt;"",L443&lt;&gt;"",X443&lt;&gt;""),(X443-L443)*1440,"")</f>
        <v/>
      </c>
      <c r="AD443" s="33" t="str">
        <f aca="false">IF(AND(G443&lt;&gt;"",X443&lt;&gt;"",Y443&lt;&gt;""),(Y443-X443)*1440,"")</f>
        <v/>
      </c>
      <c r="AE443" s="33" t="str">
        <f aca="false">IF(AND(G443&lt;&gt;"",Y443&lt;&gt;"",Z443&lt;&gt;""),(Z443-Y443)*1440,"")</f>
        <v/>
      </c>
      <c r="AF443" s="33" t="str">
        <f aca="false">IF(AND(G443&lt;&gt;"",L443&lt;&gt;"",Z443&lt;&gt;""),(Z443-L443)*1440,"")</f>
        <v/>
      </c>
      <c r="AG443" s="33" t="str">
        <f aca="false">IF(G443="","",IFERROR(INDEX(Settings!$D$5:$D$8,MATCH(G443,Settings!$A$5:$A$8,0)),""))</f>
        <v/>
      </c>
      <c r="AH443" s="25" t="str">
        <f aca="false">IF(G443="","",IF(AF443="","No",IF(AF443&lt;=AG443,"Yes","No")))</f>
        <v/>
      </c>
      <c r="AI443" s="25" t="str">
        <f aca="false">IF(G443="","",IF(L443="","N/A - Not Detected",IF(AND(X443="",Y443="",Z443=""),"No Containment Action",IF(Z443="",IF(Y443&lt;&gt;"","C2 Persisted","Host Isolation Gap"),IF(AF443&lt;=AG443,"Contained - Within SLA","Contained - SLA Breach")))))</f>
        <v/>
      </c>
      <c r="AJ443" s="25" t="str">
        <f aca="false">IF(G443="","",IF(Z443&lt;&gt;"",1,0))</f>
        <v/>
      </c>
      <c r="AK443" s="34"/>
      <c r="AL443" s="34"/>
      <c r="AM443" s="35"/>
      <c r="AN443" s="34"/>
      <c r="AO443" s="34"/>
      <c r="AP443" s="35"/>
      <c r="AQ443" s="34"/>
      <c r="AR443" s="34"/>
      <c r="AS443" s="34"/>
      <c r="AT443" s="35"/>
      <c r="AU443" s="35"/>
    </row>
    <row r="444" customFormat="false" ht="15" hidden="false" customHeight="false" outlineLevel="0" collapsed="false">
      <c r="A444" s="24"/>
      <c r="B444" s="24"/>
      <c r="C444" s="24"/>
      <c r="D444" s="24"/>
      <c r="E444" s="24"/>
      <c r="F444" s="24"/>
      <c r="G444" s="24"/>
      <c r="H444" s="24"/>
      <c r="I444" s="32"/>
      <c r="J444" s="32"/>
      <c r="K444" s="32"/>
      <c r="L444" s="32"/>
      <c r="M444" s="24"/>
      <c r="N444" s="24"/>
      <c r="O444" s="24"/>
      <c r="P444" s="33" t="str">
        <f aca="false">IF(AND(G444&lt;&gt;"",I444&lt;&gt;"",J444&lt;&gt;""),(J444-I444)*1440,"")</f>
        <v/>
      </c>
      <c r="Q444" s="33" t="str">
        <f aca="false">IF(AND(G444&lt;&gt;"",J444&lt;&gt;"",K444&lt;&gt;""),(K444-J444)*1440,"")</f>
        <v/>
      </c>
      <c r="R444" s="33" t="str">
        <f aca="false">IF(AND(G444&lt;&gt;"",K444&lt;&gt;"",L444&lt;&gt;""),(L444-K444)*1440,"")</f>
        <v/>
      </c>
      <c r="S444" s="33" t="str">
        <f aca="false">IF(AND(G444&lt;&gt;"",I444&lt;&gt;"",L444&lt;&gt;""),(L444-I444)*1440,"")</f>
        <v/>
      </c>
      <c r="T444" s="33" t="str">
        <f aca="false">IF(G444="","",IFERROR(INDEX(Settings!$B$5:$B$8,MATCH(G444,Settings!$A$5:$A$8,0)),""))</f>
        <v/>
      </c>
      <c r="U444" s="25" t="str">
        <f aca="false">IF(G444="","",IF(S444="","No",IF(S444&lt;=T444,"Yes","No")))</f>
        <v/>
      </c>
      <c r="V444" s="25" t="str">
        <f aca="false">IF(G444="","",IF(AND(J444="",K444="",L444=""),"Telemetry Blind Spot",IF(AND(K444="",L444=""),"Missed Alert",IF(L444="","Triage Delay",IF(S444&lt;=T444,"Detected - Within SLA",IF(AND(R444&lt;&gt;"",R444&gt;IFERROR(INDEX(Settings!$C$5:$C$8,MATCH(G444,Settings!$A$5:$A$8,0)),1E+099)),"Triage Delay","Detected - SLA Breach"))))))</f>
        <v/>
      </c>
      <c r="W444" s="25" t="str">
        <f aca="false">IF(G444="","",IF(L444&lt;&gt;"",1,0))</f>
        <v/>
      </c>
      <c r="X444" s="32"/>
      <c r="Y444" s="32"/>
      <c r="Z444" s="32"/>
      <c r="AA444" s="24"/>
      <c r="AB444" s="24"/>
      <c r="AC444" s="33" t="str">
        <f aca="false">IF(AND(G444&lt;&gt;"",L444&lt;&gt;"",X444&lt;&gt;""),(X444-L444)*1440,"")</f>
        <v/>
      </c>
      <c r="AD444" s="33" t="str">
        <f aca="false">IF(AND(G444&lt;&gt;"",X444&lt;&gt;"",Y444&lt;&gt;""),(Y444-X444)*1440,"")</f>
        <v/>
      </c>
      <c r="AE444" s="33" t="str">
        <f aca="false">IF(AND(G444&lt;&gt;"",Y444&lt;&gt;"",Z444&lt;&gt;""),(Z444-Y444)*1440,"")</f>
        <v/>
      </c>
      <c r="AF444" s="33" t="str">
        <f aca="false">IF(AND(G444&lt;&gt;"",L444&lt;&gt;"",Z444&lt;&gt;""),(Z444-L444)*1440,"")</f>
        <v/>
      </c>
      <c r="AG444" s="33" t="str">
        <f aca="false">IF(G444="","",IFERROR(INDEX(Settings!$D$5:$D$8,MATCH(G444,Settings!$A$5:$A$8,0)),""))</f>
        <v/>
      </c>
      <c r="AH444" s="25" t="str">
        <f aca="false">IF(G444="","",IF(AF444="","No",IF(AF444&lt;=AG444,"Yes","No")))</f>
        <v/>
      </c>
      <c r="AI444" s="25" t="str">
        <f aca="false">IF(G444="","",IF(L444="","N/A - Not Detected",IF(AND(X444="",Y444="",Z444=""),"No Containment Action",IF(Z444="",IF(Y444&lt;&gt;"","C2 Persisted","Host Isolation Gap"),IF(AF444&lt;=AG444,"Contained - Within SLA","Contained - SLA Breach")))))</f>
        <v/>
      </c>
      <c r="AJ444" s="25" t="str">
        <f aca="false">IF(G444="","",IF(Z444&lt;&gt;"",1,0))</f>
        <v/>
      </c>
      <c r="AK444" s="34"/>
      <c r="AL444" s="34"/>
      <c r="AM444" s="35"/>
      <c r="AN444" s="34"/>
      <c r="AO444" s="34"/>
      <c r="AP444" s="35"/>
      <c r="AQ444" s="34"/>
      <c r="AR444" s="34"/>
      <c r="AS444" s="34"/>
      <c r="AT444" s="35"/>
      <c r="AU444" s="35"/>
    </row>
    <row r="445" customFormat="false" ht="15" hidden="false" customHeight="false" outlineLevel="0" collapsed="false">
      <c r="A445" s="24"/>
      <c r="B445" s="24"/>
      <c r="C445" s="24"/>
      <c r="D445" s="24"/>
      <c r="E445" s="24"/>
      <c r="F445" s="24"/>
      <c r="G445" s="24"/>
      <c r="H445" s="24"/>
      <c r="I445" s="32"/>
      <c r="J445" s="32"/>
      <c r="K445" s="32"/>
      <c r="L445" s="32"/>
      <c r="M445" s="24"/>
      <c r="N445" s="24"/>
      <c r="O445" s="24"/>
      <c r="P445" s="33" t="str">
        <f aca="false">IF(AND(G445&lt;&gt;"",I445&lt;&gt;"",J445&lt;&gt;""),(J445-I445)*1440,"")</f>
        <v/>
      </c>
      <c r="Q445" s="33" t="str">
        <f aca="false">IF(AND(G445&lt;&gt;"",J445&lt;&gt;"",K445&lt;&gt;""),(K445-J445)*1440,"")</f>
        <v/>
      </c>
      <c r="R445" s="33" t="str">
        <f aca="false">IF(AND(G445&lt;&gt;"",K445&lt;&gt;"",L445&lt;&gt;""),(L445-K445)*1440,"")</f>
        <v/>
      </c>
      <c r="S445" s="33" t="str">
        <f aca="false">IF(AND(G445&lt;&gt;"",I445&lt;&gt;"",L445&lt;&gt;""),(L445-I445)*1440,"")</f>
        <v/>
      </c>
      <c r="T445" s="33" t="str">
        <f aca="false">IF(G445="","",IFERROR(INDEX(Settings!$B$5:$B$8,MATCH(G445,Settings!$A$5:$A$8,0)),""))</f>
        <v/>
      </c>
      <c r="U445" s="25" t="str">
        <f aca="false">IF(G445="","",IF(S445="","No",IF(S445&lt;=T445,"Yes","No")))</f>
        <v/>
      </c>
      <c r="V445" s="25" t="str">
        <f aca="false">IF(G445="","",IF(AND(J445="",K445="",L445=""),"Telemetry Blind Spot",IF(AND(K445="",L445=""),"Missed Alert",IF(L445="","Triage Delay",IF(S445&lt;=T445,"Detected - Within SLA",IF(AND(R445&lt;&gt;"",R445&gt;IFERROR(INDEX(Settings!$C$5:$C$8,MATCH(G445,Settings!$A$5:$A$8,0)),1E+099)),"Triage Delay","Detected - SLA Breach"))))))</f>
        <v/>
      </c>
      <c r="W445" s="25" t="str">
        <f aca="false">IF(G445="","",IF(L445&lt;&gt;"",1,0))</f>
        <v/>
      </c>
      <c r="X445" s="32"/>
      <c r="Y445" s="32"/>
      <c r="Z445" s="32"/>
      <c r="AA445" s="24"/>
      <c r="AB445" s="24"/>
      <c r="AC445" s="33" t="str">
        <f aca="false">IF(AND(G445&lt;&gt;"",L445&lt;&gt;"",X445&lt;&gt;""),(X445-L445)*1440,"")</f>
        <v/>
      </c>
      <c r="AD445" s="33" t="str">
        <f aca="false">IF(AND(G445&lt;&gt;"",X445&lt;&gt;"",Y445&lt;&gt;""),(Y445-X445)*1440,"")</f>
        <v/>
      </c>
      <c r="AE445" s="33" t="str">
        <f aca="false">IF(AND(G445&lt;&gt;"",Y445&lt;&gt;"",Z445&lt;&gt;""),(Z445-Y445)*1440,"")</f>
        <v/>
      </c>
      <c r="AF445" s="33" t="str">
        <f aca="false">IF(AND(G445&lt;&gt;"",L445&lt;&gt;"",Z445&lt;&gt;""),(Z445-L445)*1440,"")</f>
        <v/>
      </c>
      <c r="AG445" s="33" t="str">
        <f aca="false">IF(G445="","",IFERROR(INDEX(Settings!$D$5:$D$8,MATCH(G445,Settings!$A$5:$A$8,0)),""))</f>
        <v/>
      </c>
      <c r="AH445" s="25" t="str">
        <f aca="false">IF(G445="","",IF(AF445="","No",IF(AF445&lt;=AG445,"Yes","No")))</f>
        <v/>
      </c>
      <c r="AI445" s="25" t="str">
        <f aca="false">IF(G445="","",IF(L445="","N/A - Not Detected",IF(AND(X445="",Y445="",Z445=""),"No Containment Action",IF(Z445="",IF(Y445&lt;&gt;"","C2 Persisted","Host Isolation Gap"),IF(AF445&lt;=AG445,"Contained - Within SLA","Contained - SLA Breach")))))</f>
        <v/>
      </c>
      <c r="AJ445" s="25" t="str">
        <f aca="false">IF(G445="","",IF(Z445&lt;&gt;"",1,0))</f>
        <v/>
      </c>
      <c r="AK445" s="34"/>
      <c r="AL445" s="34"/>
      <c r="AM445" s="35"/>
      <c r="AN445" s="34"/>
      <c r="AO445" s="34"/>
      <c r="AP445" s="35"/>
      <c r="AQ445" s="34"/>
      <c r="AR445" s="34"/>
      <c r="AS445" s="34"/>
      <c r="AT445" s="35"/>
      <c r="AU445" s="35"/>
    </row>
    <row r="446" customFormat="false" ht="15" hidden="false" customHeight="false" outlineLevel="0" collapsed="false">
      <c r="A446" s="24"/>
      <c r="B446" s="24"/>
      <c r="C446" s="24"/>
      <c r="D446" s="24"/>
      <c r="E446" s="24"/>
      <c r="F446" s="24"/>
      <c r="G446" s="24"/>
      <c r="H446" s="24"/>
      <c r="I446" s="32"/>
      <c r="J446" s="32"/>
      <c r="K446" s="32"/>
      <c r="L446" s="32"/>
      <c r="M446" s="24"/>
      <c r="N446" s="24"/>
      <c r="O446" s="24"/>
      <c r="P446" s="33" t="str">
        <f aca="false">IF(AND(G446&lt;&gt;"",I446&lt;&gt;"",J446&lt;&gt;""),(J446-I446)*1440,"")</f>
        <v/>
      </c>
      <c r="Q446" s="33" t="str">
        <f aca="false">IF(AND(G446&lt;&gt;"",J446&lt;&gt;"",K446&lt;&gt;""),(K446-J446)*1440,"")</f>
        <v/>
      </c>
      <c r="R446" s="33" t="str">
        <f aca="false">IF(AND(G446&lt;&gt;"",K446&lt;&gt;"",L446&lt;&gt;""),(L446-K446)*1440,"")</f>
        <v/>
      </c>
      <c r="S446" s="33" t="str">
        <f aca="false">IF(AND(G446&lt;&gt;"",I446&lt;&gt;"",L446&lt;&gt;""),(L446-I446)*1440,"")</f>
        <v/>
      </c>
      <c r="T446" s="33" t="str">
        <f aca="false">IF(G446="","",IFERROR(INDEX(Settings!$B$5:$B$8,MATCH(G446,Settings!$A$5:$A$8,0)),""))</f>
        <v/>
      </c>
      <c r="U446" s="25" t="str">
        <f aca="false">IF(G446="","",IF(S446="","No",IF(S446&lt;=T446,"Yes","No")))</f>
        <v/>
      </c>
      <c r="V446" s="25" t="str">
        <f aca="false">IF(G446="","",IF(AND(J446="",K446="",L446=""),"Telemetry Blind Spot",IF(AND(K446="",L446=""),"Missed Alert",IF(L446="","Triage Delay",IF(S446&lt;=T446,"Detected - Within SLA",IF(AND(R446&lt;&gt;"",R446&gt;IFERROR(INDEX(Settings!$C$5:$C$8,MATCH(G446,Settings!$A$5:$A$8,0)),1E+099)),"Triage Delay","Detected - SLA Breach"))))))</f>
        <v/>
      </c>
      <c r="W446" s="25" t="str">
        <f aca="false">IF(G446="","",IF(L446&lt;&gt;"",1,0))</f>
        <v/>
      </c>
      <c r="X446" s="32"/>
      <c r="Y446" s="32"/>
      <c r="Z446" s="32"/>
      <c r="AA446" s="24"/>
      <c r="AB446" s="24"/>
      <c r="AC446" s="33" t="str">
        <f aca="false">IF(AND(G446&lt;&gt;"",L446&lt;&gt;"",X446&lt;&gt;""),(X446-L446)*1440,"")</f>
        <v/>
      </c>
      <c r="AD446" s="33" t="str">
        <f aca="false">IF(AND(G446&lt;&gt;"",X446&lt;&gt;"",Y446&lt;&gt;""),(Y446-X446)*1440,"")</f>
        <v/>
      </c>
      <c r="AE446" s="33" t="str">
        <f aca="false">IF(AND(G446&lt;&gt;"",Y446&lt;&gt;"",Z446&lt;&gt;""),(Z446-Y446)*1440,"")</f>
        <v/>
      </c>
      <c r="AF446" s="33" t="str">
        <f aca="false">IF(AND(G446&lt;&gt;"",L446&lt;&gt;"",Z446&lt;&gt;""),(Z446-L446)*1440,"")</f>
        <v/>
      </c>
      <c r="AG446" s="33" t="str">
        <f aca="false">IF(G446="","",IFERROR(INDEX(Settings!$D$5:$D$8,MATCH(G446,Settings!$A$5:$A$8,0)),""))</f>
        <v/>
      </c>
      <c r="AH446" s="25" t="str">
        <f aca="false">IF(G446="","",IF(AF446="","No",IF(AF446&lt;=AG446,"Yes","No")))</f>
        <v/>
      </c>
      <c r="AI446" s="25" t="str">
        <f aca="false">IF(G446="","",IF(L446="","N/A - Not Detected",IF(AND(X446="",Y446="",Z446=""),"No Containment Action",IF(Z446="",IF(Y446&lt;&gt;"","C2 Persisted","Host Isolation Gap"),IF(AF446&lt;=AG446,"Contained - Within SLA","Contained - SLA Breach")))))</f>
        <v/>
      </c>
      <c r="AJ446" s="25" t="str">
        <f aca="false">IF(G446="","",IF(Z446&lt;&gt;"",1,0))</f>
        <v/>
      </c>
      <c r="AK446" s="34"/>
      <c r="AL446" s="34"/>
      <c r="AM446" s="35"/>
      <c r="AN446" s="34"/>
      <c r="AO446" s="34"/>
      <c r="AP446" s="35"/>
      <c r="AQ446" s="34"/>
      <c r="AR446" s="34"/>
      <c r="AS446" s="34"/>
      <c r="AT446" s="35"/>
      <c r="AU446" s="35"/>
    </row>
    <row r="447" customFormat="false" ht="15" hidden="false" customHeight="false" outlineLevel="0" collapsed="false">
      <c r="A447" s="24"/>
      <c r="B447" s="24"/>
      <c r="C447" s="24"/>
      <c r="D447" s="24"/>
      <c r="E447" s="24"/>
      <c r="F447" s="24"/>
      <c r="G447" s="24"/>
      <c r="H447" s="24"/>
      <c r="I447" s="32"/>
      <c r="J447" s="32"/>
      <c r="K447" s="32"/>
      <c r="L447" s="32"/>
      <c r="M447" s="24"/>
      <c r="N447" s="24"/>
      <c r="O447" s="24"/>
      <c r="P447" s="33" t="str">
        <f aca="false">IF(AND(G447&lt;&gt;"",I447&lt;&gt;"",J447&lt;&gt;""),(J447-I447)*1440,"")</f>
        <v/>
      </c>
      <c r="Q447" s="33" t="str">
        <f aca="false">IF(AND(G447&lt;&gt;"",J447&lt;&gt;"",K447&lt;&gt;""),(K447-J447)*1440,"")</f>
        <v/>
      </c>
      <c r="R447" s="33" t="str">
        <f aca="false">IF(AND(G447&lt;&gt;"",K447&lt;&gt;"",L447&lt;&gt;""),(L447-K447)*1440,"")</f>
        <v/>
      </c>
      <c r="S447" s="33" t="str">
        <f aca="false">IF(AND(G447&lt;&gt;"",I447&lt;&gt;"",L447&lt;&gt;""),(L447-I447)*1440,"")</f>
        <v/>
      </c>
      <c r="T447" s="33" t="str">
        <f aca="false">IF(G447="","",IFERROR(INDEX(Settings!$B$5:$B$8,MATCH(G447,Settings!$A$5:$A$8,0)),""))</f>
        <v/>
      </c>
      <c r="U447" s="25" t="str">
        <f aca="false">IF(G447="","",IF(S447="","No",IF(S447&lt;=T447,"Yes","No")))</f>
        <v/>
      </c>
      <c r="V447" s="25" t="str">
        <f aca="false">IF(G447="","",IF(AND(J447="",K447="",L447=""),"Telemetry Blind Spot",IF(AND(K447="",L447=""),"Missed Alert",IF(L447="","Triage Delay",IF(S447&lt;=T447,"Detected - Within SLA",IF(AND(R447&lt;&gt;"",R447&gt;IFERROR(INDEX(Settings!$C$5:$C$8,MATCH(G447,Settings!$A$5:$A$8,0)),1E+099)),"Triage Delay","Detected - SLA Breach"))))))</f>
        <v/>
      </c>
      <c r="W447" s="25" t="str">
        <f aca="false">IF(G447="","",IF(L447&lt;&gt;"",1,0))</f>
        <v/>
      </c>
      <c r="X447" s="32"/>
      <c r="Y447" s="32"/>
      <c r="Z447" s="32"/>
      <c r="AA447" s="24"/>
      <c r="AB447" s="24"/>
      <c r="AC447" s="33" t="str">
        <f aca="false">IF(AND(G447&lt;&gt;"",L447&lt;&gt;"",X447&lt;&gt;""),(X447-L447)*1440,"")</f>
        <v/>
      </c>
      <c r="AD447" s="33" t="str">
        <f aca="false">IF(AND(G447&lt;&gt;"",X447&lt;&gt;"",Y447&lt;&gt;""),(Y447-X447)*1440,"")</f>
        <v/>
      </c>
      <c r="AE447" s="33" t="str">
        <f aca="false">IF(AND(G447&lt;&gt;"",Y447&lt;&gt;"",Z447&lt;&gt;""),(Z447-Y447)*1440,"")</f>
        <v/>
      </c>
      <c r="AF447" s="33" t="str">
        <f aca="false">IF(AND(G447&lt;&gt;"",L447&lt;&gt;"",Z447&lt;&gt;""),(Z447-L447)*1440,"")</f>
        <v/>
      </c>
      <c r="AG447" s="33" t="str">
        <f aca="false">IF(G447="","",IFERROR(INDEX(Settings!$D$5:$D$8,MATCH(G447,Settings!$A$5:$A$8,0)),""))</f>
        <v/>
      </c>
      <c r="AH447" s="25" t="str">
        <f aca="false">IF(G447="","",IF(AF447="","No",IF(AF447&lt;=AG447,"Yes","No")))</f>
        <v/>
      </c>
      <c r="AI447" s="25" t="str">
        <f aca="false">IF(G447="","",IF(L447="","N/A - Not Detected",IF(AND(X447="",Y447="",Z447=""),"No Containment Action",IF(Z447="",IF(Y447&lt;&gt;"","C2 Persisted","Host Isolation Gap"),IF(AF447&lt;=AG447,"Contained - Within SLA","Contained - SLA Breach")))))</f>
        <v/>
      </c>
      <c r="AJ447" s="25" t="str">
        <f aca="false">IF(G447="","",IF(Z447&lt;&gt;"",1,0))</f>
        <v/>
      </c>
      <c r="AK447" s="34"/>
      <c r="AL447" s="34"/>
      <c r="AM447" s="35"/>
      <c r="AN447" s="34"/>
      <c r="AO447" s="34"/>
      <c r="AP447" s="35"/>
      <c r="AQ447" s="34"/>
      <c r="AR447" s="34"/>
      <c r="AS447" s="34"/>
      <c r="AT447" s="35"/>
      <c r="AU447" s="35"/>
    </row>
    <row r="448" customFormat="false" ht="15" hidden="false" customHeight="false" outlineLevel="0" collapsed="false">
      <c r="A448" s="24"/>
      <c r="B448" s="24"/>
      <c r="C448" s="24"/>
      <c r="D448" s="24"/>
      <c r="E448" s="24"/>
      <c r="F448" s="24"/>
      <c r="G448" s="24"/>
      <c r="H448" s="24"/>
      <c r="I448" s="32"/>
      <c r="J448" s="32"/>
      <c r="K448" s="32"/>
      <c r="L448" s="32"/>
      <c r="M448" s="24"/>
      <c r="N448" s="24"/>
      <c r="O448" s="24"/>
      <c r="P448" s="33" t="str">
        <f aca="false">IF(AND(G448&lt;&gt;"",I448&lt;&gt;"",J448&lt;&gt;""),(J448-I448)*1440,"")</f>
        <v/>
      </c>
      <c r="Q448" s="33" t="str">
        <f aca="false">IF(AND(G448&lt;&gt;"",J448&lt;&gt;"",K448&lt;&gt;""),(K448-J448)*1440,"")</f>
        <v/>
      </c>
      <c r="R448" s="33" t="str">
        <f aca="false">IF(AND(G448&lt;&gt;"",K448&lt;&gt;"",L448&lt;&gt;""),(L448-K448)*1440,"")</f>
        <v/>
      </c>
      <c r="S448" s="33" t="str">
        <f aca="false">IF(AND(G448&lt;&gt;"",I448&lt;&gt;"",L448&lt;&gt;""),(L448-I448)*1440,"")</f>
        <v/>
      </c>
      <c r="T448" s="33" t="str">
        <f aca="false">IF(G448="","",IFERROR(INDEX(Settings!$B$5:$B$8,MATCH(G448,Settings!$A$5:$A$8,0)),""))</f>
        <v/>
      </c>
      <c r="U448" s="25" t="str">
        <f aca="false">IF(G448="","",IF(S448="","No",IF(S448&lt;=T448,"Yes","No")))</f>
        <v/>
      </c>
      <c r="V448" s="25" t="str">
        <f aca="false">IF(G448="","",IF(AND(J448="",K448="",L448=""),"Telemetry Blind Spot",IF(AND(K448="",L448=""),"Missed Alert",IF(L448="","Triage Delay",IF(S448&lt;=T448,"Detected - Within SLA",IF(AND(R448&lt;&gt;"",R448&gt;IFERROR(INDEX(Settings!$C$5:$C$8,MATCH(G448,Settings!$A$5:$A$8,0)),1E+099)),"Triage Delay","Detected - SLA Breach"))))))</f>
        <v/>
      </c>
      <c r="W448" s="25" t="str">
        <f aca="false">IF(G448="","",IF(L448&lt;&gt;"",1,0))</f>
        <v/>
      </c>
      <c r="X448" s="32"/>
      <c r="Y448" s="32"/>
      <c r="Z448" s="32"/>
      <c r="AA448" s="24"/>
      <c r="AB448" s="24"/>
      <c r="AC448" s="33" t="str">
        <f aca="false">IF(AND(G448&lt;&gt;"",L448&lt;&gt;"",X448&lt;&gt;""),(X448-L448)*1440,"")</f>
        <v/>
      </c>
      <c r="AD448" s="33" t="str">
        <f aca="false">IF(AND(G448&lt;&gt;"",X448&lt;&gt;"",Y448&lt;&gt;""),(Y448-X448)*1440,"")</f>
        <v/>
      </c>
      <c r="AE448" s="33" t="str">
        <f aca="false">IF(AND(G448&lt;&gt;"",Y448&lt;&gt;"",Z448&lt;&gt;""),(Z448-Y448)*1440,"")</f>
        <v/>
      </c>
      <c r="AF448" s="33" t="str">
        <f aca="false">IF(AND(G448&lt;&gt;"",L448&lt;&gt;"",Z448&lt;&gt;""),(Z448-L448)*1440,"")</f>
        <v/>
      </c>
      <c r="AG448" s="33" t="str">
        <f aca="false">IF(G448="","",IFERROR(INDEX(Settings!$D$5:$D$8,MATCH(G448,Settings!$A$5:$A$8,0)),""))</f>
        <v/>
      </c>
      <c r="AH448" s="25" t="str">
        <f aca="false">IF(G448="","",IF(AF448="","No",IF(AF448&lt;=AG448,"Yes","No")))</f>
        <v/>
      </c>
      <c r="AI448" s="25" t="str">
        <f aca="false">IF(G448="","",IF(L448="","N/A - Not Detected",IF(AND(X448="",Y448="",Z448=""),"No Containment Action",IF(Z448="",IF(Y448&lt;&gt;"","C2 Persisted","Host Isolation Gap"),IF(AF448&lt;=AG448,"Contained - Within SLA","Contained - SLA Breach")))))</f>
        <v/>
      </c>
      <c r="AJ448" s="25" t="str">
        <f aca="false">IF(G448="","",IF(Z448&lt;&gt;"",1,0))</f>
        <v/>
      </c>
      <c r="AK448" s="34"/>
      <c r="AL448" s="34"/>
      <c r="AM448" s="35"/>
      <c r="AN448" s="34"/>
      <c r="AO448" s="34"/>
      <c r="AP448" s="35"/>
      <c r="AQ448" s="34"/>
      <c r="AR448" s="34"/>
      <c r="AS448" s="34"/>
      <c r="AT448" s="35"/>
      <c r="AU448" s="35"/>
    </row>
    <row r="449" customFormat="false" ht="15" hidden="false" customHeight="false" outlineLevel="0" collapsed="false">
      <c r="A449" s="24"/>
      <c r="B449" s="24"/>
      <c r="C449" s="24"/>
      <c r="D449" s="24"/>
      <c r="E449" s="24"/>
      <c r="F449" s="24"/>
      <c r="G449" s="24"/>
      <c r="H449" s="24"/>
      <c r="I449" s="32"/>
      <c r="J449" s="32"/>
      <c r="K449" s="32"/>
      <c r="L449" s="32"/>
      <c r="M449" s="24"/>
      <c r="N449" s="24"/>
      <c r="O449" s="24"/>
      <c r="P449" s="33" t="str">
        <f aca="false">IF(AND(G449&lt;&gt;"",I449&lt;&gt;"",J449&lt;&gt;""),(J449-I449)*1440,"")</f>
        <v/>
      </c>
      <c r="Q449" s="33" t="str">
        <f aca="false">IF(AND(G449&lt;&gt;"",J449&lt;&gt;"",K449&lt;&gt;""),(K449-J449)*1440,"")</f>
        <v/>
      </c>
      <c r="R449" s="33" t="str">
        <f aca="false">IF(AND(G449&lt;&gt;"",K449&lt;&gt;"",L449&lt;&gt;""),(L449-K449)*1440,"")</f>
        <v/>
      </c>
      <c r="S449" s="33" t="str">
        <f aca="false">IF(AND(G449&lt;&gt;"",I449&lt;&gt;"",L449&lt;&gt;""),(L449-I449)*1440,"")</f>
        <v/>
      </c>
      <c r="T449" s="33" t="str">
        <f aca="false">IF(G449="","",IFERROR(INDEX(Settings!$B$5:$B$8,MATCH(G449,Settings!$A$5:$A$8,0)),""))</f>
        <v/>
      </c>
      <c r="U449" s="25" t="str">
        <f aca="false">IF(G449="","",IF(S449="","No",IF(S449&lt;=T449,"Yes","No")))</f>
        <v/>
      </c>
      <c r="V449" s="25" t="str">
        <f aca="false">IF(G449="","",IF(AND(J449="",K449="",L449=""),"Telemetry Blind Spot",IF(AND(K449="",L449=""),"Missed Alert",IF(L449="","Triage Delay",IF(S449&lt;=T449,"Detected - Within SLA",IF(AND(R449&lt;&gt;"",R449&gt;IFERROR(INDEX(Settings!$C$5:$C$8,MATCH(G449,Settings!$A$5:$A$8,0)),1E+099)),"Triage Delay","Detected - SLA Breach"))))))</f>
        <v/>
      </c>
      <c r="W449" s="25" t="str">
        <f aca="false">IF(G449="","",IF(L449&lt;&gt;"",1,0))</f>
        <v/>
      </c>
      <c r="X449" s="32"/>
      <c r="Y449" s="32"/>
      <c r="Z449" s="32"/>
      <c r="AA449" s="24"/>
      <c r="AB449" s="24"/>
      <c r="AC449" s="33" t="str">
        <f aca="false">IF(AND(G449&lt;&gt;"",L449&lt;&gt;"",X449&lt;&gt;""),(X449-L449)*1440,"")</f>
        <v/>
      </c>
      <c r="AD449" s="33" t="str">
        <f aca="false">IF(AND(G449&lt;&gt;"",X449&lt;&gt;"",Y449&lt;&gt;""),(Y449-X449)*1440,"")</f>
        <v/>
      </c>
      <c r="AE449" s="33" t="str">
        <f aca="false">IF(AND(G449&lt;&gt;"",Y449&lt;&gt;"",Z449&lt;&gt;""),(Z449-Y449)*1440,"")</f>
        <v/>
      </c>
      <c r="AF449" s="33" t="str">
        <f aca="false">IF(AND(G449&lt;&gt;"",L449&lt;&gt;"",Z449&lt;&gt;""),(Z449-L449)*1440,"")</f>
        <v/>
      </c>
      <c r="AG449" s="33" t="str">
        <f aca="false">IF(G449="","",IFERROR(INDEX(Settings!$D$5:$D$8,MATCH(G449,Settings!$A$5:$A$8,0)),""))</f>
        <v/>
      </c>
      <c r="AH449" s="25" t="str">
        <f aca="false">IF(G449="","",IF(AF449="","No",IF(AF449&lt;=AG449,"Yes","No")))</f>
        <v/>
      </c>
      <c r="AI449" s="25" t="str">
        <f aca="false">IF(G449="","",IF(L449="","N/A - Not Detected",IF(AND(X449="",Y449="",Z449=""),"No Containment Action",IF(Z449="",IF(Y449&lt;&gt;"","C2 Persisted","Host Isolation Gap"),IF(AF449&lt;=AG449,"Contained - Within SLA","Contained - SLA Breach")))))</f>
        <v/>
      </c>
      <c r="AJ449" s="25" t="str">
        <f aca="false">IF(G449="","",IF(Z449&lt;&gt;"",1,0))</f>
        <v/>
      </c>
      <c r="AK449" s="34"/>
      <c r="AL449" s="34"/>
      <c r="AM449" s="35"/>
      <c r="AN449" s="34"/>
      <c r="AO449" s="34"/>
      <c r="AP449" s="35"/>
      <c r="AQ449" s="34"/>
      <c r="AR449" s="34"/>
      <c r="AS449" s="34"/>
      <c r="AT449" s="35"/>
      <c r="AU449" s="35"/>
    </row>
    <row r="450" customFormat="false" ht="15" hidden="false" customHeight="false" outlineLevel="0" collapsed="false">
      <c r="A450" s="24"/>
      <c r="B450" s="24"/>
      <c r="C450" s="24"/>
      <c r="D450" s="24"/>
      <c r="E450" s="24"/>
      <c r="F450" s="24"/>
      <c r="G450" s="24"/>
      <c r="H450" s="24"/>
      <c r="I450" s="32"/>
      <c r="J450" s="32"/>
      <c r="K450" s="32"/>
      <c r="L450" s="32"/>
      <c r="M450" s="24"/>
      <c r="N450" s="24"/>
      <c r="O450" s="24"/>
      <c r="P450" s="33" t="str">
        <f aca="false">IF(AND(G450&lt;&gt;"",I450&lt;&gt;"",J450&lt;&gt;""),(J450-I450)*1440,"")</f>
        <v/>
      </c>
      <c r="Q450" s="33" t="str">
        <f aca="false">IF(AND(G450&lt;&gt;"",J450&lt;&gt;"",K450&lt;&gt;""),(K450-J450)*1440,"")</f>
        <v/>
      </c>
      <c r="R450" s="33" t="str">
        <f aca="false">IF(AND(G450&lt;&gt;"",K450&lt;&gt;"",L450&lt;&gt;""),(L450-K450)*1440,"")</f>
        <v/>
      </c>
      <c r="S450" s="33" t="str">
        <f aca="false">IF(AND(G450&lt;&gt;"",I450&lt;&gt;"",L450&lt;&gt;""),(L450-I450)*1440,"")</f>
        <v/>
      </c>
      <c r="T450" s="33" t="str">
        <f aca="false">IF(G450="","",IFERROR(INDEX(Settings!$B$5:$B$8,MATCH(G450,Settings!$A$5:$A$8,0)),""))</f>
        <v/>
      </c>
      <c r="U450" s="25" t="str">
        <f aca="false">IF(G450="","",IF(S450="","No",IF(S450&lt;=T450,"Yes","No")))</f>
        <v/>
      </c>
      <c r="V450" s="25" t="str">
        <f aca="false">IF(G450="","",IF(AND(J450="",K450="",L450=""),"Telemetry Blind Spot",IF(AND(K450="",L450=""),"Missed Alert",IF(L450="","Triage Delay",IF(S450&lt;=T450,"Detected - Within SLA",IF(AND(R450&lt;&gt;"",R450&gt;IFERROR(INDEX(Settings!$C$5:$C$8,MATCH(G450,Settings!$A$5:$A$8,0)),1E+099)),"Triage Delay","Detected - SLA Breach"))))))</f>
        <v/>
      </c>
      <c r="W450" s="25" t="str">
        <f aca="false">IF(G450="","",IF(L450&lt;&gt;"",1,0))</f>
        <v/>
      </c>
      <c r="X450" s="32"/>
      <c r="Y450" s="32"/>
      <c r="Z450" s="32"/>
      <c r="AA450" s="24"/>
      <c r="AB450" s="24"/>
      <c r="AC450" s="33" t="str">
        <f aca="false">IF(AND(G450&lt;&gt;"",L450&lt;&gt;"",X450&lt;&gt;""),(X450-L450)*1440,"")</f>
        <v/>
      </c>
      <c r="AD450" s="33" t="str">
        <f aca="false">IF(AND(G450&lt;&gt;"",X450&lt;&gt;"",Y450&lt;&gt;""),(Y450-X450)*1440,"")</f>
        <v/>
      </c>
      <c r="AE450" s="33" t="str">
        <f aca="false">IF(AND(G450&lt;&gt;"",Y450&lt;&gt;"",Z450&lt;&gt;""),(Z450-Y450)*1440,"")</f>
        <v/>
      </c>
      <c r="AF450" s="33" t="str">
        <f aca="false">IF(AND(G450&lt;&gt;"",L450&lt;&gt;"",Z450&lt;&gt;""),(Z450-L450)*1440,"")</f>
        <v/>
      </c>
      <c r="AG450" s="33" t="str">
        <f aca="false">IF(G450="","",IFERROR(INDEX(Settings!$D$5:$D$8,MATCH(G450,Settings!$A$5:$A$8,0)),""))</f>
        <v/>
      </c>
      <c r="AH450" s="25" t="str">
        <f aca="false">IF(G450="","",IF(AF450="","No",IF(AF450&lt;=AG450,"Yes","No")))</f>
        <v/>
      </c>
      <c r="AI450" s="25" t="str">
        <f aca="false">IF(G450="","",IF(L450="","N/A - Not Detected",IF(AND(X450="",Y450="",Z450=""),"No Containment Action",IF(Z450="",IF(Y450&lt;&gt;"","C2 Persisted","Host Isolation Gap"),IF(AF450&lt;=AG450,"Contained - Within SLA","Contained - SLA Breach")))))</f>
        <v/>
      </c>
      <c r="AJ450" s="25" t="str">
        <f aca="false">IF(G450="","",IF(Z450&lt;&gt;"",1,0))</f>
        <v/>
      </c>
      <c r="AK450" s="34"/>
      <c r="AL450" s="34"/>
      <c r="AM450" s="35"/>
      <c r="AN450" s="34"/>
      <c r="AO450" s="34"/>
      <c r="AP450" s="35"/>
      <c r="AQ450" s="34"/>
      <c r="AR450" s="34"/>
      <c r="AS450" s="34"/>
      <c r="AT450" s="35"/>
      <c r="AU450" s="35"/>
    </row>
    <row r="451" customFormat="false" ht="15" hidden="false" customHeight="false" outlineLevel="0" collapsed="false">
      <c r="A451" s="24"/>
      <c r="B451" s="24"/>
      <c r="C451" s="24"/>
      <c r="D451" s="24"/>
      <c r="E451" s="24"/>
      <c r="F451" s="24"/>
      <c r="G451" s="24"/>
      <c r="H451" s="24"/>
      <c r="I451" s="32"/>
      <c r="J451" s="32"/>
      <c r="K451" s="32"/>
      <c r="L451" s="32"/>
      <c r="M451" s="24"/>
      <c r="N451" s="24"/>
      <c r="O451" s="24"/>
      <c r="P451" s="33" t="str">
        <f aca="false">IF(AND(G451&lt;&gt;"",I451&lt;&gt;"",J451&lt;&gt;""),(J451-I451)*1440,"")</f>
        <v/>
      </c>
      <c r="Q451" s="33" t="str">
        <f aca="false">IF(AND(G451&lt;&gt;"",J451&lt;&gt;"",K451&lt;&gt;""),(K451-J451)*1440,"")</f>
        <v/>
      </c>
      <c r="R451" s="33" t="str">
        <f aca="false">IF(AND(G451&lt;&gt;"",K451&lt;&gt;"",L451&lt;&gt;""),(L451-K451)*1440,"")</f>
        <v/>
      </c>
      <c r="S451" s="33" t="str">
        <f aca="false">IF(AND(G451&lt;&gt;"",I451&lt;&gt;"",L451&lt;&gt;""),(L451-I451)*1440,"")</f>
        <v/>
      </c>
      <c r="T451" s="33" t="str">
        <f aca="false">IF(G451="","",IFERROR(INDEX(Settings!$B$5:$B$8,MATCH(G451,Settings!$A$5:$A$8,0)),""))</f>
        <v/>
      </c>
      <c r="U451" s="25" t="str">
        <f aca="false">IF(G451="","",IF(S451="","No",IF(S451&lt;=T451,"Yes","No")))</f>
        <v/>
      </c>
      <c r="V451" s="25" t="str">
        <f aca="false">IF(G451="","",IF(AND(J451="",K451="",L451=""),"Telemetry Blind Spot",IF(AND(K451="",L451=""),"Missed Alert",IF(L451="","Triage Delay",IF(S451&lt;=T451,"Detected - Within SLA",IF(AND(R451&lt;&gt;"",R451&gt;IFERROR(INDEX(Settings!$C$5:$C$8,MATCH(G451,Settings!$A$5:$A$8,0)),1E+099)),"Triage Delay","Detected - SLA Breach"))))))</f>
        <v/>
      </c>
      <c r="W451" s="25" t="str">
        <f aca="false">IF(G451="","",IF(L451&lt;&gt;"",1,0))</f>
        <v/>
      </c>
      <c r="X451" s="32"/>
      <c r="Y451" s="32"/>
      <c r="Z451" s="32"/>
      <c r="AA451" s="24"/>
      <c r="AB451" s="24"/>
      <c r="AC451" s="33" t="str">
        <f aca="false">IF(AND(G451&lt;&gt;"",L451&lt;&gt;"",X451&lt;&gt;""),(X451-L451)*1440,"")</f>
        <v/>
      </c>
      <c r="AD451" s="33" t="str">
        <f aca="false">IF(AND(G451&lt;&gt;"",X451&lt;&gt;"",Y451&lt;&gt;""),(Y451-X451)*1440,"")</f>
        <v/>
      </c>
      <c r="AE451" s="33" t="str">
        <f aca="false">IF(AND(G451&lt;&gt;"",Y451&lt;&gt;"",Z451&lt;&gt;""),(Z451-Y451)*1440,"")</f>
        <v/>
      </c>
      <c r="AF451" s="33" t="str">
        <f aca="false">IF(AND(G451&lt;&gt;"",L451&lt;&gt;"",Z451&lt;&gt;""),(Z451-L451)*1440,"")</f>
        <v/>
      </c>
      <c r="AG451" s="33" t="str">
        <f aca="false">IF(G451="","",IFERROR(INDEX(Settings!$D$5:$D$8,MATCH(G451,Settings!$A$5:$A$8,0)),""))</f>
        <v/>
      </c>
      <c r="AH451" s="25" t="str">
        <f aca="false">IF(G451="","",IF(AF451="","No",IF(AF451&lt;=AG451,"Yes","No")))</f>
        <v/>
      </c>
      <c r="AI451" s="25" t="str">
        <f aca="false">IF(G451="","",IF(L451="","N/A - Not Detected",IF(AND(X451="",Y451="",Z451=""),"No Containment Action",IF(Z451="",IF(Y451&lt;&gt;"","C2 Persisted","Host Isolation Gap"),IF(AF451&lt;=AG451,"Contained - Within SLA","Contained - SLA Breach")))))</f>
        <v/>
      </c>
      <c r="AJ451" s="25" t="str">
        <f aca="false">IF(G451="","",IF(Z451&lt;&gt;"",1,0))</f>
        <v/>
      </c>
      <c r="AK451" s="34"/>
      <c r="AL451" s="34"/>
      <c r="AM451" s="35"/>
      <c r="AN451" s="34"/>
      <c r="AO451" s="34"/>
      <c r="AP451" s="35"/>
      <c r="AQ451" s="34"/>
      <c r="AR451" s="34"/>
      <c r="AS451" s="34"/>
      <c r="AT451" s="35"/>
      <c r="AU451" s="35"/>
    </row>
    <row r="452" customFormat="false" ht="15" hidden="false" customHeight="false" outlineLevel="0" collapsed="false">
      <c r="A452" s="24"/>
      <c r="B452" s="24"/>
      <c r="C452" s="24"/>
      <c r="D452" s="24"/>
      <c r="E452" s="24"/>
      <c r="F452" s="24"/>
      <c r="G452" s="24"/>
      <c r="H452" s="24"/>
      <c r="I452" s="32"/>
      <c r="J452" s="32"/>
      <c r="K452" s="32"/>
      <c r="L452" s="32"/>
      <c r="M452" s="24"/>
      <c r="N452" s="24"/>
      <c r="O452" s="24"/>
      <c r="P452" s="33" t="str">
        <f aca="false">IF(AND(G452&lt;&gt;"",I452&lt;&gt;"",J452&lt;&gt;""),(J452-I452)*1440,"")</f>
        <v/>
      </c>
      <c r="Q452" s="33" t="str">
        <f aca="false">IF(AND(G452&lt;&gt;"",J452&lt;&gt;"",K452&lt;&gt;""),(K452-J452)*1440,"")</f>
        <v/>
      </c>
      <c r="R452" s="33" t="str">
        <f aca="false">IF(AND(G452&lt;&gt;"",K452&lt;&gt;"",L452&lt;&gt;""),(L452-K452)*1440,"")</f>
        <v/>
      </c>
      <c r="S452" s="33" t="str">
        <f aca="false">IF(AND(G452&lt;&gt;"",I452&lt;&gt;"",L452&lt;&gt;""),(L452-I452)*1440,"")</f>
        <v/>
      </c>
      <c r="T452" s="33" t="str">
        <f aca="false">IF(G452="","",IFERROR(INDEX(Settings!$B$5:$B$8,MATCH(G452,Settings!$A$5:$A$8,0)),""))</f>
        <v/>
      </c>
      <c r="U452" s="25" t="str">
        <f aca="false">IF(G452="","",IF(S452="","No",IF(S452&lt;=T452,"Yes","No")))</f>
        <v/>
      </c>
      <c r="V452" s="25" t="str">
        <f aca="false">IF(G452="","",IF(AND(J452="",K452="",L452=""),"Telemetry Blind Spot",IF(AND(K452="",L452=""),"Missed Alert",IF(L452="","Triage Delay",IF(S452&lt;=T452,"Detected - Within SLA",IF(AND(R452&lt;&gt;"",R452&gt;IFERROR(INDEX(Settings!$C$5:$C$8,MATCH(G452,Settings!$A$5:$A$8,0)),1E+099)),"Triage Delay","Detected - SLA Breach"))))))</f>
        <v/>
      </c>
      <c r="W452" s="25" t="str">
        <f aca="false">IF(G452="","",IF(L452&lt;&gt;"",1,0))</f>
        <v/>
      </c>
      <c r="X452" s="32"/>
      <c r="Y452" s="32"/>
      <c r="Z452" s="32"/>
      <c r="AA452" s="24"/>
      <c r="AB452" s="24"/>
      <c r="AC452" s="33" t="str">
        <f aca="false">IF(AND(G452&lt;&gt;"",L452&lt;&gt;"",X452&lt;&gt;""),(X452-L452)*1440,"")</f>
        <v/>
      </c>
      <c r="AD452" s="33" t="str">
        <f aca="false">IF(AND(G452&lt;&gt;"",X452&lt;&gt;"",Y452&lt;&gt;""),(Y452-X452)*1440,"")</f>
        <v/>
      </c>
      <c r="AE452" s="33" t="str">
        <f aca="false">IF(AND(G452&lt;&gt;"",Y452&lt;&gt;"",Z452&lt;&gt;""),(Z452-Y452)*1440,"")</f>
        <v/>
      </c>
      <c r="AF452" s="33" t="str">
        <f aca="false">IF(AND(G452&lt;&gt;"",L452&lt;&gt;"",Z452&lt;&gt;""),(Z452-L452)*1440,"")</f>
        <v/>
      </c>
      <c r="AG452" s="33" t="str">
        <f aca="false">IF(G452="","",IFERROR(INDEX(Settings!$D$5:$D$8,MATCH(G452,Settings!$A$5:$A$8,0)),""))</f>
        <v/>
      </c>
      <c r="AH452" s="25" t="str">
        <f aca="false">IF(G452="","",IF(AF452="","No",IF(AF452&lt;=AG452,"Yes","No")))</f>
        <v/>
      </c>
      <c r="AI452" s="25" t="str">
        <f aca="false">IF(G452="","",IF(L452="","N/A - Not Detected",IF(AND(X452="",Y452="",Z452=""),"No Containment Action",IF(Z452="",IF(Y452&lt;&gt;"","C2 Persisted","Host Isolation Gap"),IF(AF452&lt;=AG452,"Contained - Within SLA","Contained - SLA Breach")))))</f>
        <v/>
      </c>
      <c r="AJ452" s="25" t="str">
        <f aca="false">IF(G452="","",IF(Z452&lt;&gt;"",1,0))</f>
        <v/>
      </c>
      <c r="AK452" s="34"/>
      <c r="AL452" s="34"/>
      <c r="AM452" s="35"/>
      <c r="AN452" s="34"/>
      <c r="AO452" s="34"/>
      <c r="AP452" s="35"/>
      <c r="AQ452" s="34"/>
      <c r="AR452" s="34"/>
      <c r="AS452" s="34"/>
      <c r="AT452" s="35"/>
      <c r="AU452" s="35"/>
    </row>
    <row r="453" customFormat="false" ht="15" hidden="false" customHeight="false" outlineLevel="0" collapsed="false">
      <c r="A453" s="24"/>
      <c r="B453" s="24"/>
      <c r="C453" s="24"/>
      <c r="D453" s="24"/>
      <c r="E453" s="24"/>
      <c r="F453" s="24"/>
      <c r="G453" s="24"/>
      <c r="H453" s="24"/>
      <c r="I453" s="32"/>
      <c r="J453" s="32"/>
      <c r="K453" s="32"/>
      <c r="L453" s="32"/>
      <c r="M453" s="24"/>
      <c r="N453" s="24"/>
      <c r="O453" s="24"/>
      <c r="P453" s="33" t="str">
        <f aca="false">IF(AND(G453&lt;&gt;"",I453&lt;&gt;"",J453&lt;&gt;""),(J453-I453)*1440,"")</f>
        <v/>
      </c>
      <c r="Q453" s="33" t="str">
        <f aca="false">IF(AND(G453&lt;&gt;"",J453&lt;&gt;"",K453&lt;&gt;""),(K453-J453)*1440,"")</f>
        <v/>
      </c>
      <c r="R453" s="33" t="str">
        <f aca="false">IF(AND(G453&lt;&gt;"",K453&lt;&gt;"",L453&lt;&gt;""),(L453-K453)*1440,"")</f>
        <v/>
      </c>
      <c r="S453" s="33" t="str">
        <f aca="false">IF(AND(G453&lt;&gt;"",I453&lt;&gt;"",L453&lt;&gt;""),(L453-I453)*1440,"")</f>
        <v/>
      </c>
      <c r="T453" s="33" t="str">
        <f aca="false">IF(G453="","",IFERROR(INDEX(Settings!$B$5:$B$8,MATCH(G453,Settings!$A$5:$A$8,0)),""))</f>
        <v/>
      </c>
      <c r="U453" s="25" t="str">
        <f aca="false">IF(G453="","",IF(S453="","No",IF(S453&lt;=T453,"Yes","No")))</f>
        <v/>
      </c>
      <c r="V453" s="25" t="str">
        <f aca="false">IF(G453="","",IF(AND(J453="",K453="",L453=""),"Telemetry Blind Spot",IF(AND(K453="",L453=""),"Missed Alert",IF(L453="","Triage Delay",IF(S453&lt;=T453,"Detected - Within SLA",IF(AND(R453&lt;&gt;"",R453&gt;IFERROR(INDEX(Settings!$C$5:$C$8,MATCH(G453,Settings!$A$5:$A$8,0)),1E+099)),"Triage Delay","Detected - SLA Breach"))))))</f>
        <v/>
      </c>
      <c r="W453" s="25" t="str">
        <f aca="false">IF(G453="","",IF(L453&lt;&gt;"",1,0))</f>
        <v/>
      </c>
      <c r="X453" s="32"/>
      <c r="Y453" s="32"/>
      <c r="Z453" s="32"/>
      <c r="AA453" s="24"/>
      <c r="AB453" s="24"/>
      <c r="AC453" s="33" t="str">
        <f aca="false">IF(AND(G453&lt;&gt;"",L453&lt;&gt;"",X453&lt;&gt;""),(X453-L453)*1440,"")</f>
        <v/>
      </c>
      <c r="AD453" s="33" t="str">
        <f aca="false">IF(AND(G453&lt;&gt;"",X453&lt;&gt;"",Y453&lt;&gt;""),(Y453-X453)*1440,"")</f>
        <v/>
      </c>
      <c r="AE453" s="33" t="str">
        <f aca="false">IF(AND(G453&lt;&gt;"",Y453&lt;&gt;"",Z453&lt;&gt;""),(Z453-Y453)*1440,"")</f>
        <v/>
      </c>
      <c r="AF453" s="33" t="str">
        <f aca="false">IF(AND(G453&lt;&gt;"",L453&lt;&gt;"",Z453&lt;&gt;""),(Z453-L453)*1440,"")</f>
        <v/>
      </c>
      <c r="AG453" s="33" t="str">
        <f aca="false">IF(G453="","",IFERROR(INDEX(Settings!$D$5:$D$8,MATCH(G453,Settings!$A$5:$A$8,0)),""))</f>
        <v/>
      </c>
      <c r="AH453" s="25" t="str">
        <f aca="false">IF(G453="","",IF(AF453="","No",IF(AF453&lt;=AG453,"Yes","No")))</f>
        <v/>
      </c>
      <c r="AI453" s="25" t="str">
        <f aca="false">IF(G453="","",IF(L453="","N/A - Not Detected",IF(AND(X453="",Y453="",Z453=""),"No Containment Action",IF(Z453="",IF(Y453&lt;&gt;"","C2 Persisted","Host Isolation Gap"),IF(AF453&lt;=AG453,"Contained - Within SLA","Contained - SLA Breach")))))</f>
        <v/>
      </c>
      <c r="AJ453" s="25" t="str">
        <f aca="false">IF(G453="","",IF(Z453&lt;&gt;"",1,0))</f>
        <v/>
      </c>
      <c r="AK453" s="34"/>
      <c r="AL453" s="34"/>
      <c r="AM453" s="35"/>
      <c r="AN453" s="34"/>
      <c r="AO453" s="34"/>
      <c r="AP453" s="35"/>
      <c r="AQ453" s="34"/>
      <c r="AR453" s="34"/>
      <c r="AS453" s="34"/>
      <c r="AT453" s="35"/>
      <c r="AU453" s="35"/>
    </row>
    <row r="454" customFormat="false" ht="15" hidden="false" customHeight="false" outlineLevel="0" collapsed="false">
      <c r="A454" s="24"/>
      <c r="B454" s="24"/>
      <c r="C454" s="24"/>
      <c r="D454" s="24"/>
      <c r="E454" s="24"/>
      <c r="F454" s="24"/>
      <c r="G454" s="24"/>
      <c r="H454" s="24"/>
      <c r="I454" s="32"/>
      <c r="J454" s="32"/>
      <c r="K454" s="32"/>
      <c r="L454" s="32"/>
      <c r="M454" s="24"/>
      <c r="N454" s="24"/>
      <c r="O454" s="24"/>
      <c r="P454" s="33" t="str">
        <f aca="false">IF(AND(G454&lt;&gt;"",I454&lt;&gt;"",J454&lt;&gt;""),(J454-I454)*1440,"")</f>
        <v/>
      </c>
      <c r="Q454" s="33" t="str">
        <f aca="false">IF(AND(G454&lt;&gt;"",J454&lt;&gt;"",K454&lt;&gt;""),(K454-J454)*1440,"")</f>
        <v/>
      </c>
      <c r="R454" s="33" t="str">
        <f aca="false">IF(AND(G454&lt;&gt;"",K454&lt;&gt;"",L454&lt;&gt;""),(L454-K454)*1440,"")</f>
        <v/>
      </c>
      <c r="S454" s="33" t="str">
        <f aca="false">IF(AND(G454&lt;&gt;"",I454&lt;&gt;"",L454&lt;&gt;""),(L454-I454)*1440,"")</f>
        <v/>
      </c>
      <c r="T454" s="33" t="str">
        <f aca="false">IF(G454="","",IFERROR(INDEX(Settings!$B$5:$B$8,MATCH(G454,Settings!$A$5:$A$8,0)),""))</f>
        <v/>
      </c>
      <c r="U454" s="25" t="str">
        <f aca="false">IF(G454="","",IF(S454="","No",IF(S454&lt;=T454,"Yes","No")))</f>
        <v/>
      </c>
      <c r="V454" s="25" t="str">
        <f aca="false">IF(G454="","",IF(AND(J454="",K454="",L454=""),"Telemetry Blind Spot",IF(AND(K454="",L454=""),"Missed Alert",IF(L454="","Triage Delay",IF(S454&lt;=T454,"Detected - Within SLA",IF(AND(R454&lt;&gt;"",R454&gt;IFERROR(INDEX(Settings!$C$5:$C$8,MATCH(G454,Settings!$A$5:$A$8,0)),1E+099)),"Triage Delay","Detected - SLA Breach"))))))</f>
        <v/>
      </c>
      <c r="W454" s="25" t="str">
        <f aca="false">IF(G454="","",IF(L454&lt;&gt;"",1,0))</f>
        <v/>
      </c>
      <c r="X454" s="32"/>
      <c r="Y454" s="32"/>
      <c r="Z454" s="32"/>
      <c r="AA454" s="24"/>
      <c r="AB454" s="24"/>
      <c r="AC454" s="33" t="str">
        <f aca="false">IF(AND(G454&lt;&gt;"",L454&lt;&gt;"",X454&lt;&gt;""),(X454-L454)*1440,"")</f>
        <v/>
      </c>
      <c r="AD454" s="33" t="str">
        <f aca="false">IF(AND(G454&lt;&gt;"",X454&lt;&gt;"",Y454&lt;&gt;""),(Y454-X454)*1440,"")</f>
        <v/>
      </c>
      <c r="AE454" s="33" t="str">
        <f aca="false">IF(AND(G454&lt;&gt;"",Y454&lt;&gt;"",Z454&lt;&gt;""),(Z454-Y454)*1440,"")</f>
        <v/>
      </c>
      <c r="AF454" s="33" t="str">
        <f aca="false">IF(AND(G454&lt;&gt;"",L454&lt;&gt;"",Z454&lt;&gt;""),(Z454-L454)*1440,"")</f>
        <v/>
      </c>
      <c r="AG454" s="33" t="str">
        <f aca="false">IF(G454="","",IFERROR(INDEX(Settings!$D$5:$D$8,MATCH(G454,Settings!$A$5:$A$8,0)),""))</f>
        <v/>
      </c>
      <c r="AH454" s="25" t="str">
        <f aca="false">IF(G454="","",IF(AF454="","No",IF(AF454&lt;=AG454,"Yes","No")))</f>
        <v/>
      </c>
      <c r="AI454" s="25" t="str">
        <f aca="false">IF(G454="","",IF(L454="","N/A - Not Detected",IF(AND(X454="",Y454="",Z454=""),"No Containment Action",IF(Z454="",IF(Y454&lt;&gt;"","C2 Persisted","Host Isolation Gap"),IF(AF454&lt;=AG454,"Contained - Within SLA","Contained - SLA Breach")))))</f>
        <v/>
      </c>
      <c r="AJ454" s="25" t="str">
        <f aca="false">IF(G454="","",IF(Z454&lt;&gt;"",1,0))</f>
        <v/>
      </c>
      <c r="AK454" s="34"/>
      <c r="AL454" s="34"/>
      <c r="AM454" s="35"/>
      <c r="AN454" s="34"/>
      <c r="AO454" s="34"/>
      <c r="AP454" s="35"/>
      <c r="AQ454" s="34"/>
      <c r="AR454" s="34"/>
      <c r="AS454" s="34"/>
      <c r="AT454" s="35"/>
      <c r="AU454" s="35"/>
    </row>
    <row r="455" customFormat="false" ht="15" hidden="false" customHeight="false" outlineLevel="0" collapsed="false">
      <c r="A455" s="24"/>
      <c r="B455" s="24"/>
      <c r="C455" s="24"/>
      <c r="D455" s="24"/>
      <c r="E455" s="24"/>
      <c r="F455" s="24"/>
      <c r="G455" s="24"/>
      <c r="H455" s="24"/>
      <c r="I455" s="32"/>
      <c r="J455" s="32"/>
      <c r="K455" s="32"/>
      <c r="L455" s="32"/>
      <c r="M455" s="24"/>
      <c r="N455" s="24"/>
      <c r="O455" s="24"/>
      <c r="P455" s="33" t="str">
        <f aca="false">IF(AND(G455&lt;&gt;"",I455&lt;&gt;"",J455&lt;&gt;""),(J455-I455)*1440,"")</f>
        <v/>
      </c>
      <c r="Q455" s="33" t="str">
        <f aca="false">IF(AND(G455&lt;&gt;"",J455&lt;&gt;"",K455&lt;&gt;""),(K455-J455)*1440,"")</f>
        <v/>
      </c>
      <c r="R455" s="33" t="str">
        <f aca="false">IF(AND(G455&lt;&gt;"",K455&lt;&gt;"",L455&lt;&gt;""),(L455-K455)*1440,"")</f>
        <v/>
      </c>
      <c r="S455" s="33" t="str">
        <f aca="false">IF(AND(G455&lt;&gt;"",I455&lt;&gt;"",L455&lt;&gt;""),(L455-I455)*1440,"")</f>
        <v/>
      </c>
      <c r="T455" s="33" t="str">
        <f aca="false">IF(G455="","",IFERROR(INDEX(Settings!$B$5:$B$8,MATCH(G455,Settings!$A$5:$A$8,0)),""))</f>
        <v/>
      </c>
      <c r="U455" s="25" t="str">
        <f aca="false">IF(G455="","",IF(S455="","No",IF(S455&lt;=T455,"Yes","No")))</f>
        <v/>
      </c>
      <c r="V455" s="25" t="str">
        <f aca="false">IF(G455="","",IF(AND(J455="",K455="",L455=""),"Telemetry Blind Spot",IF(AND(K455="",L455=""),"Missed Alert",IF(L455="","Triage Delay",IF(S455&lt;=T455,"Detected - Within SLA",IF(AND(R455&lt;&gt;"",R455&gt;IFERROR(INDEX(Settings!$C$5:$C$8,MATCH(G455,Settings!$A$5:$A$8,0)),1E+099)),"Triage Delay","Detected - SLA Breach"))))))</f>
        <v/>
      </c>
      <c r="W455" s="25" t="str">
        <f aca="false">IF(G455="","",IF(L455&lt;&gt;"",1,0))</f>
        <v/>
      </c>
      <c r="X455" s="32"/>
      <c r="Y455" s="32"/>
      <c r="Z455" s="32"/>
      <c r="AA455" s="24"/>
      <c r="AB455" s="24"/>
      <c r="AC455" s="33" t="str">
        <f aca="false">IF(AND(G455&lt;&gt;"",L455&lt;&gt;"",X455&lt;&gt;""),(X455-L455)*1440,"")</f>
        <v/>
      </c>
      <c r="AD455" s="33" t="str">
        <f aca="false">IF(AND(G455&lt;&gt;"",X455&lt;&gt;"",Y455&lt;&gt;""),(Y455-X455)*1440,"")</f>
        <v/>
      </c>
      <c r="AE455" s="33" t="str">
        <f aca="false">IF(AND(G455&lt;&gt;"",Y455&lt;&gt;"",Z455&lt;&gt;""),(Z455-Y455)*1440,"")</f>
        <v/>
      </c>
      <c r="AF455" s="33" t="str">
        <f aca="false">IF(AND(G455&lt;&gt;"",L455&lt;&gt;"",Z455&lt;&gt;""),(Z455-L455)*1440,"")</f>
        <v/>
      </c>
      <c r="AG455" s="33" t="str">
        <f aca="false">IF(G455="","",IFERROR(INDEX(Settings!$D$5:$D$8,MATCH(G455,Settings!$A$5:$A$8,0)),""))</f>
        <v/>
      </c>
      <c r="AH455" s="25" t="str">
        <f aca="false">IF(G455="","",IF(AF455="","No",IF(AF455&lt;=AG455,"Yes","No")))</f>
        <v/>
      </c>
      <c r="AI455" s="25" t="str">
        <f aca="false">IF(G455="","",IF(L455="","N/A - Not Detected",IF(AND(X455="",Y455="",Z455=""),"No Containment Action",IF(Z455="",IF(Y455&lt;&gt;"","C2 Persisted","Host Isolation Gap"),IF(AF455&lt;=AG455,"Contained - Within SLA","Contained - SLA Breach")))))</f>
        <v/>
      </c>
      <c r="AJ455" s="25" t="str">
        <f aca="false">IF(G455="","",IF(Z455&lt;&gt;"",1,0))</f>
        <v/>
      </c>
      <c r="AK455" s="34"/>
      <c r="AL455" s="34"/>
      <c r="AM455" s="35"/>
      <c r="AN455" s="34"/>
      <c r="AO455" s="34"/>
      <c r="AP455" s="35"/>
      <c r="AQ455" s="34"/>
      <c r="AR455" s="34"/>
      <c r="AS455" s="34"/>
      <c r="AT455" s="35"/>
      <c r="AU455" s="35"/>
    </row>
    <row r="456" customFormat="false" ht="15" hidden="false" customHeight="false" outlineLevel="0" collapsed="false">
      <c r="A456" s="24"/>
      <c r="B456" s="24"/>
      <c r="C456" s="24"/>
      <c r="D456" s="24"/>
      <c r="E456" s="24"/>
      <c r="F456" s="24"/>
      <c r="G456" s="24"/>
      <c r="H456" s="24"/>
      <c r="I456" s="32"/>
      <c r="J456" s="32"/>
      <c r="K456" s="32"/>
      <c r="L456" s="32"/>
      <c r="M456" s="24"/>
      <c r="N456" s="24"/>
      <c r="O456" s="24"/>
      <c r="P456" s="33" t="str">
        <f aca="false">IF(AND(G456&lt;&gt;"",I456&lt;&gt;"",J456&lt;&gt;""),(J456-I456)*1440,"")</f>
        <v/>
      </c>
      <c r="Q456" s="33" t="str">
        <f aca="false">IF(AND(G456&lt;&gt;"",J456&lt;&gt;"",K456&lt;&gt;""),(K456-J456)*1440,"")</f>
        <v/>
      </c>
      <c r="R456" s="33" t="str">
        <f aca="false">IF(AND(G456&lt;&gt;"",K456&lt;&gt;"",L456&lt;&gt;""),(L456-K456)*1440,"")</f>
        <v/>
      </c>
      <c r="S456" s="33" t="str">
        <f aca="false">IF(AND(G456&lt;&gt;"",I456&lt;&gt;"",L456&lt;&gt;""),(L456-I456)*1440,"")</f>
        <v/>
      </c>
      <c r="T456" s="33" t="str">
        <f aca="false">IF(G456="","",IFERROR(INDEX(Settings!$B$5:$B$8,MATCH(G456,Settings!$A$5:$A$8,0)),""))</f>
        <v/>
      </c>
      <c r="U456" s="25" t="str">
        <f aca="false">IF(G456="","",IF(S456="","No",IF(S456&lt;=T456,"Yes","No")))</f>
        <v/>
      </c>
      <c r="V456" s="25" t="str">
        <f aca="false">IF(G456="","",IF(AND(J456="",K456="",L456=""),"Telemetry Blind Spot",IF(AND(K456="",L456=""),"Missed Alert",IF(L456="","Triage Delay",IF(S456&lt;=T456,"Detected - Within SLA",IF(AND(R456&lt;&gt;"",R456&gt;IFERROR(INDEX(Settings!$C$5:$C$8,MATCH(G456,Settings!$A$5:$A$8,0)),1E+099)),"Triage Delay","Detected - SLA Breach"))))))</f>
        <v/>
      </c>
      <c r="W456" s="25" t="str">
        <f aca="false">IF(G456="","",IF(L456&lt;&gt;"",1,0))</f>
        <v/>
      </c>
      <c r="X456" s="32"/>
      <c r="Y456" s="32"/>
      <c r="Z456" s="32"/>
      <c r="AA456" s="24"/>
      <c r="AB456" s="24"/>
      <c r="AC456" s="33" t="str">
        <f aca="false">IF(AND(G456&lt;&gt;"",L456&lt;&gt;"",X456&lt;&gt;""),(X456-L456)*1440,"")</f>
        <v/>
      </c>
      <c r="AD456" s="33" t="str">
        <f aca="false">IF(AND(G456&lt;&gt;"",X456&lt;&gt;"",Y456&lt;&gt;""),(Y456-X456)*1440,"")</f>
        <v/>
      </c>
      <c r="AE456" s="33" t="str">
        <f aca="false">IF(AND(G456&lt;&gt;"",Y456&lt;&gt;"",Z456&lt;&gt;""),(Z456-Y456)*1440,"")</f>
        <v/>
      </c>
      <c r="AF456" s="33" t="str">
        <f aca="false">IF(AND(G456&lt;&gt;"",L456&lt;&gt;"",Z456&lt;&gt;""),(Z456-L456)*1440,"")</f>
        <v/>
      </c>
      <c r="AG456" s="33" t="str">
        <f aca="false">IF(G456="","",IFERROR(INDEX(Settings!$D$5:$D$8,MATCH(G456,Settings!$A$5:$A$8,0)),""))</f>
        <v/>
      </c>
      <c r="AH456" s="25" t="str">
        <f aca="false">IF(G456="","",IF(AF456="","No",IF(AF456&lt;=AG456,"Yes","No")))</f>
        <v/>
      </c>
      <c r="AI456" s="25" t="str">
        <f aca="false">IF(G456="","",IF(L456="","N/A - Not Detected",IF(AND(X456="",Y456="",Z456=""),"No Containment Action",IF(Z456="",IF(Y456&lt;&gt;"","C2 Persisted","Host Isolation Gap"),IF(AF456&lt;=AG456,"Contained - Within SLA","Contained - SLA Breach")))))</f>
        <v/>
      </c>
      <c r="AJ456" s="25" t="str">
        <f aca="false">IF(G456="","",IF(Z456&lt;&gt;"",1,0))</f>
        <v/>
      </c>
      <c r="AK456" s="34"/>
      <c r="AL456" s="34"/>
      <c r="AM456" s="35"/>
      <c r="AN456" s="34"/>
      <c r="AO456" s="34"/>
      <c r="AP456" s="35"/>
      <c r="AQ456" s="34"/>
      <c r="AR456" s="34"/>
      <c r="AS456" s="34"/>
      <c r="AT456" s="35"/>
      <c r="AU456" s="35"/>
    </row>
    <row r="457" customFormat="false" ht="15" hidden="false" customHeight="false" outlineLevel="0" collapsed="false">
      <c r="A457" s="24"/>
      <c r="B457" s="24"/>
      <c r="C457" s="24"/>
      <c r="D457" s="24"/>
      <c r="E457" s="24"/>
      <c r="F457" s="24"/>
      <c r="G457" s="24"/>
      <c r="H457" s="24"/>
      <c r="I457" s="32"/>
      <c r="J457" s="32"/>
      <c r="K457" s="32"/>
      <c r="L457" s="32"/>
      <c r="M457" s="24"/>
      <c r="N457" s="24"/>
      <c r="O457" s="24"/>
      <c r="P457" s="33" t="str">
        <f aca="false">IF(AND(G457&lt;&gt;"",I457&lt;&gt;"",J457&lt;&gt;""),(J457-I457)*1440,"")</f>
        <v/>
      </c>
      <c r="Q457" s="33" t="str">
        <f aca="false">IF(AND(G457&lt;&gt;"",J457&lt;&gt;"",K457&lt;&gt;""),(K457-J457)*1440,"")</f>
        <v/>
      </c>
      <c r="R457" s="33" t="str">
        <f aca="false">IF(AND(G457&lt;&gt;"",K457&lt;&gt;"",L457&lt;&gt;""),(L457-K457)*1440,"")</f>
        <v/>
      </c>
      <c r="S457" s="33" t="str">
        <f aca="false">IF(AND(G457&lt;&gt;"",I457&lt;&gt;"",L457&lt;&gt;""),(L457-I457)*1440,"")</f>
        <v/>
      </c>
      <c r="T457" s="33" t="str">
        <f aca="false">IF(G457="","",IFERROR(INDEX(Settings!$B$5:$B$8,MATCH(G457,Settings!$A$5:$A$8,0)),""))</f>
        <v/>
      </c>
      <c r="U457" s="25" t="str">
        <f aca="false">IF(G457="","",IF(S457="","No",IF(S457&lt;=T457,"Yes","No")))</f>
        <v/>
      </c>
      <c r="V457" s="25" t="str">
        <f aca="false">IF(G457="","",IF(AND(J457="",K457="",L457=""),"Telemetry Blind Spot",IF(AND(K457="",L457=""),"Missed Alert",IF(L457="","Triage Delay",IF(S457&lt;=T457,"Detected - Within SLA",IF(AND(R457&lt;&gt;"",R457&gt;IFERROR(INDEX(Settings!$C$5:$C$8,MATCH(G457,Settings!$A$5:$A$8,0)),1E+099)),"Triage Delay","Detected - SLA Breach"))))))</f>
        <v/>
      </c>
      <c r="W457" s="25" t="str">
        <f aca="false">IF(G457="","",IF(L457&lt;&gt;"",1,0))</f>
        <v/>
      </c>
      <c r="X457" s="32"/>
      <c r="Y457" s="32"/>
      <c r="Z457" s="32"/>
      <c r="AA457" s="24"/>
      <c r="AB457" s="24"/>
      <c r="AC457" s="33" t="str">
        <f aca="false">IF(AND(G457&lt;&gt;"",L457&lt;&gt;"",X457&lt;&gt;""),(X457-L457)*1440,"")</f>
        <v/>
      </c>
      <c r="AD457" s="33" t="str">
        <f aca="false">IF(AND(G457&lt;&gt;"",X457&lt;&gt;"",Y457&lt;&gt;""),(Y457-X457)*1440,"")</f>
        <v/>
      </c>
      <c r="AE457" s="33" t="str">
        <f aca="false">IF(AND(G457&lt;&gt;"",Y457&lt;&gt;"",Z457&lt;&gt;""),(Z457-Y457)*1440,"")</f>
        <v/>
      </c>
      <c r="AF457" s="33" t="str">
        <f aca="false">IF(AND(G457&lt;&gt;"",L457&lt;&gt;"",Z457&lt;&gt;""),(Z457-L457)*1440,"")</f>
        <v/>
      </c>
      <c r="AG457" s="33" t="str">
        <f aca="false">IF(G457="","",IFERROR(INDEX(Settings!$D$5:$D$8,MATCH(G457,Settings!$A$5:$A$8,0)),""))</f>
        <v/>
      </c>
      <c r="AH457" s="25" t="str">
        <f aca="false">IF(G457="","",IF(AF457="","No",IF(AF457&lt;=AG457,"Yes","No")))</f>
        <v/>
      </c>
      <c r="AI457" s="25" t="str">
        <f aca="false">IF(G457="","",IF(L457="","N/A - Not Detected",IF(AND(X457="",Y457="",Z457=""),"No Containment Action",IF(Z457="",IF(Y457&lt;&gt;"","C2 Persisted","Host Isolation Gap"),IF(AF457&lt;=AG457,"Contained - Within SLA","Contained - SLA Breach")))))</f>
        <v/>
      </c>
      <c r="AJ457" s="25" t="str">
        <f aca="false">IF(G457="","",IF(Z457&lt;&gt;"",1,0))</f>
        <v/>
      </c>
      <c r="AK457" s="34"/>
      <c r="AL457" s="34"/>
      <c r="AM457" s="35"/>
      <c r="AN457" s="34"/>
      <c r="AO457" s="34"/>
      <c r="AP457" s="35"/>
      <c r="AQ457" s="34"/>
      <c r="AR457" s="34"/>
      <c r="AS457" s="34"/>
      <c r="AT457" s="35"/>
      <c r="AU457" s="35"/>
    </row>
    <row r="458" customFormat="false" ht="15" hidden="false" customHeight="false" outlineLevel="0" collapsed="false">
      <c r="A458" s="24"/>
      <c r="B458" s="24"/>
      <c r="C458" s="24"/>
      <c r="D458" s="24"/>
      <c r="E458" s="24"/>
      <c r="F458" s="24"/>
      <c r="G458" s="24"/>
      <c r="H458" s="24"/>
      <c r="I458" s="32"/>
      <c r="J458" s="32"/>
      <c r="K458" s="32"/>
      <c r="L458" s="32"/>
      <c r="M458" s="24"/>
      <c r="N458" s="24"/>
      <c r="O458" s="24"/>
      <c r="P458" s="33" t="str">
        <f aca="false">IF(AND(G458&lt;&gt;"",I458&lt;&gt;"",J458&lt;&gt;""),(J458-I458)*1440,"")</f>
        <v/>
      </c>
      <c r="Q458" s="33" t="str">
        <f aca="false">IF(AND(G458&lt;&gt;"",J458&lt;&gt;"",K458&lt;&gt;""),(K458-J458)*1440,"")</f>
        <v/>
      </c>
      <c r="R458" s="33" t="str">
        <f aca="false">IF(AND(G458&lt;&gt;"",K458&lt;&gt;"",L458&lt;&gt;""),(L458-K458)*1440,"")</f>
        <v/>
      </c>
      <c r="S458" s="33" t="str">
        <f aca="false">IF(AND(G458&lt;&gt;"",I458&lt;&gt;"",L458&lt;&gt;""),(L458-I458)*1440,"")</f>
        <v/>
      </c>
      <c r="T458" s="33" t="str">
        <f aca="false">IF(G458="","",IFERROR(INDEX(Settings!$B$5:$B$8,MATCH(G458,Settings!$A$5:$A$8,0)),""))</f>
        <v/>
      </c>
      <c r="U458" s="25" t="str">
        <f aca="false">IF(G458="","",IF(S458="","No",IF(S458&lt;=T458,"Yes","No")))</f>
        <v/>
      </c>
      <c r="V458" s="25" t="str">
        <f aca="false">IF(G458="","",IF(AND(J458="",K458="",L458=""),"Telemetry Blind Spot",IF(AND(K458="",L458=""),"Missed Alert",IF(L458="","Triage Delay",IF(S458&lt;=T458,"Detected - Within SLA",IF(AND(R458&lt;&gt;"",R458&gt;IFERROR(INDEX(Settings!$C$5:$C$8,MATCH(G458,Settings!$A$5:$A$8,0)),1E+099)),"Triage Delay","Detected - SLA Breach"))))))</f>
        <v/>
      </c>
      <c r="W458" s="25" t="str">
        <f aca="false">IF(G458="","",IF(L458&lt;&gt;"",1,0))</f>
        <v/>
      </c>
      <c r="X458" s="32"/>
      <c r="Y458" s="32"/>
      <c r="Z458" s="32"/>
      <c r="AA458" s="24"/>
      <c r="AB458" s="24"/>
      <c r="AC458" s="33" t="str">
        <f aca="false">IF(AND(G458&lt;&gt;"",L458&lt;&gt;"",X458&lt;&gt;""),(X458-L458)*1440,"")</f>
        <v/>
      </c>
      <c r="AD458" s="33" t="str">
        <f aca="false">IF(AND(G458&lt;&gt;"",X458&lt;&gt;"",Y458&lt;&gt;""),(Y458-X458)*1440,"")</f>
        <v/>
      </c>
      <c r="AE458" s="33" t="str">
        <f aca="false">IF(AND(G458&lt;&gt;"",Y458&lt;&gt;"",Z458&lt;&gt;""),(Z458-Y458)*1440,"")</f>
        <v/>
      </c>
      <c r="AF458" s="33" t="str">
        <f aca="false">IF(AND(G458&lt;&gt;"",L458&lt;&gt;"",Z458&lt;&gt;""),(Z458-L458)*1440,"")</f>
        <v/>
      </c>
      <c r="AG458" s="33" t="str">
        <f aca="false">IF(G458="","",IFERROR(INDEX(Settings!$D$5:$D$8,MATCH(G458,Settings!$A$5:$A$8,0)),""))</f>
        <v/>
      </c>
      <c r="AH458" s="25" t="str">
        <f aca="false">IF(G458="","",IF(AF458="","No",IF(AF458&lt;=AG458,"Yes","No")))</f>
        <v/>
      </c>
      <c r="AI458" s="25" t="str">
        <f aca="false">IF(G458="","",IF(L458="","N/A - Not Detected",IF(AND(X458="",Y458="",Z458=""),"No Containment Action",IF(Z458="",IF(Y458&lt;&gt;"","C2 Persisted","Host Isolation Gap"),IF(AF458&lt;=AG458,"Contained - Within SLA","Contained - SLA Breach")))))</f>
        <v/>
      </c>
      <c r="AJ458" s="25" t="str">
        <f aca="false">IF(G458="","",IF(Z458&lt;&gt;"",1,0))</f>
        <v/>
      </c>
      <c r="AK458" s="34"/>
      <c r="AL458" s="34"/>
      <c r="AM458" s="35"/>
      <c r="AN458" s="34"/>
      <c r="AO458" s="34"/>
      <c r="AP458" s="35"/>
      <c r="AQ458" s="34"/>
      <c r="AR458" s="34"/>
      <c r="AS458" s="34"/>
      <c r="AT458" s="35"/>
      <c r="AU458" s="35"/>
    </row>
    <row r="459" customFormat="false" ht="15" hidden="false" customHeight="false" outlineLevel="0" collapsed="false">
      <c r="A459" s="24"/>
      <c r="B459" s="24"/>
      <c r="C459" s="24"/>
      <c r="D459" s="24"/>
      <c r="E459" s="24"/>
      <c r="F459" s="24"/>
      <c r="G459" s="24"/>
      <c r="H459" s="24"/>
      <c r="I459" s="32"/>
      <c r="J459" s="32"/>
      <c r="K459" s="32"/>
      <c r="L459" s="32"/>
      <c r="M459" s="24"/>
      <c r="N459" s="24"/>
      <c r="O459" s="24"/>
      <c r="P459" s="33" t="str">
        <f aca="false">IF(AND(G459&lt;&gt;"",I459&lt;&gt;"",J459&lt;&gt;""),(J459-I459)*1440,"")</f>
        <v/>
      </c>
      <c r="Q459" s="33" t="str">
        <f aca="false">IF(AND(G459&lt;&gt;"",J459&lt;&gt;"",K459&lt;&gt;""),(K459-J459)*1440,"")</f>
        <v/>
      </c>
      <c r="R459" s="33" t="str">
        <f aca="false">IF(AND(G459&lt;&gt;"",K459&lt;&gt;"",L459&lt;&gt;""),(L459-K459)*1440,"")</f>
        <v/>
      </c>
      <c r="S459" s="33" t="str">
        <f aca="false">IF(AND(G459&lt;&gt;"",I459&lt;&gt;"",L459&lt;&gt;""),(L459-I459)*1440,"")</f>
        <v/>
      </c>
      <c r="T459" s="33" t="str">
        <f aca="false">IF(G459="","",IFERROR(INDEX(Settings!$B$5:$B$8,MATCH(G459,Settings!$A$5:$A$8,0)),""))</f>
        <v/>
      </c>
      <c r="U459" s="25" t="str">
        <f aca="false">IF(G459="","",IF(S459="","No",IF(S459&lt;=T459,"Yes","No")))</f>
        <v/>
      </c>
      <c r="V459" s="25" t="str">
        <f aca="false">IF(G459="","",IF(AND(J459="",K459="",L459=""),"Telemetry Blind Spot",IF(AND(K459="",L459=""),"Missed Alert",IF(L459="","Triage Delay",IF(S459&lt;=T459,"Detected - Within SLA",IF(AND(R459&lt;&gt;"",R459&gt;IFERROR(INDEX(Settings!$C$5:$C$8,MATCH(G459,Settings!$A$5:$A$8,0)),1E+099)),"Triage Delay","Detected - SLA Breach"))))))</f>
        <v/>
      </c>
      <c r="W459" s="25" t="str">
        <f aca="false">IF(G459="","",IF(L459&lt;&gt;"",1,0))</f>
        <v/>
      </c>
      <c r="X459" s="32"/>
      <c r="Y459" s="32"/>
      <c r="Z459" s="32"/>
      <c r="AA459" s="24"/>
      <c r="AB459" s="24"/>
      <c r="AC459" s="33" t="str">
        <f aca="false">IF(AND(G459&lt;&gt;"",L459&lt;&gt;"",X459&lt;&gt;""),(X459-L459)*1440,"")</f>
        <v/>
      </c>
      <c r="AD459" s="33" t="str">
        <f aca="false">IF(AND(G459&lt;&gt;"",X459&lt;&gt;"",Y459&lt;&gt;""),(Y459-X459)*1440,"")</f>
        <v/>
      </c>
      <c r="AE459" s="33" t="str">
        <f aca="false">IF(AND(G459&lt;&gt;"",Y459&lt;&gt;"",Z459&lt;&gt;""),(Z459-Y459)*1440,"")</f>
        <v/>
      </c>
      <c r="AF459" s="33" t="str">
        <f aca="false">IF(AND(G459&lt;&gt;"",L459&lt;&gt;"",Z459&lt;&gt;""),(Z459-L459)*1440,"")</f>
        <v/>
      </c>
      <c r="AG459" s="33" t="str">
        <f aca="false">IF(G459="","",IFERROR(INDEX(Settings!$D$5:$D$8,MATCH(G459,Settings!$A$5:$A$8,0)),""))</f>
        <v/>
      </c>
      <c r="AH459" s="25" t="str">
        <f aca="false">IF(G459="","",IF(AF459="","No",IF(AF459&lt;=AG459,"Yes","No")))</f>
        <v/>
      </c>
      <c r="AI459" s="25" t="str">
        <f aca="false">IF(G459="","",IF(L459="","N/A - Not Detected",IF(AND(X459="",Y459="",Z459=""),"No Containment Action",IF(Z459="",IF(Y459&lt;&gt;"","C2 Persisted","Host Isolation Gap"),IF(AF459&lt;=AG459,"Contained - Within SLA","Contained - SLA Breach")))))</f>
        <v/>
      </c>
      <c r="AJ459" s="25" t="str">
        <f aca="false">IF(G459="","",IF(Z459&lt;&gt;"",1,0))</f>
        <v/>
      </c>
      <c r="AK459" s="34"/>
      <c r="AL459" s="34"/>
      <c r="AM459" s="35"/>
      <c r="AN459" s="34"/>
      <c r="AO459" s="34"/>
      <c r="AP459" s="35"/>
      <c r="AQ459" s="34"/>
      <c r="AR459" s="34"/>
      <c r="AS459" s="34"/>
      <c r="AT459" s="35"/>
      <c r="AU459" s="35"/>
    </row>
    <row r="460" customFormat="false" ht="15" hidden="false" customHeight="false" outlineLevel="0" collapsed="false">
      <c r="A460" s="24"/>
      <c r="B460" s="24"/>
      <c r="C460" s="24"/>
      <c r="D460" s="24"/>
      <c r="E460" s="24"/>
      <c r="F460" s="24"/>
      <c r="G460" s="24"/>
      <c r="H460" s="24"/>
      <c r="I460" s="32"/>
      <c r="J460" s="32"/>
      <c r="K460" s="32"/>
      <c r="L460" s="32"/>
      <c r="M460" s="24"/>
      <c r="N460" s="24"/>
      <c r="O460" s="24"/>
      <c r="P460" s="33" t="str">
        <f aca="false">IF(AND(G460&lt;&gt;"",I460&lt;&gt;"",J460&lt;&gt;""),(J460-I460)*1440,"")</f>
        <v/>
      </c>
      <c r="Q460" s="33" t="str">
        <f aca="false">IF(AND(G460&lt;&gt;"",J460&lt;&gt;"",K460&lt;&gt;""),(K460-J460)*1440,"")</f>
        <v/>
      </c>
      <c r="R460" s="33" t="str">
        <f aca="false">IF(AND(G460&lt;&gt;"",K460&lt;&gt;"",L460&lt;&gt;""),(L460-K460)*1440,"")</f>
        <v/>
      </c>
      <c r="S460" s="33" t="str">
        <f aca="false">IF(AND(G460&lt;&gt;"",I460&lt;&gt;"",L460&lt;&gt;""),(L460-I460)*1440,"")</f>
        <v/>
      </c>
      <c r="T460" s="33" t="str">
        <f aca="false">IF(G460="","",IFERROR(INDEX(Settings!$B$5:$B$8,MATCH(G460,Settings!$A$5:$A$8,0)),""))</f>
        <v/>
      </c>
      <c r="U460" s="25" t="str">
        <f aca="false">IF(G460="","",IF(S460="","No",IF(S460&lt;=T460,"Yes","No")))</f>
        <v/>
      </c>
      <c r="V460" s="25" t="str">
        <f aca="false">IF(G460="","",IF(AND(J460="",K460="",L460=""),"Telemetry Blind Spot",IF(AND(K460="",L460=""),"Missed Alert",IF(L460="","Triage Delay",IF(S460&lt;=T460,"Detected - Within SLA",IF(AND(R460&lt;&gt;"",R460&gt;IFERROR(INDEX(Settings!$C$5:$C$8,MATCH(G460,Settings!$A$5:$A$8,0)),1E+099)),"Triage Delay","Detected - SLA Breach"))))))</f>
        <v/>
      </c>
      <c r="W460" s="25" t="str">
        <f aca="false">IF(G460="","",IF(L460&lt;&gt;"",1,0))</f>
        <v/>
      </c>
      <c r="X460" s="32"/>
      <c r="Y460" s="32"/>
      <c r="Z460" s="32"/>
      <c r="AA460" s="24"/>
      <c r="AB460" s="24"/>
      <c r="AC460" s="33" t="str">
        <f aca="false">IF(AND(G460&lt;&gt;"",L460&lt;&gt;"",X460&lt;&gt;""),(X460-L460)*1440,"")</f>
        <v/>
      </c>
      <c r="AD460" s="33" t="str">
        <f aca="false">IF(AND(G460&lt;&gt;"",X460&lt;&gt;"",Y460&lt;&gt;""),(Y460-X460)*1440,"")</f>
        <v/>
      </c>
      <c r="AE460" s="33" t="str">
        <f aca="false">IF(AND(G460&lt;&gt;"",Y460&lt;&gt;"",Z460&lt;&gt;""),(Z460-Y460)*1440,"")</f>
        <v/>
      </c>
      <c r="AF460" s="33" t="str">
        <f aca="false">IF(AND(G460&lt;&gt;"",L460&lt;&gt;"",Z460&lt;&gt;""),(Z460-L460)*1440,"")</f>
        <v/>
      </c>
      <c r="AG460" s="33" t="str">
        <f aca="false">IF(G460="","",IFERROR(INDEX(Settings!$D$5:$D$8,MATCH(G460,Settings!$A$5:$A$8,0)),""))</f>
        <v/>
      </c>
      <c r="AH460" s="25" t="str">
        <f aca="false">IF(G460="","",IF(AF460="","No",IF(AF460&lt;=AG460,"Yes","No")))</f>
        <v/>
      </c>
      <c r="AI460" s="25" t="str">
        <f aca="false">IF(G460="","",IF(L460="","N/A - Not Detected",IF(AND(X460="",Y460="",Z460=""),"No Containment Action",IF(Z460="",IF(Y460&lt;&gt;"","C2 Persisted","Host Isolation Gap"),IF(AF460&lt;=AG460,"Contained - Within SLA","Contained - SLA Breach")))))</f>
        <v/>
      </c>
      <c r="AJ460" s="25" t="str">
        <f aca="false">IF(G460="","",IF(Z460&lt;&gt;"",1,0))</f>
        <v/>
      </c>
      <c r="AK460" s="34"/>
      <c r="AL460" s="34"/>
      <c r="AM460" s="35"/>
      <c r="AN460" s="34"/>
      <c r="AO460" s="34"/>
      <c r="AP460" s="35"/>
      <c r="AQ460" s="34"/>
      <c r="AR460" s="34"/>
      <c r="AS460" s="34"/>
      <c r="AT460" s="35"/>
      <c r="AU460" s="35"/>
    </row>
    <row r="461" customFormat="false" ht="15" hidden="false" customHeight="false" outlineLevel="0" collapsed="false">
      <c r="A461" s="24"/>
      <c r="B461" s="24"/>
      <c r="C461" s="24"/>
      <c r="D461" s="24"/>
      <c r="E461" s="24"/>
      <c r="F461" s="24"/>
      <c r="G461" s="24"/>
      <c r="H461" s="24"/>
      <c r="I461" s="32"/>
      <c r="J461" s="32"/>
      <c r="K461" s="32"/>
      <c r="L461" s="32"/>
      <c r="M461" s="24"/>
      <c r="N461" s="24"/>
      <c r="O461" s="24"/>
      <c r="P461" s="33" t="str">
        <f aca="false">IF(AND(G461&lt;&gt;"",I461&lt;&gt;"",J461&lt;&gt;""),(J461-I461)*1440,"")</f>
        <v/>
      </c>
      <c r="Q461" s="33" t="str">
        <f aca="false">IF(AND(G461&lt;&gt;"",J461&lt;&gt;"",K461&lt;&gt;""),(K461-J461)*1440,"")</f>
        <v/>
      </c>
      <c r="R461" s="33" t="str">
        <f aca="false">IF(AND(G461&lt;&gt;"",K461&lt;&gt;"",L461&lt;&gt;""),(L461-K461)*1440,"")</f>
        <v/>
      </c>
      <c r="S461" s="33" t="str">
        <f aca="false">IF(AND(G461&lt;&gt;"",I461&lt;&gt;"",L461&lt;&gt;""),(L461-I461)*1440,"")</f>
        <v/>
      </c>
      <c r="T461" s="33" t="str">
        <f aca="false">IF(G461="","",IFERROR(INDEX(Settings!$B$5:$B$8,MATCH(G461,Settings!$A$5:$A$8,0)),""))</f>
        <v/>
      </c>
      <c r="U461" s="25" t="str">
        <f aca="false">IF(G461="","",IF(S461="","No",IF(S461&lt;=T461,"Yes","No")))</f>
        <v/>
      </c>
      <c r="V461" s="25" t="str">
        <f aca="false">IF(G461="","",IF(AND(J461="",K461="",L461=""),"Telemetry Blind Spot",IF(AND(K461="",L461=""),"Missed Alert",IF(L461="","Triage Delay",IF(S461&lt;=T461,"Detected - Within SLA",IF(AND(R461&lt;&gt;"",R461&gt;IFERROR(INDEX(Settings!$C$5:$C$8,MATCH(G461,Settings!$A$5:$A$8,0)),1E+099)),"Triage Delay","Detected - SLA Breach"))))))</f>
        <v/>
      </c>
      <c r="W461" s="25" t="str">
        <f aca="false">IF(G461="","",IF(L461&lt;&gt;"",1,0))</f>
        <v/>
      </c>
      <c r="X461" s="32"/>
      <c r="Y461" s="32"/>
      <c r="Z461" s="32"/>
      <c r="AA461" s="24"/>
      <c r="AB461" s="24"/>
      <c r="AC461" s="33" t="str">
        <f aca="false">IF(AND(G461&lt;&gt;"",L461&lt;&gt;"",X461&lt;&gt;""),(X461-L461)*1440,"")</f>
        <v/>
      </c>
      <c r="AD461" s="33" t="str">
        <f aca="false">IF(AND(G461&lt;&gt;"",X461&lt;&gt;"",Y461&lt;&gt;""),(Y461-X461)*1440,"")</f>
        <v/>
      </c>
      <c r="AE461" s="33" t="str">
        <f aca="false">IF(AND(G461&lt;&gt;"",Y461&lt;&gt;"",Z461&lt;&gt;""),(Z461-Y461)*1440,"")</f>
        <v/>
      </c>
      <c r="AF461" s="33" t="str">
        <f aca="false">IF(AND(G461&lt;&gt;"",L461&lt;&gt;"",Z461&lt;&gt;""),(Z461-L461)*1440,"")</f>
        <v/>
      </c>
      <c r="AG461" s="33" t="str">
        <f aca="false">IF(G461="","",IFERROR(INDEX(Settings!$D$5:$D$8,MATCH(G461,Settings!$A$5:$A$8,0)),""))</f>
        <v/>
      </c>
      <c r="AH461" s="25" t="str">
        <f aca="false">IF(G461="","",IF(AF461="","No",IF(AF461&lt;=AG461,"Yes","No")))</f>
        <v/>
      </c>
      <c r="AI461" s="25" t="str">
        <f aca="false">IF(G461="","",IF(L461="","N/A - Not Detected",IF(AND(X461="",Y461="",Z461=""),"No Containment Action",IF(Z461="",IF(Y461&lt;&gt;"","C2 Persisted","Host Isolation Gap"),IF(AF461&lt;=AG461,"Contained - Within SLA","Contained - SLA Breach")))))</f>
        <v/>
      </c>
      <c r="AJ461" s="25" t="str">
        <f aca="false">IF(G461="","",IF(Z461&lt;&gt;"",1,0))</f>
        <v/>
      </c>
      <c r="AK461" s="34"/>
      <c r="AL461" s="34"/>
      <c r="AM461" s="35"/>
      <c r="AN461" s="34"/>
      <c r="AO461" s="34"/>
      <c r="AP461" s="35"/>
      <c r="AQ461" s="34"/>
      <c r="AR461" s="34"/>
      <c r="AS461" s="34"/>
      <c r="AT461" s="35"/>
      <c r="AU461" s="35"/>
    </row>
    <row r="462" customFormat="false" ht="15" hidden="false" customHeight="false" outlineLevel="0" collapsed="false">
      <c r="A462" s="24"/>
      <c r="B462" s="24"/>
      <c r="C462" s="24"/>
      <c r="D462" s="24"/>
      <c r="E462" s="24"/>
      <c r="F462" s="24"/>
      <c r="G462" s="24"/>
      <c r="H462" s="24"/>
      <c r="I462" s="32"/>
      <c r="J462" s="32"/>
      <c r="K462" s="32"/>
      <c r="L462" s="32"/>
      <c r="M462" s="24"/>
      <c r="N462" s="24"/>
      <c r="O462" s="24"/>
      <c r="P462" s="33" t="str">
        <f aca="false">IF(AND(G462&lt;&gt;"",I462&lt;&gt;"",J462&lt;&gt;""),(J462-I462)*1440,"")</f>
        <v/>
      </c>
      <c r="Q462" s="33" t="str">
        <f aca="false">IF(AND(G462&lt;&gt;"",J462&lt;&gt;"",K462&lt;&gt;""),(K462-J462)*1440,"")</f>
        <v/>
      </c>
      <c r="R462" s="33" t="str">
        <f aca="false">IF(AND(G462&lt;&gt;"",K462&lt;&gt;"",L462&lt;&gt;""),(L462-K462)*1440,"")</f>
        <v/>
      </c>
      <c r="S462" s="33" t="str">
        <f aca="false">IF(AND(G462&lt;&gt;"",I462&lt;&gt;"",L462&lt;&gt;""),(L462-I462)*1440,"")</f>
        <v/>
      </c>
      <c r="T462" s="33" t="str">
        <f aca="false">IF(G462="","",IFERROR(INDEX(Settings!$B$5:$B$8,MATCH(G462,Settings!$A$5:$A$8,0)),""))</f>
        <v/>
      </c>
      <c r="U462" s="25" t="str">
        <f aca="false">IF(G462="","",IF(S462="","No",IF(S462&lt;=T462,"Yes","No")))</f>
        <v/>
      </c>
      <c r="V462" s="25" t="str">
        <f aca="false">IF(G462="","",IF(AND(J462="",K462="",L462=""),"Telemetry Blind Spot",IF(AND(K462="",L462=""),"Missed Alert",IF(L462="","Triage Delay",IF(S462&lt;=T462,"Detected - Within SLA",IF(AND(R462&lt;&gt;"",R462&gt;IFERROR(INDEX(Settings!$C$5:$C$8,MATCH(G462,Settings!$A$5:$A$8,0)),1E+099)),"Triage Delay","Detected - SLA Breach"))))))</f>
        <v/>
      </c>
      <c r="W462" s="25" t="str">
        <f aca="false">IF(G462="","",IF(L462&lt;&gt;"",1,0))</f>
        <v/>
      </c>
      <c r="X462" s="32"/>
      <c r="Y462" s="32"/>
      <c r="Z462" s="32"/>
      <c r="AA462" s="24"/>
      <c r="AB462" s="24"/>
      <c r="AC462" s="33" t="str">
        <f aca="false">IF(AND(G462&lt;&gt;"",L462&lt;&gt;"",X462&lt;&gt;""),(X462-L462)*1440,"")</f>
        <v/>
      </c>
      <c r="AD462" s="33" t="str">
        <f aca="false">IF(AND(G462&lt;&gt;"",X462&lt;&gt;"",Y462&lt;&gt;""),(Y462-X462)*1440,"")</f>
        <v/>
      </c>
      <c r="AE462" s="33" t="str">
        <f aca="false">IF(AND(G462&lt;&gt;"",Y462&lt;&gt;"",Z462&lt;&gt;""),(Z462-Y462)*1440,"")</f>
        <v/>
      </c>
      <c r="AF462" s="33" t="str">
        <f aca="false">IF(AND(G462&lt;&gt;"",L462&lt;&gt;"",Z462&lt;&gt;""),(Z462-L462)*1440,"")</f>
        <v/>
      </c>
      <c r="AG462" s="33" t="str">
        <f aca="false">IF(G462="","",IFERROR(INDEX(Settings!$D$5:$D$8,MATCH(G462,Settings!$A$5:$A$8,0)),""))</f>
        <v/>
      </c>
      <c r="AH462" s="25" t="str">
        <f aca="false">IF(G462="","",IF(AF462="","No",IF(AF462&lt;=AG462,"Yes","No")))</f>
        <v/>
      </c>
      <c r="AI462" s="25" t="str">
        <f aca="false">IF(G462="","",IF(L462="","N/A - Not Detected",IF(AND(X462="",Y462="",Z462=""),"No Containment Action",IF(Z462="",IF(Y462&lt;&gt;"","C2 Persisted","Host Isolation Gap"),IF(AF462&lt;=AG462,"Contained - Within SLA","Contained - SLA Breach")))))</f>
        <v/>
      </c>
      <c r="AJ462" s="25" t="str">
        <f aca="false">IF(G462="","",IF(Z462&lt;&gt;"",1,0))</f>
        <v/>
      </c>
      <c r="AK462" s="34"/>
      <c r="AL462" s="34"/>
      <c r="AM462" s="35"/>
      <c r="AN462" s="34"/>
      <c r="AO462" s="34"/>
      <c r="AP462" s="35"/>
      <c r="AQ462" s="34"/>
      <c r="AR462" s="34"/>
      <c r="AS462" s="34"/>
      <c r="AT462" s="35"/>
      <c r="AU462" s="35"/>
    </row>
    <row r="463" customFormat="false" ht="15" hidden="false" customHeight="false" outlineLevel="0" collapsed="false">
      <c r="A463" s="24"/>
      <c r="B463" s="24"/>
      <c r="C463" s="24"/>
      <c r="D463" s="24"/>
      <c r="E463" s="24"/>
      <c r="F463" s="24"/>
      <c r="G463" s="24"/>
      <c r="H463" s="24"/>
      <c r="I463" s="32"/>
      <c r="J463" s="32"/>
      <c r="K463" s="32"/>
      <c r="L463" s="32"/>
      <c r="M463" s="24"/>
      <c r="N463" s="24"/>
      <c r="O463" s="24"/>
      <c r="P463" s="33" t="str">
        <f aca="false">IF(AND(G463&lt;&gt;"",I463&lt;&gt;"",J463&lt;&gt;""),(J463-I463)*1440,"")</f>
        <v/>
      </c>
      <c r="Q463" s="33" t="str">
        <f aca="false">IF(AND(G463&lt;&gt;"",J463&lt;&gt;"",K463&lt;&gt;""),(K463-J463)*1440,"")</f>
        <v/>
      </c>
      <c r="R463" s="33" t="str">
        <f aca="false">IF(AND(G463&lt;&gt;"",K463&lt;&gt;"",L463&lt;&gt;""),(L463-K463)*1440,"")</f>
        <v/>
      </c>
      <c r="S463" s="33" t="str">
        <f aca="false">IF(AND(G463&lt;&gt;"",I463&lt;&gt;"",L463&lt;&gt;""),(L463-I463)*1440,"")</f>
        <v/>
      </c>
      <c r="T463" s="33" t="str">
        <f aca="false">IF(G463="","",IFERROR(INDEX(Settings!$B$5:$B$8,MATCH(G463,Settings!$A$5:$A$8,0)),""))</f>
        <v/>
      </c>
      <c r="U463" s="25" t="str">
        <f aca="false">IF(G463="","",IF(S463="","No",IF(S463&lt;=T463,"Yes","No")))</f>
        <v/>
      </c>
      <c r="V463" s="25" t="str">
        <f aca="false">IF(G463="","",IF(AND(J463="",K463="",L463=""),"Telemetry Blind Spot",IF(AND(K463="",L463=""),"Missed Alert",IF(L463="","Triage Delay",IF(S463&lt;=T463,"Detected - Within SLA",IF(AND(R463&lt;&gt;"",R463&gt;IFERROR(INDEX(Settings!$C$5:$C$8,MATCH(G463,Settings!$A$5:$A$8,0)),1E+099)),"Triage Delay","Detected - SLA Breach"))))))</f>
        <v/>
      </c>
      <c r="W463" s="25" t="str">
        <f aca="false">IF(G463="","",IF(L463&lt;&gt;"",1,0))</f>
        <v/>
      </c>
      <c r="X463" s="32"/>
      <c r="Y463" s="32"/>
      <c r="Z463" s="32"/>
      <c r="AA463" s="24"/>
      <c r="AB463" s="24"/>
      <c r="AC463" s="33" t="str">
        <f aca="false">IF(AND(G463&lt;&gt;"",L463&lt;&gt;"",X463&lt;&gt;""),(X463-L463)*1440,"")</f>
        <v/>
      </c>
      <c r="AD463" s="33" t="str">
        <f aca="false">IF(AND(G463&lt;&gt;"",X463&lt;&gt;"",Y463&lt;&gt;""),(Y463-X463)*1440,"")</f>
        <v/>
      </c>
      <c r="AE463" s="33" t="str">
        <f aca="false">IF(AND(G463&lt;&gt;"",Y463&lt;&gt;"",Z463&lt;&gt;""),(Z463-Y463)*1440,"")</f>
        <v/>
      </c>
      <c r="AF463" s="33" t="str">
        <f aca="false">IF(AND(G463&lt;&gt;"",L463&lt;&gt;"",Z463&lt;&gt;""),(Z463-L463)*1440,"")</f>
        <v/>
      </c>
      <c r="AG463" s="33" t="str">
        <f aca="false">IF(G463="","",IFERROR(INDEX(Settings!$D$5:$D$8,MATCH(G463,Settings!$A$5:$A$8,0)),""))</f>
        <v/>
      </c>
      <c r="AH463" s="25" t="str">
        <f aca="false">IF(G463="","",IF(AF463="","No",IF(AF463&lt;=AG463,"Yes","No")))</f>
        <v/>
      </c>
      <c r="AI463" s="25" t="str">
        <f aca="false">IF(G463="","",IF(L463="","N/A - Not Detected",IF(AND(X463="",Y463="",Z463=""),"No Containment Action",IF(Z463="",IF(Y463&lt;&gt;"","C2 Persisted","Host Isolation Gap"),IF(AF463&lt;=AG463,"Contained - Within SLA","Contained - SLA Breach")))))</f>
        <v/>
      </c>
      <c r="AJ463" s="25" t="str">
        <f aca="false">IF(G463="","",IF(Z463&lt;&gt;"",1,0))</f>
        <v/>
      </c>
      <c r="AK463" s="34"/>
      <c r="AL463" s="34"/>
      <c r="AM463" s="35"/>
      <c r="AN463" s="34"/>
      <c r="AO463" s="34"/>
      <c r="AP463" s="35"/>
      <c r="AQ463" s="34"/>
      <c r="AR463" s="34"/>
      <c r="AS463" s="34"/>
      <c r="AT463" s="35"/>
      <c r="AU463" s="35"/>
    </row>
    <row r="464" customFormat="false" ht="15" hidden="false" customHeight="false" outlineLevel="0" collapsed="false">
      <c r="A464" s="24"/>
      <c r="B464" s="24"/>
      <c r="C464" s="24"/>
      <c r="D464" s="24"/>
      <c r="E464" s="24"/>
      <c r="F464" s="24"/>
      <c r="G464" s="24"/>
      <c r="H464" s="24"/>
      <c r="I464" s="32"/>
      <c r="J464" s="32"/>
      <c r="K464" s="32"/>
      <c r="L464" s="32"/>
      <c r="M464" s="24"/>
      <c r="N464" s="24"/>
      <c r="O464" s="24"/>
      <c r="P464" s="33" t="str">
        <f aca="false">IF(AND(G464&lt;&gt;"",I464&lt;&gt;"",J464&lt;&gt;""),(J464-I464)*1440,"")</f>
        <v/>
      </c>
      <c r="Q464" s="33" t="str">
        <f aca="false">IF(AND(G464&lt;&gt;"",J464&lt;&gt;"",K464&lt;&gt;""),(K464-J464)*1440,"")</f>
        <v/>
      </c>
      <c r="R464" s="33" t="str">
        <f aca="false">IF(AND(G464&lt;&gt;"",K464&lt;&gt;"",L464&lt;&gt;""),(L464-K464)*1440,"")</f>
        <v/>
      </c>
      <c r="S464" s="33" t="str">
        <f aca="false">IF(AND(G464&lt;&gt;"",I464&lt;&gt;"",L464&lt;&gt;""),(L464-I464)*1440,"")</f>
        <v/>
      </c>
      <c r="T464" s="33" t="str">
        <f aca="false">IF(G464="","",IFERROR(INDEX(Settings!$B$5:$B$8,MATCH(G464,Settings!$A$5:$A$8,0)),""))</f>
        <v/>
      </c>
      <c r="U464" s="25" t="str">
        <f aca="false">IF(G464="","",IF(S464="","No",IF(S464&lt;=T464,"Yes","No")))</f>
        <v/>
      </c>
      <c r="V464" s="25" t="str">
        <f aca="false">IF(G464="","",IF(AND(J464="",K464="",L464=""),"Telemetry Blind Spot",IF(AND(K464="",L464=""),"Missed Alert",IF(L464="","Triage Delay",IF(S464&lt;=T464,"Detected - Within SLA",IF(AND(R464&lt;&gt;"",R464&gt;IFERROR(INDEX(Settings!$C$5:$C$8,MATCH(G464,Settings!$A$5:$A$8,0)),1E+099)),"Triage Delay","Detected - SLA Breach"))))))</f>
        <v/>
      </c>
      <c r="W464" s="25" t="str">
        <f aca="false">IF(G464="","",IF(L464&lt;&gt;"",1,0))</f>
        <v/>
      </c>
      <c r="X464" s="32"/>
      <c r="Y464" s="32"/>
      <c r="Z464" s="32"/>
      <c r="AA464" s="24"/>
      <c r="AB464" s="24"/>
      <c r="AC464" s="33" t="str">
        <f aca="false">IF(AND(G464&lt;&gt;"",L464&lt;&gt;"",X464&lt;&gt;""),(X464-L464)*1440,"")</f>
        <v/>
      </c>
      <c r="AD464" s="33" t="str">
        <f aca="false">IF(AND(G464&lt;&gt;"",X464&lt;&gt;"",Y464&lt;&gt;""),(Y464-X464)*1440,"")</f>
        <v/>
      </c>
      <c r="AE464" s="33" t="str">
        <f aca="false">IF(AND(G464&lt;&gt;"",Y464&lt;&gt;"",Z464&lt;&gt;""),(Z464-Y464)*1440,"")</f>
        <v/>
      </c>
      <c r="AF464" s="33" t="str">
        <f aca="false">IF(AND(G464&lt;&gt;"",L464&lt;&gt;"",Z464&lt;&gt;""),(Z464-L464)*1440,"")</f>
        <v/>
      </c>
      <c r="AG464" s="33" t="str">
        <f aca="false">IF(G464="","",IFERROR(INDEX(Settings!$D$5:$D$8,MATCH(G464,Settings!$A$5:$A$8,0)),""))</f>
        <v/>
      </c>
      <c r="AH464" s="25" t="str">
        <f aca="false">IF(G464="","",IF(AF464="","No",IF(AF464&lt;=AG464,"Yes","No")))</f>
        <v/>
      </c>
      <c r="AI464" s="25" t="str">
        <f aca="false">IF(G464="","",IF(L464="","N/A - Not Detected",IF(AND(X464="",Y464="",Z464=""),"No Containment Action",IF(Z464="",IF(Y464&lt;&gt;"","C2 Persisted","Host Isolation Gap"),IF(AF464&lt;=AG464,"Contained - Within SLA","Contained - SLA Breach")))))</f>
        <v/>
      </c>
      <c r="AJ464" s="25" t="str">
        <f aca="false">IF(G464="","",IF(Z464&lt;&gt;"",1,0))</f>
        <v/>
      </c>
      <c r="AK464" s="34"/>
      <c r="AL464" s="34"/>
      <c r="AM464" s="35"/>
      <c r="AN464" s="34"/>
      <c r="AO464" s="34"/>
      <c r="AP464" s="35"/>
      <c r="AQ464" s="34"/>
      <c r="AR464" s="34"/>
      <c r="AS464" s="34"/>
      <c r="AT464" s="35"/>
      <c r="AU464" s="35"/>
    </row>
    <row r="465" customFormat="false" ht="15" hidden="false" customHeight="false" outlineLevel="0" collapsed="false">
      <c r="A465" s="24"/>
      <c r="B465" s="24"/>
      <c r="C465" s="24"/>
      <c r="D465" s="24"/>
      <c r="E465" s="24"/>
      <c r="F465" s="24"/>
      <c r="G465" s="24"/>
      <c r="H465" s="24"/>
      <c r="I465" s="32"/>
      <c r="J465" s="32"/>
      <c r="K465" s="32"/>
      <c r="L465" s="32"/>
      <c r="M465" s="24"/>
      <c r="N465" s="24"/>
      <c r="O465" s="24"/>
      <c r="P465" s="33" t="str">
        <f aca="false">IF(AND(G465&lt;&gt;"",I465&lt;&gt;"",J465&lt;&gt;""),(J465-I465)*1440,"")</f>
        <v/>
      </c>
      <c r="Q465" s="33" t="str">
        <f aca="false">IF(AND(G465&lt;&gt;"",J465&lt;&gt;"",K465&lt;&gt;""),(K465-J465)*1440,"")</f>
        <v/>
      </c>
      <c r="R465" s="33" t="str">
        <f aca="false">IF(AND(G465&lt;&gt;"",K465&lt;&gt;"",L465&lt;&gt;""),(L465-K465)*1440,"")</f>
        <v/>
      </c>
      <c r="S465" s="33" t="str">
        <f aca="false">IF(AND(G465&lt;&gt;"",I465&lt;&gt;"",L465&lt;&gt;""),(L465-I465)*1440,"")</f>
        <v/>
      </c>
      <c r="T465" s="33" t="str">
        <f aca="false">IF(G465="","",IFERROR(INDEX(Settings!$B$5:$B$8,MATCH(G465,Settings!$A$5:$A$8,0)),""))</f>
        <v/>
      </c>
      <c r="U465" s="25" t="str">
        <f aca="false">IF(G465="","",IF(S465="","No",IF(S465&lt;=T465,"Yes","No")))</f>
        <v/>
      </c>
      <c r="V465" s="25" t="str">
        <f aca="false">IF(G465="","",IF(AND(J465="",K465="",L465=""),"Telemetry Blind Spot",IF(AND(K465="",L465=""),"Missed Alert",IF(L465="","Triage Delay",IF(S465&lt;=T465,"Detected - Within SLA",IF(AND(R465&lt;&gt;"",R465&gt;IFERROR(INDEX(Settings!$C$5:$C$8,MATCH(G465,Settings!$A$5:$A$8,0)),1E+099)),"Triage Delay","Detected - SLA Breach"))))))</f>
        <v/>
      </c>
      <c r="W465" s="25" t="str">
        <f aca="false">IF(G465="","",IF(L465&lt;&gt;"",1,0))</f>
        <v/>
      </c>
      <c r="X465" s="32"/>
      <c r="Y465" s="32"/>
      <c r="Z465" s="32"/>
      <c r="AA465" s="24"/>
      <c r="AB465" s="24"/>
      <c r="AC465" s="33" t="str">
        <f aca="false">IF(AND(G465&lt;&gt;"",L465&lt;&gt;"",X465&lt;&gt;""),(X465-L465)*1440,"")</f>
        <v/>
      </c>
      <c r="AD465" s="33" t="str">
        <f aca="false">IF(AND(G465&lt;&gt;"",X465&lt;&gt;"",Y465&lt;&gt;""),(Y465-X465)*1440,"")</f>
        <v/>
      </c>
      <c r="AE465" s="33" t="str">
        <f aca="false">IF(AND(G465&lt;&gt;"",Y465&lt;&gt;"",Z465&lt;&gt;""),(Z465-Y465)*1440,"")</f>
        <v/>
      </c>
      <c r="AF465" s="33" t="str">
        <f aca="false">IF(AND(G465&lt;&gt;"",L465&lt;&gt;"",Z465&lt;&gt;""),(Z465-L465)*1440,"")</f>
        <v/>
      </c>
      <c r="AG465" s="33" t="str">
        <f aca="false">IF(G465="","",IFERROR(INDEX(Settings!$D$5:$D$8,MATCH(G465,Settings!$A$5:$A$8,0)),""))</f>
        <v/>
      </c>
      <c r="AH465" s="25" t="str">
        <f aca="false">IF(G465="","",IF(AF465="","No",IF(AF465&lt;=AG465,"Yes","No")))</f>
        <v/>
      </c>
      <c r="AI465" s="25" t="str">
        <f aca="false">IF(G465="","",IF(L465="","N/A - Not Detected",IF(AND(X465="",Y465="",Z465=""),"No Containment Action",IF(Z465="",IF(Y465&lt;&gt;"","C2 Persisted","Host Isolation Gap"),IF(AF465&lt;=AG465,"Contained - Within SLA","Contained - SLA Breach")))))</f>
        <v/>
      </c>
      <c r="AJ465" s="25" t="str">
        <f aca="false">IF(G465="","",IF(Z465&lt;&gt;"",1,0))</f>
        <v/>
      </c>
      <c r="AK465" s="34"/>
      <c r="AL465" s="34"/>
      <c r="AM465" s="35"/>
      <c r="AN465" s="34"/>
      <c r="AO465" s="34"/>
      <c r="AP465" s="35"/>
      <c r="AQ465" s="34"/>
      <c r="AR465" s="34"/>
      <c r="AS465" s="34"/>
      <c r="AT465" s="35"/>
      <c r="AU465" s="35"/>
    </row>
    <row r="466" customFormat="false" ht="15" hidden="false" customHeight="false" outlineLevel="0" collapsed="false">
      <c r="A466" s="24"/>
      <c r="B466" s="24"/>
      <c r="C466" s="24"/>
      <c r="D466" s="24"/>
      <c r="E466" s="24"/>
      <c r="F466" s="24"/>
      <c r="G466" s="24"/>
      <c r="H466" s="24"/>
      <c r="I466" s="32"/>
      <c r="J466" s="32"/>
      <c r="K466" s="32"/>
      <c r="L466" s="32"/>
      <c r="M466" s="24"/>
      <c r="N466" s="24"/>
      <c r="O466" s="24"/>
      <c r="P466" s="33" t="str">
        <f aca="false">IF(AND(G466&lt;&gt;"",I466&lt;&gt;"",J466&lt;&gt;""),(J466-I466)*1440,"")</f>
        <v/>
      </c>
      <c r="Q466" s="33" t="str">
        <f aca="false">IF(AND(G466&lt;&gt;"",J466&lt;&gt;"",K466&lt;&gt;""),(K466-J466)*1440,"")</f>
        <v/>
      </c>
      <c r="R466" s="33" t="str">
        <f aca="false">IF(AND(G466&lt;&gt;"",K466&lt;&gt;"",L466&lt;&gt;""),(L466-K466)*1440,"")</f>
        <v/>
      </c>
      <c r="S466" s="33" t="str">
        <f aca="false">IF(AND(G466&lt;&gt;"",I466&lt;&gt;"",L466&lt;&gt;""),(L466-I466)*1440,"")</f>
        <v/>
      </c>
      <c r="T466" s="33" t="str">
        <f aca="false">IF(G466="","",IFERROR(INDEX(Settings!$B$5:$B$8,MATCH(G466,Settings!$A$5:$A$8,0)),""))</f>
        <v/>
      </c>
      <c r="U466" s="25" t="str">
        <f aca="false">IF(G466="","",IF(S466="","No",IF(S466&lt;=T466,"Yes","No")))</f>
        <v/>
      </c>
      <c r="V466" s="25" t="str">
        <f aca="false">IF(G466="","",IF(AND(J466="",K466="",L466=""),"Telemetry Blind Spot",IF(AND(K466="",L466=""),"Missed Alert",IF(L466="","Triage Delay",IF(S466&lt;=T466,"Detected - Within SLA",IF(AND(R466&lt;&gt;"",R466&gt;IFERROR(INDEX(Settings!$C$5:$C$8,MATCH(G466,Settings!$A$5:$A$8,0)),1E+099)),"Triage Delay","Detected - SLA Breach"))))))</f>
        <v/>
      </c>
      <c r="W466" s="25" t="str">
        <f aca="false">IF(G466="","",IF(L466&lt;&gt;"",1,0))</f>
        <v/>
      </c>
      <c r="X466" s="32"/>
      <c r="Y466" s="32"/>
      <c r="Z466" s="32"/>
      <c r="AA466" s="24"/>
      <c r="AB466" s="24"/>
      <c r="AC466" s="33" t="str">
        <f aca="false">IF(AND(G466&lt;&gt;"",L466&lt;&gt;"",X466&lt;&gt;""),(X466-L466)*1440,"")</f>
        <v/>
      </c>
      <c r="AD466" s="33" t="str">
        <f aca="false">IF(AND(G466&lt;&gt;"",X466&lt;&gt;"",Y466&lt;&gt;""),(Y466-X466)*1440,"")</f>
        <v/>
      </c>
      <c r="AE466" s="33" t="str">
        <f aca="false">IF(AND(G466&lt;&gt;"",Y466&lt;&gt;"",Z466&lt;&gt;""),(Z466-Y466)*1440,"")</f>
        <v/>
      </c>
      <c r="AF466" s="33" t="str">
        <f aca="false">IF(AND(G466&lt;&gt;"",L466&lt;&gt;"",Z466&lt;&gt;""),(Z466-L466)*1440,"")</f>
        <v/>
      </c>
      <c r="AG466" s="33" t="str">
        <f aca="false">IF(G466="","",IFERROR(INDEX(Settings!$D$5:$D$8,MATCH(G466,Settings!$A$5:$A$8,0)),""))</f>
        <v/>
      </c>
      <c r="AH466" s="25" t="str">
        <f aca="false">IF(G466="","",IF(AF466="","No",IF(AF466&lt;=AG466,"Yes","No")))</f>
        <v/>
      </c>
      <c r="AI466" s="25" t="str">
        <f aca="false">IF(G466="","",IF(L466="","N/A - Not Detected",IF(AND(X466="",Y466="",Z466=""),"No Containment Action",IF(Z466="",IF(Y466&lt;&gt;"","C2 Persisted","Host Isolation Gap"),IF(AF466&lt;=AG466,"Contained - Within SLA","Contained - SLA Breach")))))</f>
        <v/>
      </c>
      <c r="AJ466" s="25" t="str">
        <f aca="false">IF(G466="","",IF(Z466&lt;&gt;"",1,0))</f>
        <v/>
      </c>
      <c r="AK466" s="34"/>
      <c r="AL466" s="34"/>
      <c r="AM466" s="35"/>
      <c r="AN466" s="34"/>
      <c r="AO466" s="34"/>
      <c r="AP466" s="35"/>
      <c r="AQ466" s="34"/>
      <c r="AR466" s="34"/>
      <c r="AS466" s="34"/>
      <c r="AT466" s="35"/>
      <c r="AU466" s="35"/>
    </row>
    <row r="467" customFormat="false" ht="15" hidden="false" customHeight="false" outlineLevel="0" collapsed="false">
      <c r="A467" s="24"/>
      <c r="B467" s="24"/>
      <c r="C467" s="24"/>
      <c r="D467" s="24"/>
      <c r="E467" s="24"/>
      <c r="F467" s="24"/>
      <c r="G467" s="24"/>
      <c r="H467" s="24"/>
      <c r="I467" s="32"/>
      <c r="J467" s="32"/>
      <c r="K467" s="32"/>
      <c r="L467" s="32"/>
      <c r="M467" s="24"/>
      <c r="N467" s="24"/>
      <c r="O467" s="24"/>
      <c r="P467" s="33" t="str">
        <f aca="false">IF(AND(G467&lt;&gt;"",I467&lt;&gt;"",J467&lt;&gt;""),(J467-I467)*1440,"")</f>
        <v/>
      </c>
      <c r="Q467" s="33" t="str">
        <f aca="false">IF(AND(G467&lt;&gt;"",J467&lt;&gt;"",K467&lt;&gt;""),(K467-J467)*1440,"")</f>
        <v/>
      </c>
      <c r="R467" s="33" t="str">
        <f aca="false">IF(AND(G467&lt;&gt;"",K467&lt;&gt;"",L467&lt;&gt;""),(L467-K467)*1440,"")</f>
        <v/>
      </c>
      <c r="S467" s="33" t="str">
        <f aca="false">IF(AND(G467&lt;&gt;"",I467&lt;&gt;"",L467&lt;&gt;""),(L467-I467)*1440,"")</f>
        <v/>
      </c>
      <c r="T467" s="33" t="str">
        <f aca="false">IF(G467="","",IFERROR(INDEX(Settings!$B$5:$B$8,MATCH(G467,Settings!$A$5:$A$8,0)),""))</f>
        <v/>
      </c>
      <c r="U467" s="25" t="str">
        <f aca="false">IF(G467="","",IF(S467="","No",IF(S467&lt;=T467,"Yes","No")))</f>
        <v/>
      </c>
      <c r="V467" s="25" t="str">
        <f aca="false">IF(G467="","",IF(AND(J467="",K467="",L467=""),"Telemetry Blind Spot",IF(AND(K467="",L467=""),"Missed Alert",IF(L467="","Triage Delay",IF(S467&lt;=T467,"Detected - Within SLA",IF(AND(R467&lt;&gt;"",R467&gt;IFERROR(INDEX(Settings!$C$5:$C$8,MATCH(G467,Settings!$A$5:$A$8,0)),1E+099)),"Triage Delay","Detected - SLA Breach"))))))</f>
        <v/>
      </c>
      <c r="W467" s="25" t="str">
        <f aca="false">IF(G467="","",IF(L467&lt;&gt;"",1,0))</f>
        <v/>
      </c>
      <c r="X467" s="32"/>
      <c r="Y467" s="32"/>
      <c r="Z467" s="32"/>
      <c r="AA467" s="24"/>
      <c r="AB467" s="24"/>
      <c r="AC467" s="33" t="str">
        <f aca="false">IF(AND(G467&lt;&gt;"",L467&lt;&gt;"",X467&lt;&gt;""),(X467-L467)*1440,"")</f>
        <v/>
      </c>
      <c r="AD467" s="33" t="str">
        <f aca="false">IF(AND(G467&lt;&gt;"",X467&lt;&gt;"",Y467&lt;&gt;""),(Y467-X467)*1440,"")</f>
        <v/>
      </c>
      <c r="AE467" s="33" t="str">
        <f aca="false">IF(AND(G467&lt;&gt;"",Y467&lt;&gt;"",Z467&lt;&gt;""),(Z467-Y467)*1440,"")</f>
        <v/>
      </c>
      <c r="AF467" s="33" t="str">
        <f aca="false">IF(AND(G467&lt;&gt;"",L467&lt;&gt;"",Z467&lt;&gt;""),(Z467-L467)*1440,"")</f>
        <v/>
      </c>
      <c r="AG467" s="33" t="str">
        <f aca="false">IF(G467="","",IFERROR(INDEX(Settings!$D$5:$D$8,MATCH(G467,Settings!$A$5:$A$8,0)),""))</f>
        <v/>
      </c>
      <c r="AH467" s="25" t="str">
        <f aca="false">IF(G467="","",IF(AF467="","No",IF(AF467&lt;=AG467,"Yes","No")))</f>
        <v/>
      </c>
      <c r="AI467" s="25" t="str">
        <f aca="false">IF(G467="","",IF(L467="","N/A - Not Detected",IF(AND(X467="",Y467="",Z467=""),"No Containment Action",IF(Z467="",IF(Y467&lt;&gt;"","C2 Persisted","Host Isolation Gap"),IF(AF467&lt;=AG467,"Contained - Within SLA","Contained - SLA Breach")))))</f>
        <v/>
      </c>
      <c r="AJ467" s="25" t="str">
        <f aca="false">IF(G467="","",IF(Z467&lt;&gt;"",1,0))</f>
        <v/>
      </c>
      <c r="AK467" s="34"/>
      <c r="AL467" s="34"/>
      <c r="AM467" s="35"/>
      <c r="AN467" s="34"/>
      <c r="AO467" s="34"/>
      <c r="AP467" s="35"/>
      <c r="AQ467" s="34"/>
      <c r="AR467" s="34"/>
      <c r="AS467" s="34"/>
      <c r="AT467" s="35"/>
      <c r="AU467" s="35"/>
    </row>
    <row r="468" customFormat="false" ht="15" hidden="false" customHeight="false" outlineLevel="0" collapsed="false">
      <c r="A468" s="24"/>
      <c r="B468" s="24"/>
      <c r="C468" s="24"/>
      <c r="D468" s="24"/>
      <c r="E468" s="24"/>
      <c r="F468" s="24"/>
      <c r="G468" s="24"/>
      <c r="H468" s="24"/>
      <c r="I468" s="32"/>
      <c r="J468" s="32"/>
      <c r="K468" s="32"/>
      <c r="L468" s="32"/>
      <c r="M468" s="24"/>
      <c r="N468" s="24"/>
      <c r="O468" s="24"/>
      <c r="P468" s="33" t="str">
        <f aca="false">IF(AND(G468&lt;&gt;"",I468&lt;&gt;"",J468&lt;&gt;""),(J468-I468)*1440,"")</f>
        <v/>
      </c>
      <c r="Q468" s="33" t="str">
        <f aca="false">IF(AND(G468&lt;&gt;"",J468&lt;&gt;"",K468&lt;&gt;""),(K468-J468)*1440,"")</f>
        <v/>
      </c>
      <c r="R468" s="33" t="str">
        <f aca="false">IF(AND(G468&lt;&gt;"",K468&lt;&gt;"",L468&lt;&gt;""),(L468-K468)*1440,"")</f>
        <v/>
      </c>
      <c r="S468" s="33" t="str">
        <f aca="false">IF(AND(G468&lt;&gt;"",I468&lt;&gt;"",L468&lt;&gt;""),(L468-I468)*1440,"")</f>
        <v/>
      </c>
      <c r="T468" s="33" t="str">
        <f aca="false">IF(G468="","",IFERROR(INDEX(Settings!$B$5:$B$8,MATCH(G468,Settings!$A$5:$A$8,0)),""))</f>
        <v/>
      </c>
      <c r="U468" s="25" t="str">
        <f aca="false">IF(G468="","",IF(S468="","No",IF(S468&lt;=T468,"Yes","No")))</f>
        <v/>
      </c>
      <c r="V468" s="25" t="str">
        <f aca="false">IF(G468="","",IF(AND(J468="",K468="",L468=""),"Telemetry Blind Spot",IF(AND(K468="",L468=""),"Missed Alert",IF(L468="","Triage Delay",IF(S468&lt;=T468,"Detected - Within SLA",IF(AND(R468&lt;&gt;"",R468&gt;IFERROR(INDEX(Settings!$C$5:$C$8,MATCH(G468,Settings!$A$5:$A$8,0)),1E+099)),"Triage Delay","Detected - SLA Breach"))))))</f>
        <v/>
      </c>
      <c r="W468" s="25" t="str">
        <f aca="false">IF(G468="","",IF(L468&lt;&gt;"",1,0))</f>
        <v/>
      </c>
      <c r="X468" s="32"/>
      <c r="Y468" s="32"/>
      <c r="Z468" s="32"/>
      <c r="AA468" s="24"/>
      <c r="AB468" s="24"/>
      <c r="AC468" s="33" t="str">
        <f aca="false">IF(AND(G468&lt;&gt;"",L468&lt;&gt;"",X468&lt;&gt;""),(X468-L468)*1440,"")</f>
        <v/>
      </c>
      <c r="AD468" s="33" t="str">
        <f aca="false">IF(AND(G468&lt;&gt;"",X468&lt;&gt;"",Y468&lt;&gt;""),(Y468-X468)*1440,"")</f>
        <v/>
      </c>
      <c r="AE468" s="33" t="str">
        <f aca="false">IF(AND(G468&lt;&gt;"",Y468&lt;&gt;"",Z468&lt;&gt;""),(Z468-Y468)*1440,"")</f>
        <v/>
      </c>
      <c r="AF468" s="33" t="str">
        <f aca="false">IF(AND(G468&lt;&gt;"",L468&lt;&gt;"",Z468&lt;&gt;""),(Z468-L468)*1440,"")</f>
        <v/>
      </c>
      <c r="AG468" s="33" t="str">
        <f aca="false">IF(G468="","",IFERROR(INDEX(Settings!$D$5:$D$8,MATCH(G468,Settings!$A$5:$A$8,0)),""))</f>
        <v/>
      </c>
      <c r="AH468" s="25" t="str">
        <f aca="false">IF(G468="","",IF(AF468="","No",IF(AF468&lt;=AG468,"Yes","No")))</f>
        <v/>
      </c>
      <c r="AI468" s="25" t="str">
        <f aca="false">IF(G468="","",IF(L468="","N/A - Not Detected",IF(AND(X468="",Y468="",Z468=""),"No Containment Action",IF(Z468="",IF(Y468&lt;&gt;"","C2 Persisted","Host Isolation Gap"),IF(AF468&lt;=AG468,"Contained - Within SLA","Contained - SLA Breach")))))</f>
        <v/>
      </c>
      <c r="AJ468" s="25" t="str">
        <f aca="false">IF(G468="","",IF(Z468&lt;&gt;"",1,0))</f>
        <v/>
      </c>
      <c r="AK468" s="34"/>
      <c r="AL468" s="34"/>
      <c r="AM468" s="35"/>
      <c r="AN468" s="34"/>
      <c r="AO468" s="34"/>
      <c r="AP468" s="35"/>
      <c r="AQ468" s="34"/>
      <c r="AR468" s="34"/>
      <c r="AS468" s="34"/>
      <c r="AT468" s="35"/>
      <c r="AU468" s="35"/>
    </row>
    <row r="469" customFormat="false" ht="15" hidden="false" customHeight="false" outlineLevel="0" collapsed="false">
      <c r="A469" s="24"/>
      <c r="B469" s="24"/>
      <c r="C469" s="24"/>
      <c r="D469" s="24"/>
      <c r="E469" s="24"/>
      <c r="F469" s="24"/>
      <c r="G469" s="24"/>
      <c r="H469" s="24"/>
      <c r="I469" s="32"/>
      <c r="J469" s="32"/>
      <c r="K469" s="32"/>
      <c r="L469" s="32"/>
      <c r="M469" s="24"/>
      <c r="N469" s="24"/>
      <c r="O469" s="24"/>
      <c r="P469" s="33" t="str">
        <f aca="false">IF(AND(G469&lt;&gt;"",I469&lt;&gt;"",J469&lt;&gt;""),(J469-I469)*1440,"")</f>
        <v/>
      </c>
      <c r="Q469" s="33" t="str">
        <f aca="false">IF(AND(G469&lt;&gt;"",J469&lt;&gt;"",K469&lt;&gt;""),(K469-J469)*1440,"")</f>
        <v/>
      </c>
      <c r="R469" s="33" t="str">
        <f aca="false">IF(AND(G469&lt;&gt;"",K469&lt;&gt;"",L469&lt;&gt;""),(L469-K469)*1440,"")</f>
        <v/>
      </c>
      <c r="S469" s="33" t="str">
        <f aca="false">IF(AND(G469&lt;&gt;"",I469&lt;&gt;"",L469&lt;&gt;""),(L469-I469)*1440,"")</f>
        <v/>
      </c>
      <c r="T469" s="33" t="str">
        <f aca="false">IF(G469="","",IFERROR(INDEX(Settings!$B$5:$B$8,MATCH(G469,Settings!$A$5:$A$8,0)),""))</f>
        <v/>
      </c>
      <c r="U469" s="25" t="str">
        <f aca="false">IF(G469="","",IF(S469="","No",IF(S469&lt;=T469,"Yes","No")))</f>
        <v/>
      </c>
      <c r="V469" s="25" t="str">
        <f aca="false">IF(G469="","",IF(AND(J469="",K469="",L469=""),"Telemetry Blind Spot",IF(AND(K469="",L469=""),"Missed Alert",IF(L469="","Triage Delay",IF(S469&lt;=T469,"Detected - Within SLA",IF(AND(R469&lt;&gt;"",R469&gt;IFERROR(INDEX(Settings!$C$5:$C$8,MATCH(G469,Settings!$A$5:$A$8,0)),1E+099)),"Triage Delay","Detected - SLA Breach"))))))</f>
        <v/>
      </c>
      <c r="W469" s="25" t="str">
        <f aca="false">IF(G469="","",IF(L469&lt;&gt;"",1,0))</f>
        <v/>
      </c>
      <c r="X469" s="32"/>
      <c r="Y469" s="32"/>
      <c r="Z469" s="32"/>
      <c r="AA469" s="24"/>
      <c r="AB469" s="24"/>
      <c r="AC469" s="33" t="str">
        <f aca="false">IF(AND(G469&lt;&gt;"",L469&lt;&gt;"",X469&lt;&gt;""),(X469-L469)*1440,"")</f>
        <v/>
      </c>
      <c r="AD469" s="33" t="str">
        <f aca="false">IF(AND(G469&lt;&gt;"",X469&lt;&gt;"",Y469&lt;&gt;""),(Y469-X469)*1440,"")</f>
        <v/>
      </c>
      <c r="AE469" s="33" t="str">
        <f aca="false">IF(AND(G469&lt;&gt;"",Y469&lt;&gt;"",Z469&lt;&gt;""),(Z469-Y469)*1440,"")</f>
        <v/>
      </c>
      <c r="AF469" s="33" t="str">
        <f aca="false">IF(AND(G469&lt;&gt;"",L469&lt;&gt;"",Z469&lt;&gt;""),(Z469-L469)*1440,"")</f>
        <v/>
      </c>
      <c r="AG469" s="33" t="str">
        <f aca="false">IF(G469="","",IFERROR(INDEX(Settings!$D$5:$D$8,MATCH(G469,Settings!$A$5:$A$8,0)),""))</f>
        <v/>
      </c>
      <c r="AH469" s="25" t="str">
        <f aca="false">IF(G469="","",IF(AF469="","No",IF(AF469&lt;=AG469,"Yes","No")))</f>
        <v/>
      </c>
      <c r="AI469" s="25" t="str">
        <f aca="false">IF(G469="","",IF(L469="","N/A - Not Detected",IF(AND(X469="",Y469="",Z469=""),"No Containment Action",IF(Z469="",IF(Y469&lt;&gt;"","C2 Persisted","Host Isolation Gap"),IF(AF469&lt;=AG469,"Contained - Within SLA","Contained - SLA Breach")))))</f>
        <v/>
      </c>
      <c r="AJ469" s="25" t="str">
        <f aca="false">IF(G469="","",IF(Z469&lt;&gt;"",1,0))</f>
        <v/>
      </c>
      <c r="AK469" s="34"/>
      <c r="AL469" s="34"/>
      <c r="AM469" s="35"/>
      <c r="AN469" s="34"/>
      <c r="AO469" s="34"/>
      <c r="AP469" s="35"/>
      <c r="AQ469" s="34"/>
      <c r="AR469" s="34"/>
      <c r="AS469" s="34"/>
      <c r="AT469" s="35"/>
      <c r="AU469" s="35"/>
    </row>
    <row r="470" customFormat="false" ht="15" hidden="false" customHeight="false" outlineLevel="0" collapsed="false">
      <c r="A470" s="24"/>
      <c r="B470" s="24"/>
      <c r="C470" s="24"/>
      <c r="D470" s="24"/>
      <c r="E470" s="24"/>
      <c r="F470" s="24"/>
      <c r="G470" s="24"/>
      <c r="H470" s="24"/>
      <c r="I470" s="32"/>
      <c r="J470" s="32"/>
      <c r="K470" s="32"/>
      <c r="L470" s="32"/>
      <c r="M470" s="24"/>
      <c r="N470" s="24"/>
      <c r="O470" s="24"/>
      <c r="P470" s="33" t="str">
        <f aca="false">IF(AND(G470&lt;&gt;"",I470&lt;&gt;"",J470&lt;&gt;""),(J470-I470)*1440,"")</f>
        <v/>
      </c>
      <c r="Q470" s="33" t="str">
        <f aca="false">IF(AND(G470&lt;&gt;"",J470&lt;&gt;"",K470&lt;&gt;""),(K470-J470)*1440,"")</f>
        <v/>
      </c>
      <c r="R470" s="33" t="str">
        <f aca="false">IF(AND(G470&lt;&gt;"",K470&lt;&gt;"",L470&lt;&gt;""),(L470-K470)*1440,"")</f>
        <v/>
      </c>
      <c r="S470" s="33" t="str">
        <f aca="false">IF(AND(G470&lt;&gt;"",I470&lt;&gt;"",L470&lt;&gt;""),(L470-I470)*1440,"")</f>
        <v/>
      </c>
      <c r="T470" s="33" t="str">
        <f aca="false">IF(G470="","",IFERROR(INDEX(Settings!$B$5:$B$8,MATCH(G470,Settings!$A$5:$A$8,0)),""))</f>
        <v/>
      </c>
      <c r="U470" s="25" t="str">
        <f aca="false">IF(G470="","",IF(S470="","No",IF(S470&lt;=T470,"Yes","No")))</f>
        <v/>
      </c>
      <c r="V470" s="25" t="str">
        <f aca="false">IF(G470="","",IF(AND(J470="",K470="",L470=""),"Telemetry Blind Spot",IF(AND(K470="",L470=""),"Missed Alert",IF(L470="","Triage Delay",IF(S470&lt;=T470,"Detected - Within SLA",IF(AND(R470&lt;&gt;"",R470&gt;IFERROR(INDEX(Settings!$C$5:$C$8,MATCH(G470,Settings!$A$5:$A$8,0)),1E+099)),"Triage Delay","Detected - SLA Breach"))))))</f>
        <v/>
      </c>
      <c r="W470" s="25" t="str">
        <f aca="false">IF(G470="","",IF(L470&lt;&gt;"",1,0))</f>
        <v/>
      </c>
      <c r="X470" s="32"/>
      <c r="Y470" s="32"/>
      <c r="Z470" s="32"/>
      <c r="AA470" s="24"/>
      <c r="AB470" s="24"/>
      <c r="AC470" s="33" t="str">
        <f aca="false">IF(AND(G470&lt;&gt;"",L470&lt;&gt;"",X470&lt;&gt;""),(X470-L470)*1440,"")</f>
        <v/>
      </c>
      <c r="AD470" s="33" t="str">
        <f aca="false">IF(AND(G470&lt;&gt;"",X470&lt;&gt;"",Y470&lt;&gt;""),(Y470-X470)*1440,"")</f>
        <v/>
      </c>
      <c r="AE470" s="33" t="str">
        <f aca="false">IF(AND(G470&lt;&gt;"",Y470&lt;&gt;"",Z470&lt;&gt;""),(Z470-Y470)*1440,"")</f>
        <v/>
      </c>
      <c r="AF470" s="33" t="str">
        <f aca="false">IF(AND(G470&lt;&gt;"",L470&lt;&gt;"",Z470&lt;&gt;""),(Z470-L470)*1440,"")</f>
        <v/>
      </c>
      <c r="AG470" s="33" t="str">
        <f aca="false">IF(G470="","",IFERROR(INDEX(Settings!$D$5:$D$8,MATCH(G470,Settings!$A$5:$A$8,0)),""))</f>
        <v/>
      </c>
      <c r="AH470" s="25" t="str">
        <f aca="false">IF(G470="","",IF(AF470="","No",IF(AF470&lt;=AG470,"Yes","No")))</f>
        <v/>
      </c>
      <c r="AI470" s="25" t="str">
        <f aca="false">IF(G470="","",IF(L470="","N/A - Not Detected",IF(AND(X470="",Y470="",Z470=""),"No Containment Action",IF(Z470="",IF(Y470&lt;&gt;"","C2 Persisted","Host Isolation Gap"),IF(AF470&lt;=AG470,"Contained - Within SLA","Contained - SLA Breach")))))</f>
        <v/>
      </c>
      <c r="AJ470" s="25" t="str">
        <f aca="false">IF(G470="","",IF(Z470&lt;&gt;"",1,0))</f>
        <v/>
      </c>
      <c r="AK470" s="34"/>
      <c r="AL470" s="34"/>
      <c r="AM470" s="35"/>
      <c r="AN470" s="34"/>
      <c r="AO470" s="34"/>
      <c r="AP470" s="35"/>
      <c r="AQ470" s="34"/>
      <c r="AR470" s="34"/>
      <c r="AS470" s="34"/>
      <c r="AT470" s="35"/>
      <c r="AU470" s="35"/>
    </row>
    <row r="471" customFormat="false" ht="15" hidden="false" customHeight="false" outlineLevel="0" collapsed="false">
      <c r="A471" s="24"/>
      <c r="B471" s="24"/>
      <c r="C471" s="24"/>
      <c r="D471" s="24"/>
      <c r="E471" s="24"/>
      <c r="F471" s="24"/>
      <c r="G471" s="24"/>
      <c r="H471" s="24"/>
      <c r="I471" s="32"/>
      <c r="J471" s="32"/>
      <c r="K471" s="32"/>
      <c r="L471" s="32"/>
      <c r="M471" s="24"/>
      <c r="N471" s="24"/>
      <c r="O471" s="24"/>
      <c r="P471" s="33" t="str">
        <f aca="false">IF(AND(G471&lt;&gt;"",I471&lt;&gt;"",J471&lt;&gt;""),(J471-I471)*1440,"")</f>
        <v/>
      </c>
      <c r="Q471" s="33" t="str">
        <f aca="false">IF(AND(G471&lt;&gt;"",J471&lt;&gt;"",K471&lt;&gt;""),(K471-J471)*1440,"")</f>
        <v/>
      </c>
      <c r="R471" s="33" t="str">
        <f aca="false">IF(AND(G471&lt;&gt;"",K471&lt;&gt;"",L471&lt;&gt;""),(L471-K471)*1440,"")</f>
        <v/>
      </c>
      <c r="S471" s="33" t="str">
        <f aca="false">IF(AND(G471&lt;&gt;"",I471&lt;&gt;"",L471&lt;&gt;""),(L471-I471)*1440,"")</f>
        <v/>
      </c>
      <c r="T471" s="33" t="str">
        <f aca="false">IF(G471="","",IFERROR(INDEX(Settings!$B$5:$B$8,MATCH(G471,Settings!$A$5:$A$8,0)),""))</f>
        <v/>
      </c>
      <c r="U471" s="25" t="str">
        <f aca="false">IF(G471="","",IF(S471="","No",IF(S471&lt;=T471,"Yes","No")))</f>
        <v/>
      </c>
      <c r="V471" s="25" t="str">
        <f aca="false">IF(G471="","",IF(AND(J471="",K471="",L471=""),"Telemetry Blind Spot",IF(AND(K471="",L471=""),"Missed Alert",IF(L471="","Triage Delay",IF(S471&lt;=T471,"Detected - Within SLA",IF(AND(R471&lt;&gt;"",R471&gt;IFERROR(INDEX(Settings!$C$5:$C$8,MATCH(G471,Settings!$A$5:$A$8,0)),1E+099)),"Triage Delay","Detected - SLA Breach"))))))</f>
        <v/>
      </c>
      <c r="W471" s="25" t="str">
        <f aca="false">IF(G471="","",IF(L471&lt;&gt;"",1,0))</f>
        <v/>
      </c>
      <c r="X471" s="32"/>
      <c r="Y471" s="32"/>
      <c r="Z471" s="32"/>
      <c r="AA471" s="24"/>
      <c r="AB471" s="24"/>
      <c r="AC471" s="33" t="str">
        <f aca="false">IF(AND(G471&lt;&gt;"",L471&lt;&gt;"",X471&lt;&gt;""),(X471-L471)*1440,"")</f>
        <v/>
      </c>
      <c r="AD471" s="33" t="str">
        <f aca="false">IF(AND(G471&lt;&gt;"",X471&lt;&gt;"",Y471&lt;&gt;""),(Y471-X471)*1440,"")</f>
        <v/>
      </c>
      <c r="AE471" s="33" t="str">
        <f aca="false">IF(AND(G471&lt;&gt;"",Y471&lt;&gt;"",Z471&lt;&gt;""),(Z471-Y471)*1440,"")</f>
        <v/>
      </c>
      <c r="AF471" s="33" t="str">
        <f aca="false">IF(AND(G471&lt;&gt;"",L471&lt;&gt;"",Z471&lt;&gt;""),(Z471-L471)*1440,"")</f>
        <v/>
      </c>
      <c r="AG471" s="33" t="str">
        <f aca="false">IF(G471="","",IFERROR(INDEX(Settings!$D$5:$D$8,MATCH(G471,Settings!$A$5:$A$8,0)),""))</f>
        <v/>
      </c>
      <c r="AH471" s="25" t="str">
        <f aca="false">IF(G471="","",IF(AF471="","No",IF(AF471&lt;=AG471,"Yes","No")))</f>
        <v/>
      </c>
      <c r="AI471" s="25" t="str">
        <f aca="false">IF(G471="","",IF(L471="","N/A - Not Detected",IF(AND(X471="",Y471="",Z471=""),"No Containment Action",IF(Z471="",IF(Y471&lt;&gt;"","C2 Persisted","Host Isolation Gap"),IF(AF471&lt;=AG471,"Contained - Within SLA","Contained - SLA Breach")))))</f>
        <v/>
      </c>
      <c r="AJ471" s="25" t="str">
        <f aca="false">IF(G471="","",IF(Z471&lt;&gt;"",1,0))</f>
        <v/>
      </c>
      <c r="AK471" s="34"/>
      <c r="AL471" s="34"/>
      <c r="AM471" s="35"/>
      <c r="AN471" s="34"/>
      <c r="AO471" s="34"/>
      <c r="AP471" s="35"/>
      <c r="AQ471" s="34"/>
      <c r="AR471" s="34"/>
      <c r="AS471" s="34"/>
      <c r="AT471" s="35"/>
      <c r="AU471" s="35"/>
    </row>
    <row r="472" customFormat="false" ht="15" hidden="false" customHeight="false" outlineLevel="0" collapsed="false">
      <c r="A472" s="24"/>
      <c r="B472" s="24"/>
      <c r="C472" s="24"/>
      <c r="D472" s="24"/>
      <c r="E472" s="24"/>
      <c r="F472" s="24"/>
      <c r="G472" s="24"/>
      <c r="H472" s="24"/>
      <c r="I472" s="32"/>
      <c r="J472" s="32"/>
      <c r="K472" s="32"/>
      <c r="L472" s="32"/>
      <c r="M472" s="24"/>
      <c r="N472" s="24"/>
      <c r="O472" s="24"/>
      <c r="P472" s="33" t="str">
        <f aca="false">IF(AND(G472&lt;&gt;"",I472&lt;&gt;"",J472&lt;&gt;""),(J472-I472)*1440,"")</f>
        <v/>
      </c>
      <c r="Q472" s="33" t="str">
        <f aca="false">IF(AND(G472&lt;&gt;"",J472&lt;&gt;"",K472&lt;&gt;""),(K472-J472)*1440,"")</f>
        <v/>
      </c>
      <c r="R472" s="33" t="str">
        <f aca="false">IF(AND(G472&lt;&gt;"",K472&lt;&gt;"",L472&lt;&gt;""),(L472-K472)*1440,"")</f>
        <v/>
      </c>
      <c r="S472" s="33" t="str">
        <f aca="false">IF(AND(G472&lt;&gt;"",I472&lt;&gt;"",L472&lt;&gt;""),(L472-I472)*1440,"")</f>
        <v/>
      </c>
      <c r="T472" s="33" t="str">
        <f aca="false">IF(G472="","",IFERROR(INDEX(Settings!$B$5:$B$8,MATCH(G472,Settings!$A$5:$A$8,0)),""))</f>
        <v/>
      </c>
      <c r="U472" s="25" t="str">
        <f aca="false">IF(G472="","",IF(S472="","No",IF(S472&lt;=T472,"Yes","No")))</f>
        <v/>
      </c>
      <c r="V472" s="25" t="str">
        <f aca="false">IF(G472="","",IF(AND(J472="",K472="",L472=""),"Telemetry Blind Spot",IF(AND(K472="",L472=""),"Missed Alert",IF(L472="","Triage Delay",IF(S472&lt;=T472,"Detected - Within SLA",IF(AND(R472&lt;&gt;"",R472&gt;IFERROR(INDEX(Settings!$C$5:$C$8,MATCH(G472,Settings!$A$5:$A$8,0)),1E+099)),"Triage Delay","Detected - SLA Breach"))))))</f>
        <v/>
      </c>
      <c r="W472" s="25" t="str">
        <f aca="false">IF(G472="","",IF(L472&lt;&gt;"",1,0))</f>
        <v/>
      </c>
      <c r="X472" s="32"/>
      <c r="Y472" s="32"/>
      <c r="Z472" s="32"/>
      <c r="AA472" s="24"/>
      <c r="AB472" s="24"/>
      <c r="AC472" s="33" t="str">
        <f aca="false">IF(AND(G472&lt;&gt;"",L472&lt;&gt;"",X472&lt;&gt;""),(X472-L472)*1440,"")</f>
        <v/>
      </c>
      <c r="AD472" s="33" t="str">
        <f aca="false">IF(AND(G472&lt;&gt;"",X472&lt;&gt;"",Y472&lt;&gt;""),(Y472-X472)*1440,"")</f>
        <v/>
      </c>
      <c r="AE472" s="33" t="str">
        <f aca="false">IF(AND(G472&lt;&gt;"",Y472&lt;&gt;"",Z472&lt;&gt;""),(Z472-Y472)*1440,"")</f>
        <v/>
      </c>
      <c r="AF472" s="33" t="str">
        <f aca="false">IF(AND(G472&lt;&gt;"",L472&lt;&gt;"",Z472&lt;&gt;""),(Z472-L472)*1440,"")</f>
        <v/>
      </c>
      <c r="AG472" s="33" t="str">
        <f aca="false">IF(G472="","",IFERROR(INDEX(Settings!$D$5:$D$8,MATCH(G472,Settings!$A$5:$A$8,0)),""))</f>
        <v/>
      </c>
      <c r="AH472" s="25" t="str">
        <f aca="false">IF(G472="","",IF(AF472="","No",IF(AF472&lt;=AG472,"Yes","No")))</f>
        <v/>
      </c>
      <c r="AI472" s="25" t="str">
        <f aca="false">IF(G472="","",IF(L472="","N/A - Not Detected",IF(AND(X472="",Y472="",Z472=""),"No Containment Action",IF(Z472="",IF(Y472&lt;&gt;"","C2 Persisted","Host Isolation Gap"),IF(AF472&lt;=AG472,"Contained - Within SLA","Contained - SLA Breach")))))</f>
        <v/>
      </c>
      <c r="AJ472" s="25" t="str">
        <f aca="false">IF(G472="","",IF(Z472&lt;&gt;"",1,0))</f>
        <v/>
      </c>
      <c r="AK472" s="34"/>
      <c r="AL472" s="34"/>
      <c r="AM472" s="35"/>
      <c r="AN472" s="34"/>
      <c r="AO472" s="34"/>
      <c r="AP472" s="35"/>
      <c r="AQ472" s="34"/>
      <c r="AR472" s="34"/>
      <c r="AS472" s="34"/>
      <c r="AT472" s="35"/>
      <c r="AU472" s="35"/>
    </row>
    <row r="473" customFormat="false" ht="15" hidden="false" customHeight="false" outlineLevel="0" collapsed="false">
      <c r="A473" s="24"/>
      <c r="B473" s="24"/>
      <c r="C473" s="24"/>
      <c r="D473" s="24"/>
      <c r="E473" s="24"/>
      <c r="F473" s="24"/>
      <c r="G473" s="24"/>
      <c r="H473" s="24"/>
      <c r="I473" s="32"/>
      <c r="J473" s="32"/>
      <c r="K473" s="32"/>
      <c r="L473" s="32"/>
      <c r="M473" s="24"/>
      <c r="N473" s="24"/>
      <c r="O473" s="24"/>
      <c r="P473" s="33" t="str">
        <f aca="false">IF(AND(G473&lt;&gt;"",I473&lt;&gt;"",J473&lt;&gt;""),(J473-I473)*1440,"")</f>
        <v/>
      </c>
      <c r="Q473" s="33" t="str">
        <f aca="false">IF(AND(G473&lt;&gt;"",J473&lt;&gt;"",K473&lt;&gt;""),(K473-J473)*1440,"")</f>
        <v/>
      </c>
      <c r="R473" s="33" t="str">
        <f aca="false">IF(AND(G473&lt;&gt;"",K473&lt;&gt;"",L473&lt;&gt;""),(L473-K473)*1440,"")</f>
        <v/>
      </c>
      <c r="S473" s="33" t="str">
        <f aca="false">IF(AND(G473&lt;&gt;"",I473&lt;&gt;"",L473&lt;&gt;""),(L473-I473)*1440,"")</f>
        <v/>
      </c>
      <c r="T473" s="33" t="str">
        <f aca="false">IF(G473="","",IFERROR(INDEX(Settings!$B$5:$B$8,MATCH(G473,Settings!$A$5:$A$8,0)),""))</f>
        <v/>
      </c>
      <c r="U473" s="25" t="str">
        <f aca="false">IF(G473="","",IF(S473="","No",IF(S473&lt;=T473,"Yes","No")))</f>
        <v/>
      </c>
      <c r="V473" s="25" t="str">
        <f aca="false">IF(G473="","",IF(AND(J473="",K473="",L473=""),"Telemetry Blind Spot",IF(AND(K473="",L473=""),"Missed Alert",IF(L473="","Triage Delay",IF(S473&lt;=T473,"Detected - Within SLA",IF(AND(R473&lt;&gt;"",R473&gt;IFERROR(INDEX(Settings!$C$5:$C$8,MATCH(G473,Settings!$A$5:$A$8,0)),1E+099)),"Triage Delay","Detected - SLA Breach"))))))</f>
        <v/>
      </c>
      <c r="W473" s="25" t="str">
        <f aca="false">IF(G473="","",IF(L473&lt;&gt;"",1,0))</f>
        <v/>
      </c>
      <c r="X473" s="32"/>
      <c r="Y473" s="32"/>
      <c r="Z473" s="32"/>
      <c r="AA473" s="24"/>
      <c r="AB473" s="24"/>
      <c r="AC473" s="33" t="str">
        <f aca="false">IF(AND(G473&lt;&gt;"",L473&lt;&gt;"",X473&lt;&gt;""),(X473-L473)*1440,"")</f>
        <v/>
      </c>
      <c r="AD473" s="33" t="str">
        <f aca="false">IF(AND(G473&lt;&gt;"",X473&lt;&gt;"",Y473&lt;&gt;""),(Y473-X473)*1440,"")</f>
        <v/>
      </c>
      <c r="AE473" s="33" t="str">
        <f aca="false">IF(AND(G473&lt;&gt;"",Y473&lt;&gt;"",Z473&lt;&gt;""),(Z473-Y473)*1440,"")</f>
        <v/>
      </c>
      <c r="AF473" s="33" t="str">
        <f aca="false">IF(AND(G473&lt;&gt;"",L473&lt;&gt;"",Z473&lt;&gt;""),(Z473-L473)*1440,"")</f>
        <v/>
      </c>
      <c r="AG473" s="33" t="str">
        <f aca="false">IF(G473="","",IFERROR(INDEX(Settings!$D$5:$D$8,MATCH(G473,Settings!$A$5:$A$8,0)),""))</f>
        <v/>
      </c>
      <c r="AH473" s="25" t="str">
        <f aca="false">IF(G473="","",IF(AF473="","No",IF(AF473&lt;=AG473,"Yes","No")))</f>
        <v/>
      </c>
      <c r="AI473" s="25" t="str">
        <f aca="false">IF(G473="","",IF(L473="","N/A - Not Detected",IF(AND(X473="",Y473="",Z473=""),"No Containment Action",IF(Z473="",IF(Y473&lt;&gt;"","C2 Persisted","Host Isolation Gap"),IF(AF473&lt;=AG473,"Contained - Within SLA","Contained - SLA Breach")))))</f>
        <v/>
      </c>
      <c r="AJ473" s="25" t="str">
        <f aca="false">IF(G473="","",IF(Z473&lt;&gt;"",1,0))</f>
        <v/>
      </c>
      <c r="AK473" s="34"/>
      <c r="AL473" s="34"/>
      <c r="AM473" s="35"/>
      <c r="AN473" s="34"/>
      <c r="AO473" s="34"/>
      <c r="AP473" s="35"/>
      <c r="AQ473" s="34"/>
      <c r="AR473" s="34"/>
      <c r="AS473" s="34"/>
      <c r="AT473" s="35"/>
      <c r="AU473" s="35"/>
    </row>
    <row r="474" customFormat="false" ht="15" hidden="false" customHeight="false" outlineLevel="0" collapsed="false">
      <c r="A474" s="24"/>
      <c r="B474" s="24"/>
      <c r="C474" s="24"/>
      <c r="D474" s="24"/>
      <c r="E474" s="24"/>
      <c r="F474" s="24"/>
      <c r="G474" s="24"/>
      <c r="H474" s="24"/>
      <c r="I474" s="32"/>
      <c r="J474" s="32"/>
      <c r="K474" s="32"/>
      <c r="L474" s="32"/>
      <c r="M474" s="24"/>
      <c r="N474" s="24"/>
      <c r="O474" s="24"/>
      <c r="P474" s="33" t="str">
        <f aca="false">IF(AND(G474&lt;&gt;"",I474&lt;&gt;"",J474&lt;&gt;""),(J474-I474)*1440,"")</f>
        <v/>
      </c>
      <c r="Q474" s="33" t="str">
        <f aca="false">IF(AND(G474&lt;&gt;"",J474&lt;&gt;"",K474&lt;&gt;""),(K474-J474)*1440,"")</f>
        <v/>
      </c>
      <c r="R474" s="33" t="str">
        <f aca="false">IF(AND(G474&lt;&gt;"",K474&lt;&gt;"",L474&lt;&gt;""),(L474-K474)*1440,"")</f>
        <v/>
      </c>
      <c r="S474" s="33" t="str">
        <f aca="false">IF(AND(G474&lt;&gt;"",I474&lt;&gt;"",L474&lt;&gt;""),(L474-I474)*1440,"")</f>
        <v/>
      </c>
      <c r="T474" s="33" t="str">
        <f aca="false">IF(G474="","",IFERROR(INDEX(Settings!$B$5:$B$8,MATCH(G474,Settings!$A$5:$A$8,0)),""))</f>
        <v/>
      </c>
      <c r="U474" s="25" t="str">
        <f aca="false">IF(G474="","",IF(S474="","No",IF(S474&lt;=T474,"Yes","No")))</f>
        <v/>
      </c>
      <c r="V474" s="25" t="str">
        <f aca="false">IF(G474="","",IF(AND(J474="",K474="",L474=""),"Telemetry Blind Spot",IF(AND(K474="",L474=""),"Missed Alert",IF(L474="","Triage Delay",IF(S474&lt;=T474,"Detected - Within SLA",IF(AND(R474&lt;&gt;"",R474&gt;IFERROR(INDEX(Settings!$C$5:$C$8,MATCH(G474,Settings!$A$5:$A$8,0)),1E+099)),"Triage Delay","Detected - SLA Breach"))))))</f>
        <v/>
      </c>
      <c r="W474" s="25" t="str">
        <f aca="false">IF(G474="","",IF(L474&lt;&gt;"",1,0))</f>
        <v/>
      </c>
      <c r="X474" s="32"/>
      <c r="Y474" s="32"/>
      <c r="Z474" s="32"/>
      <c r="AA474" s="24"/>
      <c r="AB474" s="24"/>
      <c r="AC474" s="33" t="str">
        <f aca="false">IF(AND(G474&lt;&gt;"",L474&lt;&gt;"",X474&lt;&gt;""),(X474-L474)*1440,"")</f>
        <v/>
      </c>
      <c r="AD474" s="33" t="str">
        <f aca="false">IF(AND(G474&lt;&gt;"",X474&lt;&gt;"",Y474&lt;&gt;""),(Y474-X474)*1440,"")</f>
        <v/>
      </c>
      <c r="AE474" s="33" t="str">
        <f aca="false">IF(AND(G474&lt;&gt;"",Y474&lt;&gt;"",Z474&lt;&gt;""),(Z474-Y474)*1440,"")</f>
        <v/>
      </c>
      <c r="AF474" s="33" t="str">
        <f aca="false">IF(AND(G474&lt;&gt;"",L474&lt;&gt;"",Z474&lt;&gt;""),(Z474-L474)*1440,"")</f>
        <v/>
      </c>
      <c r="AG474" s="33" t="str">
        <f aca="false">IF(G474="","",IFERROR(INDEX(Settings!$D$5:$D$8,MATCH(G474,Settings!$A$5:$A$8,0)),""))</f>
        <v/>
      </c>
      <c r="AH474" s="25" t="str">
        <f aca="false">IF(G474="","",IF(AF474="","No",IF(AF474&lt;=AG474,"Yes","No")))</f>
        <v/>
      </c>
      <c r="AI474" s="25" t="str">
        <f aca="false">IF(G474="","",IF(L474="","N/A - Not Detected",IF(AND(X474="",Y474="",Z474=""),"No Containment Action",IF(Z474="",IF(Y474&lt;&gt;"","C2 Persisted","Host Isolation Gap"),IF(AF474&lt;=AG474,"Contained - Within SLA","Contained - SLA Breach")))))</f>
        <v/>
      </c>
      <c r="AJ474" s="25" t="str">
        <f aca="false">IF(G474="","",IF(Z474&lt;&gt;"",1,0))</f>
        <v/>
      </c>
      <c r="AK474" s="34"/>
      <c r="AL474" s="34"/>
      <c r="AM474" s="35"/>
      <c r="AN474" s="34"/>
      <c r="AO474" s="34"/>
      <c r="AP474" s="35"/>
      <c r="AQ474" s="34"/>
      <c r="AR474" s="34"/>
      <c r="AS474" s="34"/>
      <c r="AT474" s="35"/>
      <c r="AU474" s="35"/>
    </row>
    <row r="475" customFormat="false" ht="15" hidden="false" customHeight="false" outlineLevel="0" collapsed="false">
      <c r="A475" s="24"/>
      <c r="B475" s="24"/>
      <c r="C475" s="24"/>
      <c r="D475" s="24"/>
      <c r="E475" s="24"/>
      <c r="F475" s="24"/>
      <c r="G475" s="24"/>
      <c r="H475" s="24"/>
      <c r="I475" s="32"/>
      <c r="J475" s="32"/>
      <c r="K475" s="32"/>
      <c r="L475" s="32"/>
      <c r="M475" s="24"/>
      <c r="N475" s="24"/>
      <c r="O475" s="24"/>
      <c r="P475" s="33" t="str">
        <f aca="false">IF(AND(G475&lt;&gt;"",I475&lt;&gt;"",J475&lt;&gt;""),(J475-I475)*1440,"")</f>
        <v/>
      </c>
      <c r="Q475" s="33" t="str">
        <f aca="false">IF(AND(G475&lt;&gt;"",J475&lt;&gt;"",K475&lt;&gt;""),(K475-J475)*1440,"")</f>
        <v/>
      </c>
      <c r="R475" s="33" t="str">
        <f aca="false">IF(AND(G475&lt;&gt;"",K475&lt;&gt;"",L475&lt;&gt;""),(L475-K475)*1440,"")</f>
        <v/>
      </c>
      <c r="S475" s="33" t="str">
        <f aca="false">IF(AND(G475&lt;&gt;"",I475&lt;&gt;"",L475&lt;&gt;""),(L475-I475)*1440,"")</f>
        <v/>
      </c>
      <c r="T475" s="33" t="str">
        <f aca="false">IF(G475="","",IFERROR(INDEX(Settings!$B$5:$B$8,MATCH(G475,Settings!$A$5:$A$8,0)),""))</f>
        <v/>
      </c>
      <c r="U475" s="25" t="str">
        <f aca="false">IF(G475="","",IF(S475="","No",IF(S475&lt;=T475,"Yes","No")))</f>
        <v/>
      </c>
      <c r="V475" s="25" t="str">
        <f aca="false">IF(G475="","",IF(AND(J475="",K475="",L475=""),"Telemetry Blind Spot",IF(AND(K475="",L475=""),"Missed Alert",IF(L475="","Triage Delay",IF(S475&lt;=T475,"Detected - Within SLA",IF(AND(R475&lt;&gt;"",R475&gt;IFERROR(INDEX(Settings!$C$5:$C$8,MATCH(G475,Settings!$A$5:$A$8,0)),1E+099)),"Triage Delay","Detected - SLA Breach"))))))</f>
        <v/>
      </c>
      <c r="W475" s="25" t="str">
        <f aca="false">IF(G475="","",IF(L475&lt;&gt;"",1,0))</f>
        <v/>
      </c>
      <c r="X475" s="32"/>
      <c r="Y475" s="32"/>
      <c r="Z475" s="32"/>
      <c r="AA475" s="24"/>
      <c r="AB475" s="24"/>
      <c r="AC475" s="33" t="str">
        <f aca="false">IF(AND(G475&lt;&gt;"",L475&lt;&gt;"",X475&lt;&gt;""),(X475-L475)*1440,"")</f>
        <v/>
      </c>
      <c r="AD475" s="33" t="str">
        <f aca="false">IF(AND(G475&lt;&gt;"",X475&lt;&gt;"",Y475&lt;&gt;""),(Y475-X475)*1440,"")</f>
        <v/>
      </c>
      <c r="AE475" s="33" t="str">
        <f aca="false">IF(AND(G475&lt;&gt;"",Y475&lt;&gt;"",Z475&lt;&gt;""),(Z475-Y475)*1440,"")</f>
        <v/>
      </c>
      <c r="AF475" s="33" t="str">
        <f aca="false">IF(AND(G475&lt;&gt;"",L475&lt;&gt;"",Z475&lt;&gt;""),(Z475-L475)*1440,"")</f>
        <v/>
      </c>
      <c r="AG475" s="33" t="str">
        <f aca="false">IF(G475="","",IFERROR(INDEX(Settings!$D$5:$D$8,MATCH(G475,Settings!$A$5:$A$8,0)),""))</f>
        <v/>
      </c>
      <c r="AH475" s="25" t="str">
        <f aca="false">IF(G475="","",IF(AF475="","No",IF(AF475&lt;=AG475,"Yes","No")))</f>
        <v/>
      </c>
      <c r="AI475" s="25" t="str">
        <f aca="false">IF(G475="","",IF(L475="","N/A - Not Detected",IF(AND(X475="",Y475="",Z475=""),"No Containment Action",IF(Z475="",IF(Y475&lt;&gt;"","C2 Persisted","Host Isolation Gap"),IF(AF475&lt;=AG475,"Contained - Within SLA","Contained - SLA Breach")))))</f>
        <v/>
      </c>
      <c r="AJ475" s="25" t="str">
        <f aca="false">IF(G475="","",IF(Z475&lt;&gt;"",1,0))</f>
        <v/>
      </c>
      <c r="AK475" s="34"/>
      <c r="AL475" s="34"/>
      <c r="AM475" s="35"/>
      <c r="AN475" s="34"/>
      <c r="AO475" s="34"/>
      <c r="AP475" s="35"/>
      <c r="AQ475" s="34"/>
      <c r="AR475" s="34"/>
      <c r="AS475" s="34"/>
      <c r="AT475" s="35"/>
      <c r="AU475" s="35"/>
    </row>
    <row r="476" customFormat="false" ht="15" hidden="false" customHeight="false" outlineLevel="0" collapsed="false">
      <c r="A476" s="24"/>
      <c r="B476" s="24"/>
      <c r="C476" s="24"/>
      <c r="D476" s="24"/>
      <c r="E476" s="24"/>
      <c r="F476" s="24"/>
      <c r="G476" s="24"/>
      <c r="H476" s="24"/>
      <c r="I476" s="32"/>
      <c r="J476" s="32"/>
      <c r="K476" s="32"/>
      <c r="L476" s="32"/>
      <c r="M476" s="24"/>
      <c r="N476" s="24"/>
      <c r="O476" s="24"/>
      <c r="P476" s="33" t="str">
        <f aca="false">IF(AND(G476&lt;&gt;"",I476&lt;&gt;"",J476&lt;&gt;""),(J476-I476)*1440,"")</f>
        <v/>
      </c>
      <c r="Q476" s="33" t="str">
        <f aca="false">IF(AND(G476&lt;&gt;"",J476&lt;&gt;"",K476&lt;&gt;""),(K476-J476)*1440,"")</f>
        <v/>
      </c>
      <c r="R476" s="33" t="str">
        <f aca="false">IF(AND(G476&lt;&gt;"",K476&lt;&gt;"",L476&lt;&gt;""),(L476-K476)*1440,"")</f>
        <v/>
      </c>
      <c r="S476" s="33" t="str">
        <f aca="false">IF(AND(G476&lt;&gt;"",I476&lt;&gt;"",L476&lt;&gt;""),(L476-I476)*1440,"")</f>
        <v/>
      </c>
      <c r="T476" s="33" t="str">
        <f aca="false">IF(G476="","",IFERROR(INDEX(Settings!$B$5:$B$8,MATCH(G476,Settings!$A$5:$A$8,0)),""))</f>
        <v/>
      </c>
      <c r="U476" s="25" t="str">
        <f aca="false">IF(G476="","",IF(S476="","No",IF(S476&lt;=T476,"Yes","No")))</f>
        <v/>
      </c>
      <c r="V476" s="25" t="str">
        <f aca="false">IF(G476="","",IF(AND(J476="",K476="",L476=""),"Telemetry Blind Spot",IF(AND(K476="",L476=""),"Missed Alert",IF(L476="","Triage Delay",IF(S476&lt;=T476,"Detected - Within SLA",IF(AND(R476&lt;&gt;"",R476&gt;IFERROR(INDEX(Settings!$C$5:$C$8,MATCH(G476,Settings!$A$5:$A$8,0)),1E+099)),"Triage Delay","Detected - SLA Breach"))))))</f>
        <v/>
      </c>
      <c r="W476" s="25" t="str">
        <f aca="false">IF(G476="","",IF(L476&lt;&gt;"",1,0))</f>
        <v/>
      </c>
      <c r="X476" s="32"/>
      <c r="Y476" s="32"/>
      <c r="Z476" s="32"/>
      <c r="AA476" s="24"/>
      <c r="AB476" s="24"/>
      <c r="AC476" s="33" t="str">
        <f aca="false">IF(AND(G476&lt;&gt;"",L476&lt;&gt;"",X476&lt;&gt;""),(X476-L476)*1440,"")</f>
        <v/>
      </c>
      <c r="AD476" s="33" t="str">
        <f aca="false">IF(AND(G476&lt;&gt;"",X476&lt;&gt;"",Y476&lt;&gt;""),(Y476-X476)*1440,"")</f>
        <v/>
      </c>
      <c r="AE476" s="33" t="str">
        <f aca="false">IF(AND(G476&lt;&gt;"",Y476&lt;&gt;"",Z476&lt;&gt;""),(Z476-Y476)*1440,"")</f>
        <v/>
      </c>
      <c r="AF476" s="33" t="str">
        <f aca="false">IF(AND(G476&lt;&gt;"",L476&lt;&gt;"",Z476&lt;&gt;""),(Z476-L476)*1440,"")</f>
        <v/>
      </c>
      <c r="AG476" s="33" t="str">
        <f aca="false">IF(G476="","",IFERROR(INDEX(Settings!$D$5:$D$8,MATCH(G476,Settings!$A$5:$A$8,0)),""))</f>
        <v/>
      </c>
      <c r="AH476" s="25" t="str">
        <f aca="false">IF(G476="","",IF(AF476="","No",IF(AF476&lt;=AG476,"Yes","No")))</f>
        <v/>
      </c>
      <c r="AI476" s="25" t="str">
        <f aca="false">IF(G476="","",IF(L476="","N/A - Not Detected",IF(AND(X476="",Y476="",Z476=""),"No Containment Action",IF(Z476="",IF(Y476&lt;&gt;"","C2 Persisted","Host Isolation Gap"),IF(AF476&lt;=AG476,"Contained - Within SLA","Contained - SLA Breach")))))</f>
        <v/>
      </c>
      <c r="AJ476" s="25" t="str">
        <f aca="false">IF(G476="","",IF(Z476&lt;&gt;"",1,0))</f>
        <v/>
      </c>
      <c r="AK476" s="34"/>
      <c r="AL476" s="34"/>
      <c r="AM476" s="35"/>
      <c r="AN476" s="34"/>
      <c r="AO476" s="34"/>
      <c r="AP476" s="35"/>
      <c r="AQ476" s="34"/>
      <c r="AR476" s="34"/>
      <c r="AS476" s="34"/>
      <c r="AT476" s="35"/>
      <c r="AU476" s="35"/>
    </row>
    <row r="477" customFormat="false" ht="15" hidden="false" customHeight="false" outlineLevel="0" collapsed="false">
      <c r="A477" s="24"/>
      <c r="B477" s="24"/>
      <c r="C477" s="24"/>
      <c r="D477" s="24"/>
      <c r="E477" s="24"/>
      <c r="F477" s="24"/>
      <c r="G477" s="24"/>
      <c r="H477" s="24"/>
      <c r="I477" s="32"/>
      <c r="J477" s="32"/>
      <c r="K477" s="32"/>
      <c r="L477" s="32"/>
      <c r="M477" s="24"/>
      <c r="N477" s="24"/>
      <c r="O477" s="24"/>
      <c r="P477" s="33" t="str">
        <f aca="false">IF(AND(G477&lt;&gt;"",I477&lt;&gt;"",J477&lt;&gt;""),(J477-I477)*1440,"")</f>
        <v/>
      </c>
      <c r="Q477" s="33" t="str">
        <f aca="false">IF(AND(G477&lt;&gt;"",J477&lt;&gt;"",K477&lt;&gt;""),(K477-J477)*1440,"")</f>
        <v/>
      </c>
      <c r="R477" s="33" t="str">
        <f aca="false">IF(AND(G477&lt;&gt;"",K477&lt;&gt;"",L477&lt;&gt;""),(L477-K477)*1440,"")</f>
        <v/>
      </c>
      <c r="S477" s="33" t="str">
        <f aca="false">IF(AND(G477&lt;&gt;"",I477&lt;&gt;"",L477&lt;&gt;""),(L477-I477)*1440,"")</f>
        <v/>
      </c>
      <c r="T477" s="33" t="str">
        <f aca="false">IF(G477="","",IFERROR(INDEX(Settings!$B$5:$B$8,MATCH(G477,Settings!$A$5:$A$8,0)),""))</f>
        <v/>
      </c>
      <c r="U477" s="25" t="str">
        <f aca="false">IF(G477="","",IF(S477="","No",IF(S477&lt;=T477,"Yes","No")))</f>
        <v/>
      </c>
      <c r="V477" s="25" t="str">
        <f aca="false">IF(G477="","",IF(AND(J477="",K477="",L477=""),"Telemetry Blind Spot",IF(AND(K477="",L477=""),"Missed Alert",IF(L477="","Triage Delay",IF(S477&lt;=T477,"Detected - Within SLA",IF(AND(R477&lt;&gt;"",R477&gt;IFERROR(INDEX(Settings!$C$5:$C$8,MATCH(G477,Settings!$A$5:$A$8,0)),1E+099)),"Triage Delay","Detected - SLA Breach"))))))</f>
        <v/>
      </c>
      <c r="W477" s="25" t="str">
        <f aca="false">IF(G477="","",IF(L477&lt;&gt;"",1,0))</f>
        <v/>
      </c>
      <c r="X477" s="32"/>
      <c r="Y477" s="32"/>
      <c r="Z477" s="32"/>
      <c r="AA477" s="24"/>
      <c r="AB477" s="24"/>
      <c r="AC477" s="33" t="str">
        <f aca="false">IF(AND(G477&lt;&gt;"",L477&lt;&gt;"",X477&lt;&gt;""),(X477-L477)*1440,"")</f>
        <v/>
      </c>
      <c r="AD477" s="33" t="str">
        <f aca="false">IF(AND(G477&lt;&gt;"",X477&lt;&gt;"",Y477&lt;&gt;""),(Y477-X477)*1440,"")</f>
        <v/>
      </c>
      <c r="AE477" s="33" t="str">
        <f aca="false">IF(AND(G477&lt;&gt;"",Y477&lt;&gt;"",Z477&lt;&gt;""),(Z477-Y477)*1440,"")</f>
        <v/>
      </c>
      <c r="AF477" s="33" t="str">
        <f aca="false">IF(AND(G477&lt;&gt;"",L477&lt;&gt;"",Z477&lt;&gt;""),(Z477-L477)*1440,"")</f>
        <v/>
      </c>
      <c r="AG477" s="33" t="str">
        <f aca="false">IF(G477="","",IFERROR(INDEX(Settings!$D$5:$D$8,MATCH(G477,Settings!$A$5:$A$8,0)),""))</f>
        <v/>
      </c>
      <c r="AH477" s="25" t="str">
        <f aca="false">IF(G477="","",IF(AF477="","No",IF(AF477&lt;=AG477,"Yes","No")))</f>
        <v/>
      </c>
      <c r="AI477" s="25" t="str">
        <f aca="false">IF(G477="","",IF(L477="","N/A - Not Detected",IF(AND(X477="",Y477="",Z477=""),"No Containment Action",IF(Z477="",IF(Y477&lt;&gt;"","C2 Persisted","Host Isolation Gap"),IF(AF477&lt;=AG477,"Contained - Within SLA","Contained - SLA Breach")))))</f>
        <v/>
      </c>
      <c r="AJ477" s="25" t="str">
        <f aca="false">IF(G477="","",IF(Z477&lt;&gt;"",1,0))</f>
        <v/>
      </c>
      <c r="AK477" s="34"/>
      <c r="AL477" s="34"/>
      <c r="AM477" s="35"/>
      <c r="AN477" s="34"/>
      <c r="AO477" s="34"/>
      <c r="AP477" s="35"/>
      <c r="AQ477" s="34"/>
      <c r="AR477" s="34"/>
      <c r="AS477" s="34"/>
      <c r="AT477" s="35"/>
      <c r="AU477" s="35"/>
    </row>
    <row r="478" customFormat="false" ht="15" hidden="false" customHeight="false" outlineLevel="0" collapsed="false">
      <c r="A478" s="24"/>
      <c r="B478" s="24"/>
      <c r="C478" s="24"/>
      <c r="D478" s="24"/>
      <c r="E478" s="24"/>
      <c r="F478" s="24"/>
      <c r="G478" s="24"/>
      <c r="H478" s="24"/>
      <c r="I478" s="32"/>
      <c r="J478" s="32"/>
      <c r="K478" s="32"/>
      <c r="L478" s="32"/>
      <c r="M478" s="24"/>
      <c r="N478" s="24"/>
      <c r="O478" s="24"/>
      <c r="P478" s="33" t="str">
        <f aca="false">IF(AND(G478&lt;&gt;"",I478&lt;&gt;"",J478&lt;&gt;""),(J478-I478)*1440,"")</f>
        <v/>
      </c>
      <c r="Q478" s="33" t="str">
        <f aca="false">IF(AND(G478&lt;&gt;"",J478&lt;&gt;"",K478&lt;&gt;""),(K478-J478)*1440,"")</f>
        <v/>
      </c>
      <c r="R478" s="33" t="str">
        <f aca="false">IF(AND(G478&lt;&gt;"",K478&lt;&gt;"",L478&lt;&gt;""),(L478-K478)*1440,"")</f>
        <v/>
      </c>
      <c r="S478" s="33" t="str">
        <f aca="false">IF(AND(G478&lt;&gt;"",I478&lt;&gt;"",L478&lt;&gt;""),(L478-I478)*1440,"")</f>
        <v/>
      </c>
      <c r="T478" s="33" t="str">
        <f aca="false">IF(G478="","",IFERROR(INDEX(Settings!$B$5:$B$8,MATCH(G478,Settings!$A$5:$A$8,0)),""))</f>
        <v/>
      </c>
      <c r="U478" s="25" t="str">
        <f aca="false">IF(G478="","",IF(S478="","No",IF(S478&lt;=T478,"Yes","No")))</f>
        <v/>
      </c>
      <c r="V478" s="25" t="str">
        <f aca="false">IF(G478="","",IF(AND(J478="",K478="",L478=""),"Telemetry Blind Spot",IF(AND(K478="",L478=""),"Missed Alert",IF(L478="","Triage Delay",IF(S478&lt;=T478,"Detected - Within SLA",IF(AND(R478&lt;&gt;"",R478&gt;IFERROR(INDEX(Settings!$C$5:$C$8,MATCH(G478,Settings!$A$5:$A$8,0)),1E+099)),"Triage Delay","Detected - SLA Breach"))))))</f>
        <v/>
      </c>
      <c r="W478" s="25" t="str">
        <f aca="false">IF(G478="","",IF(L478&lt;&gt;"",1,0))</f>
        <v/>
      </c>
      <c r="X478" s="32"/>
      <c r="Y478" s="32"/>
      <c r="Z478" s="32"/>
      <c r="AA478" s="24"/>
      <c r="AB478" s="24"/>
      <c r="AC478" s="33" t="str">
        <f aca="false">IF(AND(G478&lt;&gt;"",L478&lt;&gt;"",X478&lt;&gt;""),(X478-L478)*1440,"")</f>
        <v/>
      </c>
      <c r="AD478" s="33" t="str">
        <f aca="false">IF(AND(G478&lt;&gt;"",X478&lt;&gt;"",Y478&lt;&gt;""),(Y478-X478)*1440,"")</f>
        <v/>
      </c>
      <c r="AE478" s="33" t="str">
        <f aca="false">IF(AND(G478&lt;&gt;"",Y478&lt;&gt;"",Z478&lt;&gt;""),(Z478-Y478)*1440,"")</f>
        <v/>
      </c>
      <c r="AF478" s="33" t="str">
        <f aca="false">IF(AND(G478&lt;&gt;"",L478&lt;&gt;"",Z478&lt;&gt;""),(Z478-L478)*1440,"")</f>
        <v/>
      </c>
      <c r="AG478" s="33" t="str">
        <f aca="false">IF(G478="","",IFERROR(INDEX(Settings!$D$5:$D$8,MATCH(G478,Settings!$A$5:$A$8,0)),""))</f>
        <v/>
      </c>
      <c r="AH478" s="25" t="str">
        <f aca="false">IF(G478="","",IF(AF478="","No",IF(AF478&lt;=AG478,"Yes","No")))</f>
        <v/>
      </c>
      <c r="AI478" s="25" t="str">
        <f aca="false">IF(G478="","",IF(L478="","N/A - Not Detected",IF(AND(X478="",Y478="",Z478=""),"No Containment Action",IF(Z478="",IF(Y478&lt;&gt;"","C2 Persisted","Host Isolation Gap"),IF(AF478&lt;=AG478,"Contained - Within SLA","Contained - SLA Breach")))))</f>
        <v/>
      </c>
      <c r="AJ478" s="25" t="str">
        <f aca="false">IF(G478="","",IF(Z478&lt;&gt;"",1,0))</f>
        <v/>
      </c>
      <c r="AK478" s="34"/>
      <c r="AL478" s="34"/>
      <c r="AM478" s="35"/>
      <c r="AN478" s="34"/>
      <c r="AO478" s="34"/>
      <c r="AP478" s="35"/>
      <c r="AQ478" s="34"/>
      <c r="AR478" s="34"/>
      <c r="AS478" s="34"/>
      <c r="AT478" s="35"/>
      <c r="AU478" s="35"/>
    </row>
    <row r="479" customFormat="false" ht="15" hidden="false" customHeight="false" outlineLevel="0" collapsed="false">
      <c r="A479" s="24"/>
      <c r="B479" s="24"/>
      <c r="C479" s="24"/>
      <c r="D479" s="24"/>
      <c r="E479" s="24"/>
      <c r="F479" s="24"/>
      <c r="G479" s="24"/>
      <c r="H479" s="24"/>
      <c r="I479" s="32"/>
      <c r="J479" s="32"/>
      <c r="K479" s="32"/>
      <c r="L479" s="32"/>
      <c r="M479" s="24"/>
      <c r="N479" s="24"/>
      <c r="O479" s="24"/>
      <c r="P479" s="33" t="str">
        <f aca="false">IF(AND(G479&lt;&gt;"",I479&lt;&gt;"",J479&lt;&gt;""),(J479-I479)*1440,"")</f>
        <v/>
      </c>
      <c r="Q479" s="33" t="str">
        <f aca="false">IF(AND(G479&lt;&gt;"",J479&lt;&gt;"",K479&lt;&gt;""),(K479-J479)*1440,"")</f>
        <v/>
      </c>
      <c r="R479" s="33" t="str">
        <f aca="false">IF(AND(G479&lt;&gt;"",K479&lt;&gt;"",L479&lt;&gt;""),(L479-K479)*1440,"")</f>
        <v/>
      </c>
      <c r="S479" s="33" t="str">
        <f aca="false">IF(AND(G479&lt;&gt;"",I479&lt;&gt;"",L479&lt;&gt;""),(L479-I479)*1440,"")</f>
        <v/>
      </c>
      <c r="T479" s="33" t="str">
        <f aca="false">IF(G479="","",IFERROR(INDEX(Settings!$B$5:$B$8,MATCH(G479,Settings!$A$5:$A$8,0)),""))</f>
        <v/>
      </c>
      <c r="U479" s="25" t="str">
        <f aca="false">IF(G479="","",IF(S479="","No",IF(S479&lt;=T479,"Yes","No")))</f>
        <v/>
      </c>
      <c r="V479" s="25" t="str">
        <f aca="false">IF(G479="","",IF(AND(J479="",K479="",L479=""),"Telemetry Blind Spot",IF(AND(K479="",L479=""),"Missed Alert",IF(L479="","Triage Delay",IF(S479&lt;=T479,"Detected - Within SLA",IF(AND(R479&lt;&gt;"",R479&gt;IFERROR(INDEX(Settings!$C$5:$C$8,MATCH(G479,Settings!$A$5:$A$8,0)),1E+099)),"Triage Delay","Detected - SLA Breach"))))))</f>
        <v/>
      </c>
      <c r="W479" s="25" t="str">
        <f aca="false">IF(G479="","",IF(L479&lt;&gt;"",1,0))</f>
        <v/>
      </c>
      <c r="X479" s="32"/>
      <c r="Y479" s="32"/>
      <c r="Z479" s="32"/>
      <c r="AA479" s="24"/>
      <c r="AB479" s="24"/>
      <c r="AC479" s="33" t="str">
        <f aca="false">IF(AND(G479&lt;&gt;"",L479&lt;&gt;"",X479&lt;&gt;""),(X479-L479)*1440,"")</f>
        <v/>
      </c>
      <c r="AD479" s="33" t="str">
        <f aca="false">IF(AND(G479&lt;&gt;"",X479&lt;&gt;"",Y479&lt;&gt;""),(Y479-X479)*1440,"")</f>
        <v/>
      </c>
      <c r="AE479" s="33" t="str">
        <f aca="false">IF(AND(G479&lt;&gt;"",Y479&lt;&gt;"",Z479&lt;&gt;""),(Z479-Y479)*1440,"")</f>
        <v/>
      </c>
      <c r="AF479" s="33" t="str">
        <f aca="false">IF(AND(G479&lt;&gt;"",L479&lt;&gt;"",Z479&lt;&gt;""),(Z479-L479)*1440,"")</f>
        <v/>
      </c>
      <c r="AG479" s="33" t="str">
        <f aca="false">IF(G479="","",IFERROR(INDEX(Settings!$D$5:$D$8,MATCH(G479,Settings!$A$5:$A$8,0)),""))</f>
        <v/>
      </c>
      <c r="AH479" s="25" t="str">
        <f aca="false">IF(G479="","",IF(AF479="","No",IF(AF479&lt;=AG479,"Yes","No")))</f>
        <v/>
      </c>
      <c r="AI479" s="25" t="str">
        <f aca="false">IF(G479="","",IF(L479="","N/A - Not Detected",IF(AND(X479="",Y479="",Z479=""),"No Containment Action",IF(Z479="",IF(Y479&lt;&gt;"","C2 Persisted","Host Isolation Gap"),IF(AF479&lt;=AG479,"Contained - Within SLA","Contained - SLA Breach")))))</f>
        <v/>
      </c>
      <c r="AJ479" s="25" t="str">
        <f aca="false">IF(G479="","",IF(Z479&lt;&gt;"",1,0))</f>
        <v/>
      </c>
      <c r="AK479" s="34"/>
      <c r="AL479" s="34"/>
      <c r="AM479" s="35"/>
      <c r="AN479" s="34"/>
      <c r="AO479" s="34"/>
      <c r="AP479" s="35"/>
      <c r="AQ479" s="34"/>
      <c r="AR479" s="34"/>
      <c r="AS479" s="34"/>
      <c r="AT479" s="35"/>
      <c r="AU479" s="35"/>
    </row>
    <row r="480" customFormat="false" ht="15" hidden="false" customHeight="false" outlineLevel="0" collapsed="false">
      <c r="A480" s="24"/>
      <c r="B480" s="24"/>
      <c r="C480" s="24"/>
      <c r="D480" s="24"/>
      <c r="E480" s="24"/>
      <c r="F480" s="24"/>
      <c r="G480" s="24"/>
      <c r="H480" s="24"/>
      <c r="I480" s="32"/>
      <c r="J480" s="32"/>
      <c r="K480" s="32"/>
      <c r="L480" s="32"/>
      <c r="M480" s="24"/>
      <c r="N480" s="24"/>
      <c r="O480" s="24"/>
      <c r="P480" s="33" t="str">
        <f aca="false">IF(AND(G480&lt;&gt;"",I480&lt;&gt;"",J480&lt;&gt;""),(J480-I480)*1440,"")</f>
        <v/>
      </c>
      <c r="Q480" s="33" t="str">
        <f aca="false">IF(AND(G480&lt;&gt;"",J480&lt;&gt;"",K480&lt;&gt;""),(K480-J480)*1440,"")</f>
        <v/>
      </c>
      <c r="R480" s="33" t="str">
        <f aca="false">IF(AND(G480&lt;&gt;"",K480&lt;&gt;"",L480&lt;&gt;""),(L480-K480)*1440,"")</f>
        <v/>
      </c>
      <c r="S480" s="33" t="str">
        <f aca="false">IF(AND(G480&lt;&gt;"",I480&lt;&gt;"",L480&lt;&gt;""),(L480-I480)*1440,"")</f>
        <v/>
      </c>
      <c r="T480" s="33" t="str">
        <f aca="false">IF(G480="","",IFERROR(INDEX(Settings!$B$5:$B$8,MATCH(G480,Settings!$A$5:$A$8,0)),""))</f>
        <v/>
      </c>
      <c r="U480" s="25" t="str">
        <f aca="false">IF(G480="","",IF(S480="","No",IF(S480&lt;=T480,"Yes","No")))</f>
        <v/>
      </c>
      <c r="V480" s="25" t="str">
        <f aca="false">IF(G480="","",IF(AND(J480="",K480="",L480=""),"Telemetry Blind Spot",IF(AND(K480="",L480=""),"Missed Alert",IF(L480="","Triage Delay",IF(S480&lt;=T480,"Detected - Within SLA",IF(AND(R480&lt;&gt;"",R480&gt;IFERROR(INDEX(Settings!$C$5:$C$8,MATCH(G480,Settings!$A$5:$A$8,0)),1E+099)),"Triage Delay","Detected - SLA Breach"))))))</f>
        <v/>
      </c>
      <c r="W480" s="25" t="str">
        <f aca="false">IF(G480="","",IF(L480&lt;&gt;"",1,0))</f>
        <v/>
      </c>
      <c r="X480" s="32"/>
      <c r="Y480" s="32"/>
      <c r="Z480" s="32"/>
      <c r="AA480" s="24"/>
      <c r="AB480" s="24"/>
      <c r="AC480" s="33" t="str">
        <f aca="false">IF(AND(G480&lt;&gt;"",L480&lt;&gt;"",X480&lt;&gt;""),(X480-L480)*1440,"")</f>
        <v/>
      </c>
      <c r="AD480" s="33" t="str">
        <f aca="false">IF(AND(G480&lt;&gt;"",X480&lt;&gt;"",Y480&lt;&gt;""),(Y480-X480)*1440,"")</f>
        <v/>
      </c>
      <c r="AE480" s="33" t="str">
        <f aca="false">IF(AND(G480&lt;&gt;"",Y480&lt;&gt;"",Z480&lt;&gt;""),(Z480-Y480)*1440,"")</f>
        <v/>
      </c>
      <c r="AF480" s="33" t="str">
        <f aca="false">IF(AND(G480&lt;&gt;"",L480&lt;&gt;"",Z480&lt;&gt;""),(Z480-L480)*1440,"")</f>
        <v/>
      </c>
      <c r="AG480" s="33" t="str">
        <f aca="false">IF(G480="","",IFERROR(INDEX(Settings!$D$5:$D$8,MATCH(G480,Settings!$A$5:$A$8,0)),""))</f>
        <v/>
      </c>
      <c r="AH480" s="25" t="str">
        <f aca="false">IF(G480="","",IF(AF480="","No",IF(AF480&lt;=AG480,"Yes","No")))</f>
        <v/>
      </c>
      <c r="AI480" s="25" t="str">
        <f aca="false">IF(G480="","",IF(L480="","N/A - Not Detected",IF(AND(X480="",Y480="",Z480=""),"No Containment Action",IF(Z480="",IF(Y480&lt;&gt;"","C2 Persisted","Host Isolation Gap"),IF(AF480&lt;=AG480,"Contained - Within SLA","Contained - SLA Breach")))))</f>
        <v/>
      </c>
      <c r="AJ480" s="25" t="str">
        <f aca="false">IF(G480="","",IF(Z480&lt;&gt;"",1,0))</f>
        <v/>
      </c>
      <c r="AK480" s="34"/>
      <c r="AL480" s="34"/>
      <c r="AM480" s="35"/>
      <c r="AN480" s="34"/>
      <c r="AO480" s="34"/>
      <c r="AP480" s="35"/>
      <c r="AQ480" s="34"/>
      <c r="AR480" s="34"/>
      <c r="AS480" s="34"/>
      <c r="AT480" s="35"/>
      <c r="AU480" s="35"/>
    </row>
    <row r="481" customFormat="false" ht="15" hidden="false" customHeight="false" outlineLevel="0" collapsed="false">
      <c r="A481" s="24"/>
      <c r="B481" s="24"/>
      <c r="C481" s="24"/>
      <c r="D481" s="24"/>
      <c r="E481" s="24"/>
      <c r="F481" s="24"/>
      <c r="G481" s="24"/>
      <c r="H481" s="24"/>
      <c r="I481" s="32"/>
      <c r="J481" s="32"/>
      <c r="K481" s="32"/>
      <c r="L481" s="32"/>
      <c r="M481" s="24"/>
      <c r="N481" s="24"/>
      <c r="O481" s="24"/>
      <c r="P481" s="33" t="str">
        <f aca="false">IF(AND(G481&lt;&gt;"",I481&lt;&gt;"",J481&lt;&gt;""),(J481-I481)*1440,"")</f>
        <v/>
      </c>
      <c r="Q481" s="33" t="str">
        <f aca="false">IF(AND(G481&lt;&gt;"",J481&lt;&gt;"",K481&lt;&gt;""),(K481-J481)*1440,"")</f>
        <v/>
      </c>
      <c r="R481" s="33" t="str">
        <f aca="false">IF(AND(G481&lt;&gt;"",K481&lt;&gt;"",L481&lt;&gt;""),(L481-K481)*1440,"")</f>
        <v/>
      </c>
      <c r="S481" s="33" t="str">
        <f aca="false">IF(AND(G481&lt;&gt;"",I481&lt;&gt;"",L481&lt;&gt;""),(L481-I481)*1440,"")</f>
        <v/>
      </c>
      <c r="T481" s="33" t="str">
        <f aca="false">IF(G481="","",IFERROR(INDEX(Settings!$B$5:$B$8,MATCH(G481,Settings!$A$5:$A$8,0)),""))</f>
        <v/>
      </c>
      <c r="U481" s="25" t="str">
        <f aca="false">IF(G481="","",IF(S481="","No",IF(S481&lt;=T481,"Yes","No")))</f>
        <v/>
      </c>
      <c r="V481" s="25" t="str">
        <f aca="false">IF(G481="","",IF(AND(J481="",K481="",L481=""),"Telemetry Blind Spot",IF(AND(K481="",L481=""),"Missed Alert",IF(L481="","Triage Delay",IF(S481&lt;=T481,"Detected - Within SLA",IF(AND(R481&lt;&gt;"",R481&gt;IFERROR(INDEX(Settings!$C$5:$C$8,MATCH(G481,Settings!$A$5:$A$8,0)),1E+099)),"Triage Delay","Detected - SLA Breach"))))))</f>
        <v/>
      </c>
      <c r="W481" s="25" t="str">
        <f aca="false">IF(G481="","",IF(L481&lt;&gt;"",1,0))</f>
        <v/>
      </c>
      <c r="X481" s="32"/>
      <c r="Y481" s="32"/>
      <c r="Z481" s="32"/>
      <c r="AA481" s="24"/>
      <c r="AB481" s="24"/>
      <c r="AC481" s="33" t="str">
        <f aca="false">IF(AND(G481&lt;&gt;"",L481&lt;&gt;"",X481&lt;&gt;""),(X481-L481)*1440,"")</f>
        <v/>
      </c>
      <c r="AD481" s="33" t="str">
        <f aca="false">IF(AND(G481&lt;&gt;"",X481&lt;&gt;"",Y481&lt;&gt;""),(Y481-X481)*1440,"")</f>
        <v/>
      </c>
      <c r="AE481" s="33" t="str">
        <f aca="false">IF(AND(G481&lt;&gt;"",Y481&lt;&gt;"",Z481&lt;&gt;""),(Z481-Y481)*1440,"")</f>
        <v/>
      </c>
      <c r="AF481" s="33" t="str">
        <f aca="false">IF(AND(G481&lt;&gt;"",L481&lt;&gt;"",Z481&lt;&gt;""),(Z481-L481)*1440,"")</f>
        <v/>
      </c>
      <c r="AG481" s="33" t="str">
        <f aca="false">IF(G481="","",IFERROR(INDEX(Settings!$D$5:$D$8,MATCH(G481,Settings!$A$5:$A$8,0)),""))</f>
        <v/>
      </c>
      <c r="AH481" s="25" t="str">
        <f aca="false">IF(G481="","",IF(AF481="","No",IF(AF481&lt;=AG481,"Yes","No")))</f>
        <v/>
      </c>
      <c r="AI481" s="25" t="str">
        <f aca="false">IF(G481="","",IF(L481="","N/A - Not Detected",IF(AND(X481="",Y481="",Z481=""),"No Containment Action",IF(Z481="",IF(Y481&lt;&gt;"","C2 Persisted","Host Isolation Gap"),IF(AF481&lt;=AG481,"Contained - Within SLA","Contained - SLA Breach")))))</f>
        <v/>
      </c>
      <c r="AJ481" s="25" t="str">
        <f aca="false">IF(G481="","",IF(Z481&lt;&gt;"",1,0))</f>
        <v/>
      </c>
      <c r="AK481" s="34"/>
      <c r="AL481" s="34"/>
      <c r="AM481" s="35"/>
      <c r="AN481" s="34"/>
      <c r="AO481" s="34"/>
      <c r="AP481" s="35"/>
      <c r="AQ481" s="34"/>
      <c r="AR481" s="34"/>
      <c r="AS481" s="34"/>
      <c r="AT481" s="35"/>
      <c r="AU481" s="35"/>
    </row>
    <row r="482" customFormat="false" ht="15" hidden="false" customHeight="false" outlineLevel="0" collapsed="false">
      <c r="A482" s="24"/>
      <c r="B482" s="24"/>
      <c r="C482" s="24"/>
      <c r="D482" s="24"/>
      <c r="E482" s="24"/>
      <c r="F482" s="24"/>
      <c r="G482" s="24"/>
      <c r="H482" s="24"/>
      <c r="I482" s="32"/>
      <c r="J482" s="32"/>
      <c r="K482" s="32"/>
      <c r="L482" s="32"/>
      <c r="M482" s="24"/>
      <c r="N482" s="24"/>
      <c r="O482" s="24"/>
      <c r="P482" s="33" t="str">
        <f aca="false">IF(AND(G482&lt;&gt;"",I482&lt;&gt;"",J482&lt;&gt;""),(J482-I482)*1440,"")</f>
        <v/>
      </c>
      <c r="Q482" s="33" t="str">
        <f aca="false">IF(AND(G482&lt;&gt;"",J482&lt;&gt;"",K482&lt;&gt;""),(K482-J482)*1440,"")</f>
        <v/>
      </c>
      <c r="R482" s="33" t="str">
        <f aca="false">IF(AND(G482&lt;&gt;"",K482&lt;&gt;"",L482&lt;&gt;""),(L482-K482)*1440,"")</f>
        <v/>
      </c>
      <c r="S482" s="33" t="str">
        <f aca="false">IF(AND(G482&lt;&gt;"",I482&lt;&gt;"",L482&lt;&gt;""),(L482-I482)*1440,"")</f>
        <v/>
      </c>
      <c r="T482" s="33" t="str">
        <f aca="false">IF(G482="","",IFERROR(INDEX(Settings!$B$5:$B$8,MATCH(G482,Settings!$A$5:$A$8,0)),""))</f>
        <v/>
      </c>
      <c r="U482" s="25" t="str">
        <f aca="false">IF(G482="","",IF(S482="","No",IF(S482&lt;=T482,"Yes","No")))</f>
        <v/>
      </c>
      <c r="V482" s="25" t="str">
        <f aca="false">IF(G482="","",IF(AND(J482="",K482="",L482=""),"Telemetry Blind Spot",IF(AND(K482="",L482=""),"Missed Alert",IF(L482="","Triage Delay",IF(S482&lt;=T482,"Detected - Within SLA",IF(AND(R482&lt;&gt;"",R482&gt;IFERROR(INDEX(Settings!$C$5:$C$8,MATCH(G482,Settings!$A$5:$A$8,0)),1E+099)),"Triage Delay","Detected - SLA Breach"))))))</f>
        <v/>
      </c>
      <c r="W482" s="25" t="str">
        <f aca="false">IF(G482="","",IF(L482&lt;&gt;"",1,0))</f>
        <v/>
      </c>
      <c r="X482" s="32"/>
      <c r="Y482" s="32"/>
      <c r="Z482" s="32"/>
      <c r="AA482" s="24"/>
      <c r="AB482" s="24"/>
      <c r="AC482" s="33" t="str">
        <f aca="false">IF(AND(G482&lt;&gt;"",L482&lt;&gt;"",X482&lt;&gt;""),(X482-L482)*1440,"")</f>
        <v/>
      </c>
      <c r="AD482" s="33" t="str">
        <f aca="false">IF(AND(G482&lt;&gt;"",X482&lt;&gt;"",Y482&lt;&gt;""),(Y482-X482)*1440,"")</f>
        <v/>
      </c>
      <c r="AE482" s="33" t="str">
        <f aca="false">IF(AND(G482&lt;&gt;"",Y482&lt;&gt;"",Z482&lt;&gt;""),(Z482-Y482)*1440,"")</f>
        <v/>
      </c>
      <c r="AF482" s="33" t="str">
        <f aca="false">IF(AND(G482&lt;&gt;"",L482&lt;&gt;"",Z482&lt;&gt;""),(Z482-L482)*1440,"")</f>
        <v/>
      </c>
      <c r="AG482" s="33" t="str">
        <f aca="false">IF(G482="","",IFERROR(INDEX(Settings!$D$5:$D$8,MATCH(G482,Settings!$A$5:$A$8,0)),""))</f>
        <v/>
      </c>
      <c r="AH482" s="25" t="str">
        <f aca="false">IF(G482="","",IF(AF482="","No",IF(AF482&lt;=AG482,"Yes","No")))</f>
        <v/>
      </c>
      <c r="AI482" s="25" t="str">
        <f aca="false">IF(G482="","",IF(L482="","N/A - Not Detected",IF(AND(X482="",Y482="",Z482=""),"No Containment Action",IF(Z482="",IF(Y482&lt;&gt;"","C2 Persisted","Host Isolation Gap"),IF(AF482&lt;=AG482,"Contained - Within SLA","Contained - SLA Breach")))))</f>
        <v/>
      </c>
      <c r="AJ482" s="25" t="str">
        <f aca="false">IF(G482="","",IF(Z482&lt;&gt;"",1,0))</f>
        <v/>
      </c>
      <c r="AK482" s="34"/>
      <c r="AL482" s="34"/>
      <c r="AM482" s="35"/>
      <c r="AN482" s="34"/>
      <c r="AO482" s="34"/>
      <c r="AP482" s="35"/>
      <c r="AQ482" s="34"/>
      <c r="AR482" s="34"/>
      <c r="AS482" s="34"/>
      <c r="AT482" s="35"/>
      <c r="AU482" s="35"/>
    </row>
    <row r="483" customFormat="false" ht="15" hidden="false" customHeight="false" outlineLevel="0" collapsed="false">
      <c r="A483" s="24"/>
      <c r="B483" s="24"/>
      <c r="C483" s="24"/>
      <c r="D483" s="24"/>
      <c r="E483" s="24"/>
      <c r="F483" s="24"/>
      <c r="G483" s="24"/>
      <c r="H483" s="24"/>
      <c r="I483" s="32"/>
      <c r="J483" s="32"/>
      <c r="K483" s="32"/>
      <c r="L483" s="32"/>
      <c r="M483" s="24"/>
      <c r="N483" s="24"/>
      <c r="O483" s="24"/>
      <c r="P483" s="33" t="str">
        <f aca="false">IF(AND(G483&lt;&gt;"",I483&lt;&gt;"",J483&lt;&gt;""),(J483-I483)*1440,"")</f>
        <v/>
      </c>
      <c r="Q483" s="33" t="str">
        <f aca="false">IF(AND(G483&lt;&gt;"",J483&lt;&gt;"",K483&lt;&gt;""),(K483-J483)*1440,"")</f>
        <v/>
      </c>
      <c r="R483" s="33" t="str">
        <f aca="false">IF(AND(G483&lt;&gt;"",K483&lt;&gt;"",L483&lt;&gt;""),(L483-K483)*1440,"")</f>
        <v/>
      </c>
      <c r="S483" s="33" t="str">
        <f aca="false">IF(AND(G483&lt;&gt;"",I483&lt;&gt;"",L483&lt;&gt;""),(L483-I483)*1440,"")</f>
        <v/>
      </c>
      <c r="T483" s="33" t="str">
        <f aca="false">IF(G483="","",IFERROR(INDEX(Settings!$B$5:$B$8,MATCH(G483,Settings!$A$5:$A$8,0)),""))</f>
        <v/>
      </c>
      <c r="U483" s="25" t="str">
        <f aca="false">IF(G483="","",IF(S483="","No",IF(S483&lt;=T483,"Yes","No")))</f>
        <v/>
      </c>
      <c r="V483" s="25" t="str">
        <f aca="false">IF(G483="","",IF(AND(J483="",K483="",L483=""),"Telemetry Blind Spot",IF(AND(K483="",L483=""),"Missed Alert",IF(L483="","Triage Delay",IF(S483&lt;=T483,"Detected - Within SLA",IF(AND(R483&lt;&gt;"",R483&gt;IFERROR(INDEX(Settings!$C$5:$C$8,MATCH(G483,Settings!$A$5:$A$8,0)),1E+099)),"Triage Delay","Detected - SLA Breach"))))))</f>
        <v/>
      </c>
      <c r="W483" s="25" t="str">
        <f aca="false">IF(G483="","",IF(L483&lt;&gt;"",1,0))</f>
        <v/>
      </c>
      <c r="X483" s="32"/>
      <c r="Y483" s="32"/>
      <c r="Z483" s="32"/>
      <c r="AA483" s="24"/>
      <c r="AB483" s="24"/>
      <c r="AC483" s="33" t="str">
        <f aca="false">IF(AND(G483&lt;&gt;"",L483&lt;&gt;"",X483&lt;&gt;""),(X483-L483)*1440,"")</f>
        <v/>
      </c>
      <c r="AD483" s="33" t="str">
        <f aca="false">IF(AND(G483&lt;&gt;"",X483&lt;&gt;"",Y483&lt;&gt;""),(Y483-X483)*1440,"")</f>
        <v/>
      </c>
      <c r="AE483" s="33" t="str">
        <f aca="false">IF(AND(G483&lt;&gt;"",Y483&lt;&gt;"",Z483&lt;&gt;""),(Z483-Y483)*1440,"")</f>
        <v/>
      </c>
      <c r="AF483" s="33" t="str">
        <f aca="false">IF(AND(G483&lt;&gt;"",L483&lt;&gt;"",Z483&lt;&gt;""),(Z483-L483)*1440,"")</f>
        <v/>
      </c>
      <c r="AG483" s="33" t="str">
        <f aca="false">IF(G483="","",IFERROR(INDEX(Settings!$D$5:$D$8,MATCH(G483,Settings!$A$5:$A$8,0)),""))</f>
        <v/>
      </c>
      <c r="AH483" s="25" t="str">
        <f aca="false">IF(G483="","",IF(AF483="","No",IF(AF483&lt;=AG483,"Yes","No")))</f>
        <v/>
      </c>
      <c r="AI483" s="25" t="str">
        <f aca="false">IF(G483="","",IF(L483="","N/A - Not Detected",IF(AND(X483="",Y483="",Z483=""),"No Containment Action",IF(Z483="",IF(Y483&lt;&gt;"","C2 Persisted","Host Isolation Gap"),IF(AF483&lt;=AG483,"Contained - Within SLA","Contained - SLA Breach")))))</f>
        <v/>
      </c>
      <c r="AJ483" s="25" t="str">
        <f aca="false">IF(G483="","",IF(Z483&lt;&gt;"",1,0))</f>
        <v/>
      </c>
      <c r="AK483" s="34"/>
      <c r="AL483" s="34"/>
      <c r="AM483" s="35"/>
      <c r="AN483" s="34"/>
      <c r="AO483" s="34"/>
      <c r="AP483" s="35"/>
      <c r="AQ483" s="34"/>
      <c r="AR483" s="34"/>
      <c r="AS483" s="34"/>
      <c r="AT483" s="35"/>
      <c r="AU483" s="35"/>
    </row>
    <row r="484" customFormat="false" ht="15" hidden="false" customHeight="false" outlineLevel="0" collapsed="false">
      <c r="A484" s="24"/>
      <c r="B484" s="24"/>
      <c r="C484" s="24"/>
      <c r="D484" s="24"/>
      <c r="E484" s="24"/>
      <c r="F484" s="24"/>
      <c r="G484" s="24"/>
      <c r="H484" s="24"/>
      <c r="I484" s="32"/>
      <c r="J484" s="32"/>
      <c r="K484" s="32"/>
      <c r="L484" s="32"/>
      <c r="M484" s="24"/>
      <c r="N484" s="24"/>
      <c r="O484" s="24"/>
      <c r="P484" s="33" t="str">
        <f aca="false">IF(AND(G484&lt;&gt;"",I484&lt;&gt;"",J484&lt;&gt;""),(J484-I484)*1440,"")</f>
        <v/>
      </c>
      <c r="Q484" s="33" t="str">
        <f aca="false">IF(AND(G484&lt;&gt;"",J484&lt;&gt;"",K484&lt;&gt;""),(K484-J484)*1440,"")</f>
        <v/>
      </c>
      <c r="R484" s="33" t="str">
        <f aca="false">IF(AND(G484&lt;&gt;"",K484&lt;&gt;"",L484&lt;&gt;""),(L484-K484)*1440,"")</f>
        <v/>
      </c>
      <c r="S484" s="33" t="str">
        <f aca="false">IF(AND(G484&lt;&gt;"",I484&lt;&gt;"",L484&lt;&gt;""),(L484-I484)*1440,"")</f>
        <v/>
      </c>
      <c r="T484" s="33" t="str">
        <f aca="false">IF(G484="","",IFERROR(INDEX(Settings!$B$5:$B$8,MATCH(G484,Settings!$A$5:$A$8,0)),""))</f>
        <v/>
      </c>
      <c r="U484" s="25" t="str">
        <f aca="false">IF(G484="","",IF(S484="","No",IF(S484&lt;=T484,"Yes","No")))</f>
        <v/>
      </c>
      <c r="V484" s="25" t="str">
        <f aca="false">IF(G484="","",IF(AND(J484="",K484="",L484=""),"Telemetry Blind Spot",IF(AND(K484="",L484=""),"Missed Alert",IF(L484="","Triage Delay",IF(S484&lt;=T484,"Detected - Within SLA",IF(AND(R484&lt;&gt;"",R484&gt;IFERROR(INDEX(Settings!$C$5:$C$8,MATCH(G484,Settings!$A$5:$A$8,0)),1E+099)),"Triage Delay","Detected - SLA Breach"))))))</f>
        <v/>
      </c>
      <c r="W484" s="25" t="str">
        <f aca="false">IF(G484="","",IF(L484&lt;&gt;"",1,0))</f>
        <v/>
      </c>
      <c r="X484" s="32"/>
      <c r="Y484" s="32"/>
      <c r="Z484" s="32"/>
      <c r="AA484" s="24"/>
      <c r="AB484" s="24"/>
      <c r="AC484" s="33" t="str">
        <f aca="false">IF(AND(G484&lt;&gt;"",L484&lt;&gt;"",X484&lt;&gt;""),(X484-L484)*1440,"")</f>
        <v/>
      </c>
      <c r="AD484" s="33" t="str">
        <f aca="false">IF(AND(G484&lt;&gt;"",X484&lt;&gt;"",Y484&lt;&gt;""),(Y484-X484)*1440,"")</f>
        <v/>
      </c>
      <c r="AE484" s="33" t="str">
        <f aca="false">IF(AND(G484&lt;&gt;"",Y484&lt;&gt;"",Z484&lt;&gt;""),(Z484-Y484)*1440,"")</f>
        <v/>
      </c>
      <c r="AF484" s="33" t="str">
        <f aca="false">IF(AND(G484&lt;&gt;"",L484&lt;&gt;"",Z484&lt;&gt;""),(Z484-L484)*1440,"")</f>
        <v/>
      </c>
      <c r="AG484" s="33" t="str">
        <f aca="false">IF(G484="","",IFERROR(INDEX(Settings!$D$5:$D$8,MATCH(G484,Settings!$A$5:$A$8,0)),""))</f>
        <v/>
      </c>
      <c r="AH484" s="25" t="str">
        <f aca="false">IF(G484="","",IF(AF484="","No",IF(AF484&lt;=AG484,"Yes","No")))</f>
        <v/>
      </c>
      <c r="AI484" s="25" t="str">
        <f aca="false">IF(G484="","",IF(L484="","N/A - Not Detected",IF(AND(X484="",Y484="",Z484=""),"No Containment Action",IF(Z484="",IF(Y484&lt;&gt;"","C2 Persisted","Host Isolation Gap"),IF(AF484&lt;=AG484,"Contained - Within SLA","Contained - SLA Breach")))))</f>
        <v/>
      </c>
      <c r="AJ484" s="25" t="str">
        <f aca="false">IF(G484="","",IF(Z484&lt;&gt;"",1,0))</f>
        <v/>
      </c>
      <c r="AK484" s="34"/>
      <c r="AL484" s="34"/>
      <c r="AM484" s="35"/>
      <c r="AN484" s="34"/>
      <c r="AO484" s="34"/>
      <c r="AP484" s="35"/>
      <c r="AQ484" s="34"/>
      <c r="AR484" s="34"/>
      <c r="AS484" s="34"/>
      <c r="AT484" s="35"/>
      <c r="AU484" s="35"/>
    </row>
    <row r="485" customFormat="false" ht="15" hidden="false" customHeight="false" outlineLevel="0" collapsed="false">
      <c r="A485" s="24"/>
      <c r="B485" s="24"/>
      <c r="C485" s="24"/>
      <c r="D485" s="24"/>
      <c r="E485" s="24"/>
      <c r="F485" s="24"/>
      <c r="G485" s="24"/>
      <c r="H485" s="24"/>
      <c r="I485" s="32"/>
      <c r="J485" s="32"/>
      <c r="K485" s="32"/>
      <c r="L485" s="32"/>
      <c r="M485" s="24"/>
      <c r="N485" s="24"/>
      <c r="O485" s="24"/>
      <c r="P485" s="33" t="str">
        <f aca="false">IF(AND(G485&lt;&gt;"",I485&lt;&gt;"",J485&lt;&gt;""),(J485-I485)*1440,"")</f>
        <v/>
      </c>
      <c r="Q485" s="33" t="str">
        <f aca="false">IF(AND(G485&lt;&gt;"",J485&lt;&gt;"",K485&lt;&gt;""),(K485-J485)*1440,"")</f>
        <v/>
      </c>
      <c r="R485" s="33" t="str">
        <f aca="false">IF(AND(G485&lt;&gt;"",K485&lt;&gt;"",L485&lt;&gt;""),(L485-K485)*1440,"")</f>
        <v/>
      </c>
      <c r="S485" s="33" t="str">
        <f aca="false">IF(AND(G485&lt;&gt;"",I485&lt;&gt;"",L485&lt;&gt;""),(L485-I485)*1440,"")</f>
        <v/>
      </c>
      <c r="T485" s="33" t="str">
        <f aca="false">IF(G485="","",IFERROR(INDEX(Settings!$B$5:$B$8,MATCH(G485,Settings!$A$5:$A$8,0)),""))</f>
        <v/>
      </c>
      <c r="U485" s="25" t="str">
        <f aca="false">IF(G485="","",IF(S485="","No",IF(S485&lt;=T485,"Yes","No")))</f>
        <v/>
      </c>
      <c r="V485" s="25" t="str">
        <f aca="false">IF(G485="","",IF(AND(J485="",K485="",L485=""),"Telemetry Blind Spot",IF(AND(K485="",L485=""),"Missed Alert",IF(L485="","Triage Delay",IF(S485&lt;=T485,"Detected - Within SLA",IF(AND(R485&lt;&gt;"",R485&gt;IFERROR(INDEX(Settings!$C$5:$C$8,MATCH(G485,Settings!$A$5:$A$8,0)),1E+099)),"Triage Delay","Detected - SLA Breach"))))))</f>
        <v/>
      </c>
      <c r="W485" s="25" t="str">
        <f aca="false">IF(G485="","",IF(L485&lt;&gt;"",1,0))</f>
        <v/>
      </c>
      <c r="X485" s="32"/>
      <c r="Y485" s="32"/>
      <c r="Z485" s="32"/>
      <c r="AA485" s="24"/>
      <c r="AB485" s="24"/>
      <c r="AC485" s="33" t="str">
        <f aca="false">IF(AND(G485&lt;&gt;"",L485&lt;&gt;"",X485&lt;&gt;""),(X485-L485)*1440,"")</f>
        <v/>
      </c>
      <c r="AD485" s="33" t="str">
        <f aca="false">IF(AND(G485&lt;&gt;"",X485&lt;&gt;"",Y485&lt;&gt;""),(Y485-X485)*1440,"")</f>
        <v/>
      </c>
      <c r="AE485" s="33" t="str">
        <f aca="false">IF(AND(G485&lt;&gt;"",Y485&lt;&gt;"",Z485&lt;&gt;""),(Z485-Y485)*1440,"")</f>
        <v/>
      </c>
      <c r="AF485" s="33" t="str">
        <f aca="false">IF(AND(G485&lt;&gt;"",L485&lt;&gt;"",Z485&lt;&gt;""),(Z485-L485)*1440,"")</f>
        <v/>
      </c>
      <c r="AG485" s="33" t="str">
        <f aca="false">IF(G485="","",IFERROR(INDEX(Settings!$D$5:$D$8,MATCH(G485,Settings!$A$5:$A$8,0)),""))</f>
        <v/>
      </c>
      <c r="AH485" s="25" t="str">
        <f aca="false">IF(G485="","",IF(AF485="","No",IF(AF485&lt;=AG485,"Yes","No")))</f>
        <v/>
      </c>
      <c r="AI485" s="25" t="str">
        <f aca="false">IF(G485="","",IF(L485="","N/A - Not Detected",IF(AND(X485="",Y485="",Z485=""),"No Containment Action",IF(Z485="",IF(Y485&lt;&gt;"","C2 Persisted","Host Isolation Gap"),IF(AF485&lt;=AG485,"Contained - Within SLA","Contained - SLA Breach")))))</f>
        <v/>
      </c>
      <c r="AJ485" s="25" t="str">
        <f aca="false">IF(G485="","",IF(Z485&lt;&gt;"",1,0))</f>
        <v/>
      </c>
      <c r="AK485" s="34"/>
      <c r="AL485" s="34"/>
      <c r="AM485" s="35"/>
      <c r="AN485" s="34"/>
      <c r="AO485" s="34"/>
      <c r="AP485" s="35"/>
      <c r="AQ485" s="34"/>
      <c r="AR485" s="34"/>
      <c r="AS485" s="34"/>
      <c r="AT485" s="35"/>
      <c r="AU485" s="35"/>
    </row>
    <row r="486" customFormat="false" ht="15" hidden="false" customHeight="false" outlineLevel="0" collapsed="false">
      <c r="A486" s="24"/>
      <c r="B486" s="24"/>
      <c r="C486" s="24"/>
      <c r="D486" s="24"/>
      <c r="E486" s="24"/>
      <c r="F486" s="24"/>
      <c r="G486" s="24"/>
      <c r="H486" s="24"/>
      <c r="I486" s="32"/>
      <c r="J486" s="32"/>
      <c r="K486" s="32"/>
      <c r="L486" s="32"/>
      <c r="M486" s="24"/>
      <c r="N486" s="24"/>
      <c r="O486" s="24"/>
      <c r="P486" s="33" t="str">
        <f aca="false">IF(AND(G486&lt;&gt;"",I486&lt;&gt;"",J486&lt;&gt;""),(J486-I486)*1440,"")</f>
        <v/>
      </c>
      <c r="Q486" s="33" t="str">
        <f aca="false">IF(AND(G486&lt;&gt;"",J486&lt;&gt;"",K486&lt;&gt;""),(K486-J486)*1440,"")</f>
        <v/>
      </c>
      <c r="R486" s="33" t="str">
        <f aca="false">IF(AND(G486&lt;&gt;"",K486&lt;&gt;"",L486&lt;&gt;""),(L486-K486)*1440,"")</f>
        <v/>
      </c>
      <c r="S486" s="33" t="str">
        <f aca="false">IF(AND(G486&lt;&gt;"",I486&lt;&gt;"",L486&lt;&gt;""),(L486-I486)*1440,"")</f>
        <v/>
      </c>
      <c r="T486" s="33" t="str">
        <f aca="false">IF(G486="","",IFERROR(INDEX(Settings!$B$5:$B$8,MATCH(G486,Settings!$A$5:$A$8,0)),""))</f>
        <v/>
      </c>
      <c r="U486" s="25" t="str">
        <f aca="false">IF(G486="","",IF(S486="","No",IF(S486&lt;=T486,"Yes","No")))</f>
        <v/>
      </c>
      <c r="V486" s="25" t="str">
        <f aca="false">IF(G486="","",IF(AND(J486="",K486="",L486=""),"Telemetry Blind Spot",IF(AND(K486="",L486=""),"Missed Alert",IF(L486="","Triage Delay",IF(S486&lt;=T486,"Detected - Within SLA",IF(AND(R486&lt;&gt;"",R486&gt;IFERROR(INDEX(Settings!$C$5:$C$8,MATCH(G486,Settings!$A$5:$A$8,0)),1E+099)),"Triage Delay","Detected - SLA Breach"))))))</f>
        <v/>
      </c>
      <c r="W486" s="25" t="str">
        <f aca="false">IF(G486="","",IF(L486&lt;&gt;"",1,0))</f>
        <v/>
      </c>
      <c r="X486" s="32"/>
      <c r="Y486" s="32"/>
      <c r="Z486" s="32"/>
      <c r="AA486" s="24"/>
      <c r="AB486" s="24"/>
      <c r="AC486" s="33" t="str">
        <f aca="false">IF(AND(G486&lt;&gt;"",L486&lt;&gt;"",X486&lt;&gt;""),(X486-L486)*1440,"")</f>
        <v/>
      </c>
      <c r="AD486" s="33" t="str">
        <f aca="false">IF(AND(G486&lt;&gt;"",X486&lt;&gt;"",Y486&lt;&gt;""),(Y486-X486)*1440,"")</f>
        <v/>
      </c>
      <c r="AE486" s="33" t="str">
        <f aca="false">IF(AND(G486&lt;&gt;"",Y486&lt;&gt;"",Z486&lt;&gt;""),(Z486-Y486)*1440,"")</f>
        <v/>
      </c>
      <c r="AF486" s="33" t="str">
        <f aca="false">IF(AND(G486&lt;&gt;"",L486&lt;&gt;"",Z486&lt;&gt;""),(Z486-L486)*1440,"")</f>
        <v/>
      </c>
      <c r="AG486" s="33" t="str">
        <f aca="false">IF(G486="","",IFERROR(INDEX(Settings!$D$5:$D$8,MATCH(G486,Settings!$A$5:$A$8,0)),""))</f>
        <v/>
      </c>
      <c r="AH486" s="25" t="str">
        <f aca="false">IF(G486="","",IF(AF486="","No",IF(AF486&lt;=AG486,"Yes","No")))</f>
        <v/>
      </c>
      <c r="AI486" s="25" t="str">
        <f aca="false">IF(G486="","",IF(L486="","N/A - Not Detected",IF(AND(X486="",Y486="",Z486=""),"No Containment Action",IF(Z486="",IF(Y486&lt;&gt;"","C2 Persisted","Host Isolation Gap"),IF(AF486&lt;=AG486,"Contained - Within SLA","Contained - SLA Breach")))))</f>
        <v/>
      </c>
      <c r="AJ486" s="25" t="str">
        <f aca="false">IF(G486="","",IF(Z486&lt;&gt;"",1,0))</f>
        <v/>
      </c>
      <c r="AK486" s="34"/>
      <c r="AL486" s="34"/>
      <c r="AM486" s="35"/>
      <c r="AN486" s="34"/>
      <c r="AO486" s="34"/>
      <c r="AP486" s="35"/>
      <c r="AQ486" s="34"/>
      <c r="AR486" s="34"/>
      <c r="AS486" s="34"/>
      <c r="AT486" s="35"/>
      <c r="AU486" s="35"/>
    </row>
    <row r="487" customFormat="false" ht="15" hidden="false" customHeight="false" outlineLevel="0" collapsed="false">
      <c r="A487" s="24"/>
      <c r="B487" s="24"/>
      <c r="C487" s="24"/>
      <c r="D487" s="24"/>
      <c r="E487" s="24"/>
      <c r="F487" s="24"/>
      <c r="G487" s="24"/>
      <c r="H487" s="24"/>
      <c r="I487" s="32"/>
      <c r="J487" s="32"/>
      <c r="K487" s="32"/>
      <c r="L487" s="32"/>
      <c r="M487" s="24"/>
      <c r="N487" s="24"/>
      <c r="O487" s="24"/>
      <c r="P487" s="33" t="str">
        <f aca="false">IF(AND(G487&lt;&gt;"",I487&lt;&gt;"",J487&lt;&gt;""),(J487-I487)*1440,"")</f>
        <v/>
      </c>
      <c r="Q487" s="33" t="str">
        <f aca="false">IF(AND(G487&lt;&gt;"",J487&lt;&gt;"",K487&lt;&gt;""),(K487-J487)*1440,"")</f>
        <v/>
      </c>
      <c r="R487" s="33" t="str">
        <f aca="false">IF(AND(G487&lt;&gt;"",K487&lt;&gt;"",L487&lt;&gt;""),(L487-K487)*1440,"")</f>
        <v/>
      </c>
      <c r="S487" s="33" t="str">
        <f aca="false">IF(AND(G487&lt;&gt;"",I487&lt;&gt;"",L487&lt;&gt;""),(L487-I487)*1440,"")</f>
        <v/>
      </c>
      <c r="T487" s="33" t="str">
        <f aca="false">IF(G487="","",IFERROR(INDEX(Settings!$B$5:$B$8,MATCH(G487,Settings!$A$5:$A$8,0)),""))</f>
        <v/>
      </c>
      <c r="U487" s="25" t="str">
        <f aca="false">IF(G487="","",IF(S487="","No",IF(S487&lt;=T487,"Yes","No")))</f>
        <v/>
      </c>
      <c r="V487" s="25" t="str">
        <f aca="false">IF(G487="","",IF(AND(J487="",K487="",L487=""),"Telemetry Blind Spot",IF(AND(K487="",L487=""),"Missed Alert",IF(L487="","Triage Delay",IF(S487&lt;=T487,"Detected - Within SLA",IF(AND(R487&lt;&gt;"",R487&gt;IFERROR(INDEX(Settings!$C$5:$C$8,MATCH(G487,Settings!$A$5:$A$8,0)),1E+099)),"Triage Delay","Detected - SLA Breach"))))))</f>
        <v/>
      </c>
      <c r="W487" s="25" t="str">
        <f aca="false">IF(G487="","",IF(L487&lt;&gt;"",1,0))</f>
        <v/>
      </c>
      <c r="X487" s="32"/>
      <c r="Y487" s="32"/>
      <c r="Z487" s="32"/>
      <c r="AA487" s="24"/>
      <c r="AB487" s="24"/>
      <c r="AC487" s="33" t="str">
        <f aca="false">IF(AND(G487&lt;&gt;"",L487&lt;&gt;"",X487&lt;&gt;""),(X487-L487)*1440,"")</f>
        <v/>
      </c>
      <c r="AD487" s="33" t="str">
        <f aca="false">IF(AND(G487&lt;&gt;"",X487&lt;&gt;"",Y487&lt;&gt;""),(Y487-X487)*1440,"")</f>
        <v/>
      </c>
      <c r="AE487" s="33" t="str">
        <f aca="false">IF(AND(G487&lt;&gt;"",Y487&lt;&gt;"",Z487&lt;&gt;""),(Z487-Y487)*1440,"")</f>
        <v/>
      </c>
      <c r="AF487" s="33" t="str">
        <f aca="false">IF(AND(G487&lt;&gt;"",L487&lt;&gt;"",Z487&lt;&gt;""),(Z487-L487)*1440,"")</f>
        <v/>
      </c>
      <c r="AG487" s="33" t="str">
        <f aca="false">IF(G487="","",IFERROR(INDEX(Settings!$D$5:$D$8,MATCH(G487,Settings!$A$5:$A$8,0)),""))</f>
        <v/>
      </c>
      <c r="AH487" s="25" t="str">
        <f aca="false">IF(G487="","",IF(AF487="","No",IF(AF487&lt;=AG487,"Yes","No")))</f>
        <v/>
      </c>
      <c r="AI487" s="25" t="str">
        <f aca="false">IF(G487="","",IF(L487="","N/A - Not Detected",IF(AND(X487="",Y487="",Z487=""),"No Containment Action",IF(Z487="",IF(Y487&lt;&gt;"","C2 Persisted","Host Isolation Gap"),IF(AF487&lt;=AG487,"Contained - Within SLA","Contained - SLA Breach")))))</f>
        <v/>
      </c>
      <c r="AJ487" s="25" t="str">
        <f aca="false">IF(G487="","",IF(Z487&lt;&gt;"",1,0))</f>
        <v/>
      </c>
      <c r="AK487" s="34"/>
      <c r="AL487" s="34"/>
      <c r="AM487" s="35"/>
      <c r="AN487" s="34"/>
      <c r="AO487" s="34"/>
      <c r="AP487" s="35"/>
      <c r="AQ487" s="34"/>
      <c r="AR487" s="34"/>
      <c r="AS487" s="34"/>
      <c r="AT487" s="35"/>
      <c r="AU487" s="35"/>
    </row>
    <row r="488" customFormat="false" ht="15" hidden="false" customHeight="false" outlineLevel="0" collapsed="false">
      <c r="A488" s="24"/>
      <c r="B488" s="24"/>
      <c r="C488" s="24"/>
      <c r="D488" s="24"/>
      <c r="E488" s="24"/>
      <c r="F488" s="24"/>
      <c r="G488" s="24"/>
      <c r="H488" s="24"/>
      <c r="I488" s="32"/>
      <c r="J488" s="32"/>
      <c r="K488" s="32"/>
      <c r="L488" s="32"/>
      <c r="M488" s="24"/>
      <c r="N488" s="24"/>
      <c r="O488" s="24"/>
      <c r="P488" s="33" t="str">
        <f aca="false">IF(AND(G488&lt;&gt;"",I488&lt;&gt;"",J488&lt;&gt;""),(J488-I488)*1440,"")</f>
        <v/>
      </c>
      <c r="Q488" s="33" t="str">
        <f aca="false">IF(AND(G488&lt;&gt;"",J488&lt;&gt;"",K488&lt;&gt;""),(K488-J488)*1440,"")</f>
        <v/>
      </c>
      <c r="R488" s="33" t="str">
        <f aca="false">IF(AND(G488&lt;&gt;"",K488&lt;&gt;"",L488&lt;&gt;""),(L488-K488)*1440,"")</f>
        <v/>
      </c>
      <c r="S488" s="33" t="str">
        <f aca="false">IF(AND(G488&lt;&gt;"",I488&lt;&gt;"",L488&lt;&gt;""),(L488-I488)*1440,"")</f>
        <v/>
      </c>
      <c r="T488" s="33" t="str">
        <f aca="false">IF(G488="","",IFERROR(INDEX(Settings!$B$5:$B$8,MATCH(G488,Settings!$A$5:$A$8,0)),""))</f>
        <v/>
      </c>
      <c r="U488" s="25" t="str">
        <f aca="false">IF(G488="","",IF(S488="","No",IF(S488&lt;=T488,"Yes","No")))</f>
        <v/>
      </c>
      <c r="V488" s="25" t="str">
        <f aca="false">IF(G488="","",IF(AND(J488="",K488="",L488=""),"Telemetry Blind Spot",IF(AND(K488="",L488=""),"Missed Alert",IF(L488="","Triage Delay",IF(S488&lt;=T488,"Detected - Within SLA",IF(AND(R488&lt;&gt;"",R488&gt;IFERROR(INDEX(Settings!$C$5:$C$8,MATCH(G488,Settings!$A$5:$A$8,0)),1E+099)),"Triage Delay","Detected - SLA Breach"))))))</f>
        <v/>
      </c>
      <c r="W488" s="25" t="str">
        <f aca="false">IF(G488="","",IF(L488&lt;&gt;"",1,0))</f>
        <v/>
      </c>
      <c r="X488" s="32"/>
      <c r="Y488" s="32"/>
      <c r="Z488" s="32"/>
      <c r="AA488" s="24"/>
      <c r="AB488" s="24"/>
      <c r="AC488" s="33" t="str">
        <f aca="false">IF(AND(G488&lt;&gt;"",L488&lt;&gt;"",X488&lt;&gt;""),(X488-L488)*1440,"")</f>
        <v/>
      </c>
      <c r="AD488" s="33" t="str">
        <f aca="false">IF(AND(G488&lt;&gt;"",X488&lt;&gt;"",Y488&lt;&gt;""),(Y488-X488)*1440,"")</f>
        <v/>
      </c>
      <c r="AE488" s="33" t="str">
        <f aca="false">IF(AND(G488&lt;&gt;"",Y488&lt;&gt;"",Z488&lt;&gt;""),(Z488-Y488)*1440,"")</f>
        <v/>
      </c>
      <c r="AF488" s="33" t="str">
        <f aca="false">IF(AND(G488&lt;&gt;"",L488&lt;&gt;"",Z488&lt;&gt;""),(Z488-L488)*1440,"")</f>
        <v/>
      </c>
      <c r="AG488" s="33" t="str">
        <f aca="false">IF(G488="","",IFERROR(INDEX(Settings!$D$5:$D$8,MATCH(G488,Settings!$A$5:$A$8,0)),""))</f>
        <v/>
      </c>
      <c r="AH488" s="25" t="str">
        <f aca="false">IF(G488="","",IF(AF488="","No",IF(AF488&lt;=AG488,"Yes","No")))</f>
        <v/>
      </c>
      <c r="AI488" s="25" t="str">
        <f aca="false">IF(G488="","",IF(L488="","N/A - Not Detected",IF(AND(X488="",Y488="",Z488=""),"No Containment Action",IF(Z488="",IF(Y488&lt;&gt;"","C2 Persisted","Host Isolation Gap"),IF(AF488&lt;=AG488,"Contained - Within SLA","Contained - SLA Breach")))))</f>
        <v/>
      </c>
      <c r="AJ488" s="25" t="str">
        <f aca="false">IF(G488="","",IF(Z488&lt;&gt;"",1,0))</f>
        <v/>
      </c>
      <c r="AK488" s="34"/>
      <c r="AL488" s="34"/>
      <c r="AM488" s="35"/>
      <c r="AN488" s="34"/>
      <c r="AO488" s="34"/>
      <c r="AP488" s="35"/>
      <c r="AQ488" s="34"/>
      <c r="AR488" s="34"/>
      <c r="AS488" s="34"/>
      <c r="AT488" s="35"/>
      <c r="AU488" s="35"/>
    </row>
    <row r="489" customFormat="false" ht="15" hidden="false" customHeight="false" outlineLevel="0" collapsed="false">
      <c r="A489" s="24"/>
      <c r="B489" s="24"/>
      <c r="C489" s="24"/>
      <c r="D489" s="24"/>
      <c r="E489" s="24"/>
      <c r="F489" s="24"/>
      <c r="G489" s="24"/>
      <c r="H489" s="24"/>
      <c r="I489" s="32"/>
      <c r="J489" s="32"/>
      <c r="K489" s="32"/>
      <c r="L489" s="32"/>
      <c r="M489" s="24"/>
      <c r="N489" s="24"/>
      <c r="O489" s="24"/>
      <c r="P489" s="33" t="str">
        <f aca="false">IF(AND(G489&lt;&gt;"",I489&lt;&gt;"",J489&lt;&gt;""),(J489-I489)*1440,"")</f>
        <v/>
      </c>
      <c r="Q489" s="33" t="str">
        <f aca="false">IF(AND(G489&lt;&gt;"",J489&lt;&gt;"",K489&lt;&gt;""),(K489-J489)*1440,"")</f>
        <v/>
      </c>
      <c r="R489" s="33" t="str">
        <f aca="false">IF(AND(G489&lt;&gt;"",K489&lt;&gt;"",L489&lt;&gt;""),(L489-K489)*1440,"")</f>
        <v/>
      </c>
      <c r="S489" s="33" t="str">
        <f aca="false">IF(AND(G489&lt;&gt;"",I489&lt;&gt;"",L489&lt;&gt;""),(L489-I489)*1440,"")</f>
        <v/>
      </c>
      <c r="T489" s="33" t="str">
        <f aca="false">IF(G489="","",IFERROR(INDEX(Settings!$B$5:$B$8,MATCH(G489,Settings!$A$5:$A$8,0)),""))</f>
        <v/>
      </c>
      <c r="U489" s="25" t="str">
        <f aca="false">IF(G489="","",IF(S489="","No",IF(S489&lt;=T489,"Yes","No")))</f>
        <v/>
      </c>
      <c r="V489" s="25" t="str">
        <f aca="false">IF(G489="","",IF(AND(J489="",K489="",L489=""),"Telemetry Blind Spot",IF(AND(K489="",L489=""),"Missed Alert",IF(L489="","Triage Delay",IF(S489&lt;=T489,"Detected - Within SLA",IF(AND(R489&lt;&gt;"",R489&gt;IFERROR(INDEX(Settings!$C$5:$C$8,MATCH(G489,Settings!$A$5:$A$8,0)),1E+099)),"Triage Delay","Detected - SLA Breach"))))))</f>
        <v/>
      </c>
      <c r="W489" s="25" t="str">
        <f aca="false">IF(G489="","",IF(L489&lt;&gt;"",1,0))</f>
        <v/>
      </c>
      <c r="X489" s="32"/>
      <c r="Y489" s="32"/>
      <c r="Z489" s="32"/>
      <c r="AA489" s="24"/>
      <c r="AB489" s="24"/>
      <c r="AC489" s="33" t="str">
        <f aca="false">IF(AND(G489&lt;&gt;"",L489&lt;&gt;"",X489&lt;&gt;""),(X489-L489)*1440,"")</f>
        <v/>
      </c>
      <c r="AD489" s="33" t="str">
        <f aca="false">IF(AND(G489&lt;&gt;"",X489&lt;&gt;"",Y489&lt;&gt;""),(Y489-X489)*1440,"")</f>
        <v/>
      </c>
      <c r="AE489" s="33" t="str">
        <f aca="false">IF(AND(G489&lt;&gt;"",Y489&lt;&gt;"",Z489&lt;&gt;""),(Z489-Y489)*1440,"")</f>
        <v/>
      </c>
      <c r="AF489" s="33" t="str">
        <f aca="false">IF(AND(G489&lt;&gt;"",L489&lt;&gt;"",Z489&lt;&gt;""),(Z489-L489)*1440,"")</f>
        <v/>
      </c>
      <c r="AG489" s="33" t="str">
        <f aca="false">IF(G489="","",IFERROR(INDEX(Settings!$D$5:$D$8,MATCH(G489,Settings!$A$5:$A$8,0)),""))</f>
        <v/>
      </c>
      <c r="AH489" s="25" t="str">
        <f aca="false">IF(G489="","",IF(AF489="","No",IF(AF489&lt;=AG489,"Yes","No")))</f>
        <v/>
      </c>
      <c r="AI489" s="25" t="str">
        <f aca="false">IF(G489="","",IF(L489="","N/A - Not Detected",IF(AND(X489="",Y489="",Z489=""),"No Containment Action",IF(Z489="",IF(Y489&lt;&gt;"","C2 Persisted","Host Isolation Gap"),IF(AF489&lt;=AG489,"Contained - Within SLA","Contained - SLA Breach")))))</f>
        <v/>
      </c>
      <c r="AJ489" s="25" t="str">
        <f aca="false">IF(G489="","",IF(Z489&lt;&gt;"",1,0))</f>
        <v/>
      </c>
      <c r="AK489" s="34"/>
      <c r="AL489" s="34"/>
      <c r="AM489" s="35"/>
      <c r="AN489" s="34"/>
      <c r="AO489" s="34"/>
      <c r="AP489" s="35"/>
      <c r="AQ489" s="34"/>
      <c r="AR489" s="34"/>
      <c r="AS489" s="34"/>
      <c r="AT489" s="35"/>
      <c r="AU489" s="35"/>
    </row>
    <row r="490" customFormat="false" ht="15" hidden="false" customHeight="false" outlineLevel="0" collapsed="false">
      <c r="A490" s="24"/>
      <c r="B490" s="24"/>
      <c r="C490" s="24"/>
      <c r="D490" s="24"/>
      <c r="E490" s="24"/>
      <c r="F490" s="24"/>
      <c r="G490" s="24"/>
      <c r="H490" s="24"/>
      <c r="I490" s="32"/>
      <c r="J490" s="32"/>
      <c r="K490" s="32"/>
      <c r="L490" s="32"/>
      <c r="M490" s="24"/>
      <c r="N490" s="24"/>
      <c r="O490" s="24"/>
      <c r="P490" s="33" t="str">
        <f aca="false">IF(AND(G490&lt;&gt;"",I490&lt;&gt;"",J490&lt;&gt;""),(J490-I490)*1440,"")</f>
        <v/>
      </c>
      <c r="Q490" s="33" t="str">
        <f aca="false">IF(AND(G490&lt;&gt;"",J490&lt;&gt;"",K490&lt;&gt;""),(K490-J490)*1440,"")</f>
        <v/>
      </c>
      <c r="R490" s="33" t="str">
        <f aca="false">IF(AND(G490&lt;&gt;"",K490&lt;&gt;"",L490&lt;&gt;""),(L490-K490)*1440,"")</f>
        <v/>
      </c>
      <c r="S490" s="33" t="str">
        <f aca="false">IF(AND(G490&lt;&gt;"",I490&lt;&gt;"",L490&lt;&gt;""),(L490-I490)*1440,"")</f>
        <v/>
      </c>
      <c r="T490" s="33" t="str">
        <f aca="false">IF(G490="","",IFERROR(INDEX(Settings!$B$5:$B$8,MATCH(G490,Settings!$A$5:$A$8,0)),""))</f>
        <v/>
      </c>
      <c r="U490" s="25" t="str">
        <f aca="false">IF(G490="","",IF(S490="","No",IF(S490&lt;=T490,"Yes","No")))</f>
        <v/>
      </c>
      <c r="V490" s="25" t="str">
        <f aca="false">IF(G490="","",IF(AND(J490="",K490="",L490=""),"Telemetry Blind Spot",IF(AND(K490="",L490=""),"Missed Alert",IF(L490="","Triage Delay",IF(S490&lt;=T490,"Detected - Within SLA",IF(AND(R490&lt;&gt;"",R490&gt;IFERROR(INDEX(Settings!$C$5:$C$8,MATCH(G490,Settings!$A$5:$A$8,0)),1E+099)),"Triage Delay","Detected - SLA Breach"))))))</f>
        <v/>
      </c>
      <c r="W490" s="25" t="str">
        <f aca="false">IF(G490="","",IF(L490&lt;&gt;"",1,0))</f>
        <v/>
      </c>
      <c r="X490" s="32"/>
      <c r="Y490" s="32"/>
      <c r="Z490" s="32"/>
      <c r="AA490" s="24"/>
      <c r="AB490" s="24"/>
      <c r="AC490" s="33" t="str">
        <f aca="false">IF(AND(G490&lt;&gt;"",L490&lt;&gt;"",X490&lt;&gt;""),(X490-L490)*1440,"")</f>
        <v/>
      </c>
      <c r="AD490" s="33" t="str">
        <f aca="false">IF(AND(G490&lt;&gt;"",X490&lt;&gt;"",Y490&lt;&gt;""),(Y490-X490)*1440,"")</f>
        <v/>
      </c>
      <c r="AE490" s="33" t="str">
        <f aca="false">IF(AND(G490&lt;&gt;"",Y490&lt;&gt;"",Z490&lt;&gt;""),(Z490-Y490)*1440,"")</f>
        <v/>
      </c>
      <c r="AF490" s="33" t="str">
        <f aca="false">IF(AND(G490&lt;&gt;"",L490&lt;&gt;"",Z490&lt;&gt;""),(Z490-L490)*1440,"")</f>
        <v/>
      </c>
      <c r="AG490" s="33" t="str">
        <f aca="false">IF(G490="","",IFERROR(INDEX(Settings!$D$5:$D$8,MATCH(G490,Settings!$A$5:$A$8,0)),""))</f>
        <v/>
      </c>
      <c r="AH490" s="25" t="str">
        <f aca="false">IF(G490="","",IF(AF490="","No",IF(AF490&lt;=AG490,"Yes","No")))</f>
        <v/>
      </c>
      <c r="AI490" s="25" t="str">
        <f aca="false">IF(G490="","",IF(L490="","N/A - Not Detected",IF(AND(X490="",Y490="",Z490=""),"No Containment Action",IF(Z490="",IF(Y490&lt;&gt;"","C2 Persisted","Host Isolation Gap"),IF(AF490&lt;=AG490,"Contained - Within SLA","Contained - SLA Breach")))))</f>
        <v/>
      </c>
      <c r="AJ490" s="25" t="str">
        <f aca="false">IF(G490="","",IF(Z490&lt;&gt;"",1,0))</f>
        <v/>
      </c>
      <c r="AK490" s="34"/>
      <c r="AL490" s="34"/>
      <c r="AM490" s="35"/>
      <c r="AN490" s="34"/>
      <c r="AO490" s="34"/>
      <c r="AP490" s="35"/>
      <c r="AQ490" s="34"/>
      <c r="AR490" s="34"/>
      <c r="AS490" s="34"/>
      <c r="AT490" s="35"/>
      <c r="AU490" s="35"/>
    </row>
    <row r="491" customFormat="false" ht="15" hidden="false" customHeight="false" outlineLevel="0" collapsed="false">
      <c r="A491" s="24"/>
      <c r="B491" s="24"/>
      <c r="C491" s="24"/>
      <c r="D491" s="24"/>
      <c r="E491" s="24"/>
      <c r="F491" s="24"/>
      <c r="G491" s="24"/>
      <c r="H491" s="24"/>
      <c r="I491" s="32"/>
      <c r="J491" s="32"/>
      <c r="K491" s="32"/>
      <c r="L491" s="32"/>
      <c r="M491" s="24"/>
      <c r="N491" s="24"/>
      <c r="O491" s="24"/>
      <c r="P491" s="33" t="str">
        <f aca="false">IF(AND(G491&lt;&gt;"",I491&lt;&gt;"",J491&lt;&gt;""),(J491-I491)*1440,"")</f>
        <v/>
      </c>
      <c r="Q491" s="33" t="str">
        <f aca="false">IF(AND(G491&lt;&gt;"",J491&lt;&gt;"",K491&lt;&gt;""),(K491-J491)*1440,"")</f>
        <v/>
      </c>
      <c r="R491" s="33" t="str">
        <f aca="false">IF(AND(G491&lt;&gt;"",K491&lt;&gt;"",L491&lt;&gt;""),(L491-K491)*1440,"")</f>
        <v/>
      </c>
      <c r="S491" s="33" t="str">
        <f aca="false">IF(AND(G491&lt;&gt;"",I491&lt;&gt;"",L491&lt;&gt;""),(L491-I491)*1440,"")</f>
        <v/>
      </c>
      <c r="T491" s="33" t="str">
        <f aca="false">IF(G491="","",IFERROR(INDEX(Settings!$B$5:$B$8,MATCH(G491,Settings!$A$5:$A$8,0)),""))</f>
        <v/>
      </c>
      <c r="U491" s="25" t="str">
        <f aca="false">IF(G491="","",IF(S491="","No",IF(S491&lt;=T491,"Yes","No")))</f>
        <v/>
      </c>
      <c r="V491" s="25" t="str">
        <f aca="false">IF(G491="","",IF(AND(J491="",K491="",L491=""),"Telemetry Blind Spot",IF(AND(K491="",L491=""),"Missed Alert",IF(L491="","Triage Delay",IF(S491&lt;=T491,"Detected - Within SLA",IF(AND(R491&lt;&gt;"",R491&gt;IFERROR(INDEX(Settings!$C$5:$C$8,MATCH(G491,Settings!$A$5:$A$8,0)),1E+099)),"Triage Delay","Detected - SLA Breach"))))))</f>
        <v/>
      </c>
      <c r="W491" s="25" t="str">
        <f aca="false">IF(G491="","",IF(L491&lt;&gt;"",1,0))</f>
        <v/>
      </c>
      <c r="X491" s="32"/>
      <c r="Y491" s="32"/>
      <c r="Z491" s="32"/>
      <c r="AA491" s="24"/>
      <c r="AB491" s="24"/>
      <c r="AC491" s="33" t="str">
        <f aca="false">IF(AND(G491&lt;&gt;"",L491&lt;&gt;"",X491&lt;&gt;""),(X491-L491)*1440,"")</f>
        <v/>
      </c>
      <c r="AD491" s="33" t="str">
        <f aca="false">IF(AND(G491&lt;&gt;"",X491&lt;&gt;"",Y491&lt;&gt;""),(Y491-X491)*1440,"")</f>
        <v/>
      </c>
      <c r="AE491" s="33" t="str">
        <f aca="false">IF(AND(G491&lt;&gt;"",Y491&lt;&gt;"",Z491&lt;&gt;""),(Z491-Y491)*1440,"")</f>
        <v/>
      </c>
      <c r="AF491" s="33" t="str">
        <f aca="false">IF(AND(G491&lt;&gt;"",L491&lt;&gt;"",Z491&lt;&gt;""),(Z491-L491)*1440,"")</f>
        <v/>
      </c>
      <c r="AG491" s="33" t="str">
        <f aca="false">IF(G491="","",IFERROR(INDEX(Settings!$D$5:$D$8,MATCH(G491,Settings!$A$5:$A$8,0)),""))</f>
        <v/>
      </c>
      <c r="AH491" s="25" t="str">
        <f aca="false">IF(G491="","",IF(AF491="","No",IF(AF491&lt;=AG491,"Yes","No")))</f>
        <v/>
      </c>
      <c r="AI491" s="25" t="str">
        <f aca="false">IF(G491="","",IF(L491="","N/A - Not Detected",IF(AND(X491="",Y491="",Z491=""),"No Containment Action",IF(Z491="",IF(Y491&lt;&gt;"","C2 Persisted","Host Isolation Gap"),IF(AF491&lt;=AG491,"Contained - Within SLA","Contained - SLA Breach")))))</f>
        <v/>
      </c>
      <c r="AJ491" s="25" t="str">
        <f aca="false">IF(G491="","",IF(Z491&lt;&gt;"",1,0))</f>
        <v/>
      </c>
      <c r="AK491" s="34"/>
      <c r="AL491" s="34"/>
      <c r="AM491" s="35"/>
      <c r="AN491" s="34"/>
      <c r="AO491" s="34"/>
      <c r="AP491" s="35"/>
      <c r="AQ491" s="34"/>
      <c r="AR491" s="34"/>
      <c r="AS491" s="34"/>
      <c r="AT491" s="35"/>
      <c r="AU491" s="35"/>
    </row>
    <row r="492" customFormat="false" ht="15" hidden="false" customHeight="false" outlineLevel="0" collapsed="false">
      <c r="A492" s="24"/>
      <c r="B492" s="24"/>
      <c r="C492" s="24"/>
      <c r="D492" s="24"/>
      <c r="E492" s="24"/>
      <c r="F492" s="24"/>
      <c r="G492" s="24"/>
      <c r="H492" s="24"/>
      <c r="I492" s="32"/>
      <c r="J492" s="32"/>
      <c r="K492" s="32"/>
      <c r="L492" s="32"/>
      <c r="M492" s="24"/>
      <c r="N492" s="24"/>
      <c r="O492" s="24"/>
      <c r="P492" s="33" t="str">
        <f aca="false">IF(AND(G492&lt;&gt;"",I492&lt;&gt;"",J492&lt;&gt;""),(J492-I492)*1440,"")</f>
        <v/>
      </c>
      <c r="Q492" s="33" t="str">
        <f aca="false">IF(AND(G492&lt;&gt;"",J492&lt;&gt;"",K492&lt;&gt;""),(K492-J492)*1440,"")</f>
        <v/>
      </c>
      <c r="R492" s="33" t="str">
        <f aca="false">IF(AND(G492&lt;&gt;"",K492&lt;&gt;"",L492&lt;&gt;""),(L492-K492)*1440,"")</f>
        <v/>
      </c>
      <c r="S492" s="33" t="str">
        <f aca="false">IF(AND(G492&lt;&gt;"",I492&lt;&gt;"",L492&lt;&gt;""),(L492-I492)*1440,"")</f>
        <v/>
      </c>
      <c r="T492" s="33" t="str">
        <f aca="false">IF(G492="","",IFERROR(INDEX(Settings!$B$5:$B$8,MATCH(G492,Settings!$A$5:$A$8,0)),""))</f>
        <v/>
      </c>
      <c r="U492" s="25" t="str">
        <f aca="false">IF(G492="","",IF(S492="","No",IF(S492&lt;=T492,"Yes","No")))</f>
        <v/>
      </c>
      <c r="V492" s="25" t="str">
        <f aca="false">IF(G492="","",IF(AND(J492="",K492="",L492=""),"Telemetry Blind Spot",IF(AND(K492="",L492=""),"Missed Alert",IF(L492="","Triage Delay",IF(S492&lt;=T492,"Detected - Within SLA",IF(AND(R492&lt;&gt;"",R492&gt;IFERROR(INDEX(Settings!$C$5:$C$8,MATCH(G492,Settings!$A$5:$A$8,0)),1E+099)),"Triage Delay","Detected - SLA Breach"))))))</f>
        <v/>
      </c>
      <c r="W492" s="25" t="str">
        <f aca="false">IF(G492="","",IF(L492&lt;&gt;"",1,0))</f>
        <v/>
      </c>
      <c r="X492" s="32"/>
      <c r="Y492" s="32"/>
      <c r="Z492" s="32"/>
      <c r="AA492" s="24"/>
      <c r="AB492" s="24"/>
      <c r="AC492" s="33" t="str">
        <f aca="false">IF(AND(G492&lt;&gt;"",L492&lt;&gt;"",X492&lt;&gt;""),(X492-L492)*1440,"")</f>
        <v/>
      </c>
      <c r="AD492" s="33" t="str">
        <f aca="false">IF(AND(G492&lt;&gt;"",X492&lt;&gt;"",Y492&lt;&gt;""),(Y492-X492)*1440,"")</f>
        <v/>
      </c>
      <c r="AE492" s="33" t="str">
        <f aca="false">IF(AND(G492&lt;&gt;"",Y492&lt;&gt;"",Z492&lt;&gt;""),(Z492-Y492)*1440,"")</f>
        <v/>
      </c>
      <c r="AF492" s="33" t="str">
        <f aca="false">IF(AND(G492&lt;&gt;"",L492&lt;&gt;"",Z492&lt;&gt;""),(Z492-L492)*1440,"")</f>
        <v/>
      </c>
      <c r="AG492" s="33" t="str">
        <f aca="false">IF(G492="","",IFERROR(INDEX(Settings!$D$5:$D$8,MATCH(G492,Settings!$A$5:$A$8,0)),""))</f>
        <v/>
      </c>
      <c r="AH492" s="25" t="str">
        <f aca="false">IF(G492="","",IF(AF492="","No",IF(AF492&lt;=AG492,"Yes","No")))</f>
        <v/>
      </c>
      <c r="AI492" s="25" t="str">
        <f aca="false">IF(G492="","",IF(L492="","N/A - Not Detected",IF(AND(X492="",Y492="",Z492=""),"No Containment Action",IF(Z492="",IF(Y492&lt;&gt;"","C2 Persisted","Host Isolation Gap"),IF(AF492&lt;=AG492,"Contained - Within SLA","Contained - SLA Breach")))))</f>
        <v/>
      </c>
      <c r="AJ492" s="25" t="str">
        <f aca="false">IF(G492="","",IF(Z492&lt;&gt;"",1,0))</f>
        <v/>
      </c>
      <c r="AK492" s="34"/>
      <c r="AL492" s="34"/>
      <c r="AM492" s="35"/>
      <c r="AN492" s="34"/>
      <c r="AO492" s="34"/>
      <c r="AP492" s="35"/>
      <c r="AQ492" s="34"/>
      <c r="AR492" s="34"/>
      <c r="AS492" s="34"/>
      <c r="AT492" s="35"/>
      <c r="AU492" s="35"/>
    </row>
    <row r="493" customFormat="false" ht="15" hidden="false" customHeight="false" outlineLevel="0" collapsed="false">
      <c r="A493" s="24"/>
      <c r="B493" s="24"/>
      <c r="C493" s="24"/>
      <c r="D493" s="24"/>
      <c r="E493" s="24"/>
      <c r="F493" s="24"/>
      <c r="G493" s="24"/>
      <c r="H493" s="24"/>
      <c r="I493" s="32"/>
      <c r="J493" s="32"/>
      <c r="K493" s="32"/>
      <c r="L493" s="32"/>
      <c r="M493" s="24"/>
      <c r="N493" s="24"/>
      <c r="O493" s="24"/>
      <c r="P493" s="33" t="str">
        <f aca="false">IF(AND(G493&lt;&gt;"",I493&lt;&gt;"",J493&lt;&gt;""),(J493-I493)*1440,"")</f>
        <v/>
      </c>
      <c r="Q493" s="33" t="str">
        <f aca="false">IF(AND(G493&lt;&gt;"",J493&lt;&gt;"",K493&lt;&gt;""),(K493-J493)*1440,"")</f>
        <v/>
      </c>
      <c r="R493" s="33" t="str">
        <f aca="false">IF(AND(G493&lt;&gt;"",K493&lt;&gt;"",L493&lt;&gt;""),(L493-K493)*1440,"")</f>
        <v/>
      </c>
      <c r="S493" s="33" t="str">
        <f aca="false">IF(AND(G493&lt;&gt;"",I493&lt;&gt;"",L493&lt;&gt;""),(L493-I493)*1440,"")</f>
        <v/>
      </c>
      <c r="T493" s="33" t="str">
        <f aca="false">IF(G493="","",IFERROR(INDEX(Settings!$B$5:$B$8,MATCH(G493,Settings!$A$5:$A$8,0)),""))</f>
        <v/>
      </c>
      <c r="U493" s="25" t="str">
        <f aca="false">IF(G493="","",IF(S493="","No",IF(S493&lt;=T493,"Yes","No")))</f>
        <v/>
      </c>
      <c r="V493" s="25" t="str">
        <f aca="false">IF(G493="","",IF(AND(J493="",K493="",L493=""),"Telemetry Blind Spot",IF(AND(K493="",L493=""),"Missed Alert",IF(L493="","Triage Delay",IF(S493&lt;=T493,"Detected - Within SLA",IF(AND(R493&lt;&gt;"",R493&gt;IFERROR(INDEX(Settings!$C$5:$C$8,MATCH(G493,Settings!$A$5:$A$8,0)),1E+099)),"Triage Delay","Detected - SLA Breach"))))))</f>
        <v/>
      </c>
      <c r="W493" s="25" t="str">
        <f aca="false">IF(G493="","",IF(L493&lt;&gt;"",1,0))</f>
        <v/>
      </c>
      <c r="X493" s="32"/>
      <c r="Y493" s="32"/>
      <c r="Z493" s="32"/>
      <c r="AA493" s="24"/>
      <c r="AB493" s="24"/>
      <c r="AC493" s="33" t="str">
        <f aca="false">IF(AND(G493&lt;&gt;"",L493&lt;&gt;"",X493&lt;&gt;""),(X493-L493)*1440,"")</f>
        <v/>
      </c>
      <c r="AD493" s="33" t="str">
        <f aca="false">IF(AND(G493&lt;&gt;"",X493&lt;&gt;"",Y493&lt;&gt;""),(Y493-X493)*1440,"")</f>
        <v/>
      </c>
      <c r="AE493" s="33" t="str">
        <f aca="false">IF(AND(G493&lt;&gt;"",Y493&lt;&gt;"",Z493&lt;&gt;""),(Z493-Y493)*1440,"")</f>
        <v/>
      </c>
      <c r="AF493" s="33" t="str">
        <f aca="false">IF(AND(G493&lt;&gt;"",L493&lt;&gt;"",Z493&lt;&gt;""),(Z493-L493)*1440,"")</f>
        <v/>
      </c>
      <c r="AG493" s="33" t="str">
        <f aca="false">IF(G493="","",IFERROR(INDEX(Settings!$D$5:$D$8,MATCH(G493,Settings!$A$5:$A$8,0)),""))</f>
        <v/>
      </c>
      <c r="AH493" s="25" t="str">
        <f aca="false">IF(G493="","",IF(AF493="","No",IF(AF493&lt;=AG493,"Yes","No")))</f>
        <v/>
      </c>
      <c r="AI493" s="25" t="str">
        <f aca="false">IF(G493="","",IF(L493="","N/A - Not Detected",IF(AND(X493="",Y493="",Z493=""),"No Containment Action",IF(Z493="",IF(Y493&lt;&gt;"","C2 Persisted","Host Isolation Gap"),IF(AF493&lt;=AG493,"Contained - Within SLA","Contained - SLA Breach")))))</f>
        <v/>
      </c>
      <c r="AJ493" s="25" t="str">
        <f aca="false">IF(G493="","",IF(Z493&lt;&gt;"",1,0))</f>
        <v/>
      </c>
      <c r="AK493" s="34"/>
      <c r="AL493" s="34"/>
      <c r="AM493" s="35"/>
      <c r="AN493" s="34"/>
      <c r="AO493" s="34"/>
      <c r="AP493" s="35"/>
      <c r="AQ493" s="34"/>
      <c r="AR493" s="34"/>
      <c r="AS493" s="34"/>
      <c r="AT493" s="35"/>
      <c r="AU493" s="35"/>
    </row>
    <row r="494" customFormat="false" ht="15" hidden="false" customHeight="false" outlineLevel="0" collapsed="false">
      <c r="A494" s="24"/>
      <c r="B494" s="24"/>
      <c r="C494" s="24"/>
      <c r="D494" s="24"/>
      <c r="E494" s="24"/>
      <c r="F494" s="24"/>
      <c r="G494" s="24"/>
      <c r="H494" s="24"/>
      <c r="I494" s="32"/>
      <c r="J494" s="32"/>
      <c r="K494" s="32"/>
      <c r="L494" s="32"/>
      <c r="M494" s="24"/>
      <c r="N494" s="24"/>
      <c r="O494" s="24"/>
      <c r="P494" s="33" t="str">
        <f aca="false">IF(AND(G494&lt;&gt;"",I494&lt;&gt;"",J494&lt;&gt;""),(J494-I494)*1440,"")</f>
        <v/>
      </c>
      <c r="Q494" s="33" t="str">
        <f aca="false">IF(AND(G494&lt;&gt;"",J494&lt;&gt;"",K494&lt;&gt;""),(K494-J494)*1440,"")</f>
        <v/>
      </c>
      <c r="R494" s="33" t="str">
        <f aca="false">IF(AND(G494&lt;&gt;"",K494&lt;&gt;"",L494&lt;&gt;""),(L494-K494)*1440,"")</f>
        <v/>
      </c>
      <c r="S494" s="33" t="str">
        <f aca="false">IF(AND(G494&lt;&gt;"",I494&lt;&gt;"",L494&lt;&gt;""),(L494-I494)*1440,"")</f>
        <v/>
      </c>
      <c r="T494" s="33" t="str">
        <f aca="false">IF(G494="","",IFERROR(INDEX(Settings!$B$5:$B$8,MATCH(G494,Settings!$A$5:$A$8,0)),""))</f>
        <v/>
      </c>
      <c r="U494" s="25" t="str">
        <f aca="false">IF(G494="","",IF(S494="","No",IF(S494&lt;=T494,"Yes","No")))</f>
        <v/>
      </c>
      <c r="V494" s="25" t="str">
        <f aca="false">IF(G494="","",IF(AND(J494="",K494="",L494=""),"Telemetry Blind Spot",IF(AND(K494="",L494=""),"Missed Alert",IF(L494="","Triage Delay",IF(S494&lt;=T494,"Detected - Within SLA",IF(AND(R494&lt;&gt;"",R494&gt;IFERROR(INDEX(Settings!$C$5:$C$8,MATCH(G494,Settings!$A$5:$A$8,0)),1E+099)),"Triage Delay","Detected - SLA Breach"))))))</f>
        <v/>
      </c>
      <c r="W494" s="25" t="str">
        <f aca="false">IF(G494="","",IF(L494&lt;&gt;"",1,0))</f>
        <v/>
      </c>
      <c r="X494" s="32"/>
      <c r="Y494" s="32"/>
      <c r="Z494" s="32"/>
      <c r="AA494" s="24"/>
      <c r="AB494" s="24"/>
      <c r="AC494" s="33" t="str">
        <f aca="false">IF(AND(G494&lt;&gt;"",L494&lt;&gt;"",X494&lt;&gt;""),(X494-L494)*1440,"")</f>
        <v/>
      </c>
      <c r="AD494" s="33" t="str">
        <f aca="false">IF(AND(G494&lt;&gt;"",X494&lt;&gt;"",Y494&lt;&gt;""),(Y494-X494)*1440,"")</f>
        <v/>
      </c>
      <c r="AE494" s="33" t="str">
        <f aca="false">IF(AND(G494&lt;&gt;"",Y494&lt;&gt;"",Z494&lt;&gt;""),(Z494-Y494)*1440,"")</f>
        <v/>
      </c>
      <c r="AF494" s="33" t="str">
        <f aca="false">IF(AND(G494&lt;&gt;"",L494&lt;&gt;"",Z494&lt;&gt;""),(Z494-L494)*1440,"")</f>
        <v/>
      </c>
      <c r="AG494" s="33" t="str">
        <f aca="false">IF(G494="","",IFERROR(INDEX(Settings!$D$5:$D$8,MATCH(G494,Settings!$A$5:$A$8,0)),""))</f>
        <v/>
      </c>
      <c r="AH494" s="25" t="str">
        <f aca="false">IF(G494="","",IF(AF494="","No",IF(AF494&lt;=AG494,"Yes","No")))</f>
        <v/>
      </c>
      <c r="AI494" s="25" t="str">
        <f aca="false">IF(G494="","",IF(L494="","N/A - Not Detected",IF(AND(X494="",Y494="",Z494=""),"No Containment Action",IF(Z494="",IF(Y494&lt;&gt;"","C2 Persisted","Host Isolation Gap"),IF(AF494&lt;=AG494,"Contained - Within SLA","Contained - SLA Breach")))))</f>
        <v/>
      </c>
      <c r="AJ494" s="25" t="str">
        <f aca="false">IF(G494="","",IF(Z494&lt;&gt;"",1,0))</f>
        <v/>
      </c>
      <c r="AK494" s="34"/>
      <c r="AL494" s="34"/>
      <c r="AM494" s="35"/>
      <c r="AN494" s="34"/>
      <c r="AO494" s="34"/>
      <c r="AP494" s="35"/>
      <c r="AQ494" s="34"/>
      <c r="AR494" s="34"/>
      <c r="AS494" s="34"/>
      <c r="AT494" s="35"/>
      <c r="AU494" s="35"/>
    </row>
    <row r="495" customFormat="false" ht="15" hidden="false" customHeight="false" outlineLevel="0" collapsed="false">
      <c r="A495" s="24"/>
      <c r="B495" s="24"/>
      <c r="C495" s="24"/>
      <c r="D495" s="24"/>
      <c r="E495" s="24"/>
      <c r="F495" s="24"/>
      <c r="G495" s="24"/>
      <c r="H495" s="24"/>
      <c r="I495" s="32"/>
      <c r="J495" s="32"/>
      <c r="K495" s="32"/>
      <c r="L495" s="32"/>
      <c r="M495" s="24"/>
      <c r="N495" s="24"/>
      <c r="O495" s="24"/>
      <c r="P495" s="33" t="str">
        <f aca="false">IF(AND(G495&lt;&gt;"",I495&lt;&gt;"",J495&lt;&gt;""),(J495-I495)*1440,"")</f>
        <v/>
      </c>
      <c r="Q495" s="33" t="str">
        <f aca="false">IF(AND(G495&lt;&gt;"",J495&lt;&gt;"",K495&lt;&gt;""),(K495-J495)*1440,"")</f>
        <v/>
      </c>
      <c r="R495" s="33" t="str">
        <f aca="false">IF(AND(G495&lt;&gt;"",K495&lt;&gt;"",L495&lt;&gt;""),(L495-K495)*1440,"")</f>
        <v/>
      </c>
      <c r="S495" s="33" t="str">
        <f aca="false">IF(AND(G495&lt;&gt;"",I495&lt;&gt;"",L495&lt;&gt;""),(L495-I495)*1440,"")</f>
        <v/>
      </c>
      <c r="T495" s="33" t="str">
        <f aca="false">IF(G495="","",IFERROR(INDEX(Settings!$B$5:$B$8,MATCH(G495,Settings!$A$5:$A$8,0)),""))</f>
        <v/>
      </c>
      <c r="U495" s="25" t="str">
        <f aca="false">IF(G495="","",IF(S495="","No",IF(S495&lt;=T495,"Yes","No")))</f>
        <v/>
      </c>
      <c r="V495" s="25" t="str">
        <f aca="false">IF(G495="","",IF(AND(J495="",K495="",L495=""),"Telemetry Blind Spot",IF(AND(K495="",L495=""),"Missed Alert",IF(L495="","Triage Delay",IF(S495&lt;=T495,"Detected - Within SLA",IF(AND(R495&lt;&gt;"",R495&gt;IFERROR(INDEX(Settings!$C$5:$C$8,MATCH(G495,Settings!$A$5:$A$8,0)),1E+099)),"Triage Delay","Detected - SLA Breach"))))))</f>
        <v/>
      </c>
      <c r="W495" s="25" t="str">
        <f aca="false">IF(G495="","",IF(L495&lt;&gt;"",1,0))</f>
        <v/>
      </c>
      <c r="X495" s="32"/>
      <c r="Y495" s="32"/>
      <c r="Z495" s="32"/>
      <c r="AA495" s="24"/>
      <c r="AB495" s="24"/>
      <c r="AC495" s="33" t="str">
        <f aca="false">IF(AND(G495&lt;&gt;"",L495&lt;&gt;"",X495&lt;&gt;""),(X495-L495)*1440,"")</f>
        <v/>
      </c>
      <c r="AD495" s="33" t="str">
        <f aca="false">IF(AND(G495&lt;&gt;"",X495&lt;&gt;"",Y495&lt;&gt;""),(Y495-X495)*1440,"")</f>
        <v/>
      </c>
      <c r="AE495" s="33" t="str">
        <f aca="false">IF(AND(G495&lt;&gt;"",Y495&lt;&gt;"",Z495&lt;&gt;""),(Z495-Y495)*1440,"")</f>
        <v/>
      </c>
      <c r="AF495" s="33" t="str">
        <f aca="false">IF(AND(G495&lt;&gt;"",L495&lt;&gt;"",Z495&lt;&gt;""),(Z495-L495)*1440,"")</f>
        <v/>
      </c>
      <c r="AG495" s="33" t="str">
        <f aca="false">IF(G495="","",IFERROR(INDEX(Settings!$D$5:$D$8,MATCH(G495,Settings!$A$5:$A$8,0)),""))</f>
        <v/>
      </c>
      <c r="AH495" s="25" t="str">
        <f aca="false">IF(G495="","",IF(AF495="","No",IF(AF495&lt;=AG495,"Yes","No")))</f>
        <v/>
      </c>
      <c r="AI495" s="25" t="str">
        <f aca="false">IF(G495="","",IF(L495="","N/A - Not Detected",IF(AND(X495="",Y495="",Z495=""),"No Containment Action",IF(Z495="",IF(Y495&lt;&gt;"","C2 Persisted","Host Isolation Gap"),IF(AF495&lt;=AG495,"Contained - Within SLA","Contained - SLA Breach")))))</f>
        <v/>
      </c>
      <c r="AJ495" s="25" t="str">
        <f aca="false">IF(G495="","",IF(Z495&lt;&gt;"",1,0))</f>
        <v/>
      </c>
      <c r="AK495" s="34"/>
      <c r="AL495" s="34"/>
      <c r="AM495" s="35"/>
      <c r="AN495" s="34"/>
      <c r="AO495" s="34"/>
      <c r="AP495" s="35"/>
      <c r="AQ495" s="34"/>
      <c r="AR495" s="34"/>
      <c r="AS495" s="34"/>
      <c r="AT495" s="35"/>
      <c r="AU495" s="35"/>
    </row>
    <row r="496" customFormat="false" ht="15" hidden="false" customHeight="false" outlineLevel="0" collapsed="false">
      <c r="A496" s="24"/>
      <c r="B496" s="24"/>
      <c r="C496" s="24"/>
      <c r="D496" s="24"/>
      <c r="E496" s="24"/>
      <c r="F496" s="24"/>
      <c r="G496" s="24"/>
      <c r="H496" s="24"/>
      <c r="I496" s="32"/>
      <c r="J496" s="32"/>
      <c r="K496" s="32"/>
      <c r="L496" s="32"/>
      <c r="M496" s="24"/>
      <c r="N496" s="24"/>
      <c r="O496" s="24"/>
      <c r="P496" s="33" t="str">
        <f aca="false">IF(AND(G496&lt;&gt;"",I496&lt;&gt;"",J496&lt;&gt;""),(J496-I496)*1440,"")</f>
        <v/>
      </c>
      <c r="Q496" s="33" t="str">
        <f aca="false">IF(AND(G496&lt;&gt;"",J496&lt;&gt;"",K496&lt;&gt;""),(K496-J496)*1440,"")</f>
        <v/>
      </c>
      <c r="R496" s="33" t="str">
        <f aca="false">IF(AND(G496&lt;&gt;"",K496&lt;&gt;"",L496&lt;&gt;""),(L496-K496)*1440,"")</f>
        <v/>
      </c>
      <c r="S496" s="33" t="str">
        <f aca="false">IF(AND(G496&lt;&gt;"",I496&lt;&gt;"",L496&lt;&gt;""),(L496-I496)*1440,"")</f>
        <v/>
      </c>
      <c r="T496" s="33" t="str">
        <f aca="false">IF(G496="","",IFERROR(INDEX(Settings!$B$5:$B$8,MATCH(G496,Settings!$A$5:$A$8,0)),""))</f>
        <v/>
      </c>
      <c r="U496" s="25" t="str">
        <f aca="false">IF(G496="","",IF(S496="","No",IF(S496&lt;=T496,"Yes","No")))</f>
        <v/>
      </c>
      <c r="V496" s="25" t="str">
        <f aca="false">IF(G496="","",IF(AND(J496="",K496="",L496=""),"Telemetry Blind Spot",IF(AND(K496="",L496=""),"Missed Alert",IF(L496="","Triage Delay",IF(S496&lt;=T496,"Detected - Within SLA",IF(AND(R496&lt;&gt;"",R496&gt;IFERROR(INDEX(Settings!$C$5:$C$8,MATCH(G496,Settings!$A$5:$A$8,0)),1E+099)),"Triage Delay","Detected - SLA Breach"))))))</f>
        <v/>
      </c>
      <c r="W496" s="25" t="str">
        <f aca="false">IF(G496="","",IF(L496&lt;&gt;"",1,0))</f>
        <v/>
      </c>
      <c r="X496" s="32"/>
      <c r="Y496" s="32"/>
      <c r="Z496" s="32"/>
      <c r="AA496" s="24"/>
      <c r="AB496" s="24"/>
      <c r="AC496" s="33" t="str">
        <f aca="false">IF(AND(G496&lt;&gt;"",L496&lt;&gt;"",X496&lt;&gt;""),(X496-L496)*1440,"")</f>
        <v/>
      </c>
      <c r="AD496" s="33" t="str">
        <f aca="false">IF(AND(G496&lt;&gt;"",X496&lt;&gt;"",Y496&lt;&gt;""),(Y496-X496)*1440,"")</f>
        <v/>
      </c>
      <c r="AE496" s="33" t="str">
        <f aca="false">IF(AND(G496&lt;&gt;"",Y496&lt;&gt;"",Z496&lt;&gt;""),(Z496-Y496)*1440,"")</f>
        <v/>
      </c>
      <c r="AF496" s="33" t="str">
        <f aca="false">IF(AND(G496&lt;&gt;"",L496&lt;&gt;"",Z496&lt;&gt;""),(Z496-L496)*1440,"")</f>
        <v/>
      </c>
      <c r="AG496" s="33" t="str">
        <f aca="false">IF(G496="","",IFERROR(INDEX(Settings!$D$5:$D$8,MATCH(G496,Settings!$A$5:$A$8,0)),""))</f>
        <v/>
      </c>
      <c r="AH496" s="25" t="str">
        <f aca="false">IF(G496="","",IF(AF496="","No",IF(AF496&lt;=AG496,"Yes","No")))</f>
        <v/>
      </c>
      <c r="AI496" s="25" t="str">
        <f aca="false">IF(G496="","",IF(L496="","N/A - Not Detected",IF(AND(X496="",Y496="",Z496=""),"No Containment Action",IF(Z496="",IF(Y496&lt;&gt;"","C2 Persisted","Host Isolation Gap"),IF(AF496&lt;=AG496,"Contained - Within SLA","Contained - SLA Breach")))))</f>
        <v/>
      </c>
      <c r="AJ496" s="25" t="str">
        <f aca="false">IF(G496="","",IF(Z496&lt;&gt;"",1,0))</f>
        <v/>
      </c>
      <c r="AK496" s="34"/>
      <c r="AL496" s="34"/>
      <c r="AM496" s="35"/>
      <c r="AN496" s="34"/>
      <c r="AO496" s="34"/>
      <c r="AP496" s="35"/>
      <c r="AQ496" s="34"/>
      <c r="AR496" s="34"/>
      <c r="AS496" s="34"/>
      <c r="AT496" s="35"/>
      <c r="AU496" s="35"/>
    </row>
    <row r="497" customFormat="false" ht="15" hidden="false" customHeight="false" outlineLevel="0" collapsed="false">
      <c r="A497" s="24"/>
      <c r="B497" s="24"/>
      <c r="C497" s="24"/>
      <c r="D497" s="24"/>
      <c r="E497" s="24"/>
      <c r="F497" s="24"/>
      <c r="G497" s="24"/>
      <c r="H497" s="24"/>
      <c r="I497" s="32"/>
      <c r="J497" s="32"/>
      <c r="K497" s="32"/>
      <c r="L497" s="32"/>
      <c r="M497" s="24"/>
      <c r="N497" s="24"/>
      <c r="O497" s="24"/>
      <c r="P497" s="33" t="str">
        <f aca="false">IF(AND(G497&lt;&gt;"",I497&lt;&gt;"",J497&lt;&gt;""),(J497-I497)*1440,"")</f>
        <v/>
      </c>
      <c r="Q497" s="33" t="str">
        <f aca="false">IF(AND(G497&lt;&gt;"",J497&lt;&gt;"",K497&lt;&gt;""),(K497-J497)*1440,"")</f>
        <v/>
      </c>
      <c r="R497" s="33" t="str">
        <f aca="false">IF(AND(G497&lt;&gt;"",K497&lt;&gt;"",L497&lt;&gt;""),(L497-K497)*1440,"")</f>
        <v/>
      </c>
      <c r="S497" s="33" t="str">
        <f aca="false">IF(AND(G497&lt;&gt;"",I497&lt;&gt;"",L497&lt;&gt;""),(L497-I497)*1440,"")</f>
        <v/>
      </c>
      <c r="T497" s="33" t="str">
        <f aca="false">IF(G497="","",IFERROR(INDEX(Settings!$B$5:$B$8,MATCH(G497,Settings!$A$5:$A$8,0)),""))</f>
        <v/>
      </c>
      <c r="U497" s="25" t="str">
        <f aca="false">IF(G497="","",IF(S497="","No",IF(S497&lt;=T497,"Yes","No")))</f>
        <v/>
      </c>
      <c r="V497" s="25" t="str">
        <f aca="false">IF(G497="","",IF(AND(J497="",K497="",L497=""),"Telemetry Blind Spot",IF(AND(K497="",L497=""),"Missed Alert",IF(L497="","Triage Delay",IF(S497&lt;=T497,"Detected - Within SLA",IF(AND(R497&lt;&gt;"",R497&gt;IFERROR(INDEX(Settings!$C$5:$C$8,MATCH(G497,Settings!$A$5:$A$8,0)),1E+099)),"Triage Delay","Detected - SLA Breach"))))))</f>
        <v/>
      </c>
      <c r="W497" s="25" t="str">
        <f aca="false">IF(G497="","",IF(L497&lt;&gt;"",1,0))</f>
        <v/>
      </c>
      <c r="X497" s="32"/>
      <c r="Y497" s="32"/>
      <c r="Z497" s="32"/>
      <c r="AA497" s="24"/>
      <c r="AB497" s="24"/>
      <c r="AC497" s="33" t="str">
        <f aca="false">IF(AND(G497&lt;&gt;"",L497&lt;&gt;"",X497&lt;&gt;""),(X497-L497)*1440,"")</f>
        <v/>
      </c>
      <c r="AD497" s="33" t="str">
        <f aca="false">IF(AND(G497&lt;&gt;"",X497&lt;&gt;"",Y497&lt;&gt;""),(Y497-X497)*1440,"")</f>
        <v/>
      </c>
      <c r="AE497" s="33" t="str">
        <f aca="false">IF(AND(G497&lt;&gt;"",Y497&lt;&gt;"",Z497&lt;&gt;""),(Z497-Y497)*1440,"")</f>
        <v/>
      </c>
      <c r="AF497" s="33" t="str">
        <f aca="false">IF(AND(G497&lt;&gt;"",L497&lt;&gt;"",Z497&lt;&gt;""),(Z497-L497)*1440,"")</f>
        <v/>
      </c>
      <c r="AG497" s="33" t="str">
        <f aca="false">IF(G497="","",IFERROR(INDEX(Settings!$D$5:$D$8,MATCH(G497,Settings!$A$5:$A$8,0)),""))</f>
        <v/>
      </c>
      <c r="AH497" s="25" t="str">
        <f aca="false">IF(G497="","",IF(AF497="","No",IF(AF497&lt;=AG497,"Yes","No")))</f>
        <v/>
      </c>
      <c r="AI497" s="25" t="str">
        <f aca="false">IF(G497="","",IF(L497="","N/A - Not Detected",IF(AND(X497="",Y497="",Z497=""),"No Containment Action",IF(Z497="",IF(Y497&lt;&gt;"","C2 Persisted","Host Isolation Gap"),IF(AF497&lt;=AG497,"Contained - Within SLA","Contained - SLA Breach")))))</f>
        <v/>
      </c>
      <c r="AJ497" s="25" t="str">
        <f aca="false">IF(G497="","",IF(Z497&lt;&gt;"",1,0))</f>
        <v/>
      </c>
      <c r="AK497" s="34"/>
      <c r="AL497" s="34"/>
      <c r="AM497" s="35"/>
      <c r="AN497" s="34"/>
      <c r="AO497" s="34"/>
      <c r="AP497" s="35"/>
      <c r="AQ497" s="34"/>
      <c r="AR497" s="34"/>
      <c r="AS497" s="34"/>
      <c r="AT497" s="35"/>
      <c r="AU497" s="35"/>
    </row>
    <row r="498" customFormat="false" ht="15" hidden="false" customHeight="false" outlineLevel="0" collapsed="false">
      <c r="A498" s="24"/>
      <c r="B498" s="24"/>
      <c r="C498" s="24"/>
      <c r="D498" s="24"/>
      <c r="E498" s="24"/>
      <c r="F498" s="24"/>
      <c r="G498" s="24"/>
      <c r="H498" s="24"/>
      <c r="I498" s="32"/>
      <c r="J498" s="32"/>
      <c r="K498" s="32"/>
      <c r="L498" s="32"/>
      <c r="M498" s="24"/>
      <c r="N498" s="24"/>
      <c r="O498" s="24"/>
      <c r="P498" s="33" t="str">
        <f aca="false">IF(AND(G498&lt;&gt;"",I498&lt;&gt;"",J498&lt;&gt;""),(J498-I498)*1440,"")</f>
        <v/>
      </c>
      <c r="Q498" s="33" t="str">
        <f aca="false">IF(AND(G498&lt;&gt;"",J498&lt;&gt;"",K498&lt;&gt;""),(K498-J498)*1440,"")</f>
        <v/>
      </c>
      <c r="R498" s="33" t="str">
        <f aca="false">IF(AND(G498&lt;&gt;"",K498&lt;&gt;"",L498&lt;&gt;""),(L498-K498)*1440,"")</f>
        <v/>
      </c>
      <c r="S498" s="33" t="str">
        <f aca="false">IF(AND(G498&lt;&gt;"",I498&lt;&gt;"",L498&lt;&gt;""),(L498-I498)*1440,"")</f>
        <v/>
      </c>
      <c r="T498" s="33" t="str">
        <f aca="false">IF(G498="","",IFERROR(INDEX(Settings!$B$5:$B$8,MATCH(G498,Settings!$A$5:$A$8,0)),""))</f>
        <v/>
      </c>
      <c r="U498" s="25" t="str">
        <f aca="false">IF(G498="","",IF(S498="","No",IF(S498&lt;=T498,"Yes","No")))</f>
        <v/>
      </c>
      <c r="V498" s="25" t="str">
        <f aca="false">IF(G498="","",IF(AND(J498="",K498="",L498=""),"Telemetry Blind Spot",IF(AND(K498="",L498=""),"Missed Alert",IF(L498="","Triage Delay",IF(S498&lt;=T498,"Detected - Within SLA",IF(AND(R498&lt;&gt;"",R498&gt;IFERROR(INDEX(Settings!$C$5:$C$8,MATCH(G498,Settings!$A$5:$A$8,0)),1E+099)),"Triage Delay","Detected - SLA Breach"))))))</f>
        <v/>
      </c>
      <c r="W498" s="25" t="str">
        <f aca="false">IF(G498="","",IF(L498&lt;&gt;"",1,0))</f>
        <v/>
      </c>
      <c r="X498" s="32"/>
      <c r="Y498" s="32"/>
      <c r="Z498" s="32"/>
      <c r="AA498" s="24"/>
      <c r="AB498" s="24"/>
      <c r="AC498" s="33" t="str">
        <f aca="false">IF(AND(G498&lt;&gt;"",L498&lt;&gt;"",X498&lt;&gt;""),(X498-L498)*1440,"")</f>
        <v/>
      </c>
      <c r="AD498" s="33" t="str">
        <f aca="false">IF(AND(G498&lt;&gt;"",X498&lt;&gt;"",Y498&lt;&gt;""),(Y498-X498)*1440,"")</f>
        <v/>
      </c>
      <c r="AE498" s="33" t="str">
        <f aca="false">IF(AND(G498&lt;&gt;"",Y498&lt;&gt;"",Z498&lt;&gt;""),(Z498-Y498)*1440,"")</f>
        <v/>
      </c>
      <c r="AF498" s="33" t="str">
        <f aca="false">IF(AND(G498&lt;&gt;"",L498&lt;&gt;"",Z498&lt;&gt;""),(Z498-L498)*1440,"")</f>
        <v/>
      </c>
      <c r="AG498" s="33" t="str">
        <f aca="false">IF(G498="","",IFERROR(INDEX(Settings!$D$5:$D$8,MATCH(G498,Settings!$A$5:$A$8,0)),""))</f>
        <v/>
      </c>
      <c r="AH498" s="25" t="str">
        <f aca="false">IF(G498="","",IF(AF498="","No",IF(AF498&lt;=AG498,"Yes","No")))</f>
        <v/>
      </c>
      <c r="AI498" s="25" t="str">
        <f aca="false">IF(G498="","",IF(L498="","N/A - Not Detected",IF(AND(X498="",Y498="",Z498=""),"No Containment Action",IF(Z498="",IF(Y498&lt;&gt;"","C2 Persisted","Host Isolation Gap"),IF(AF498&lt;=AG498,"Contained - Within SLA","Contained - SLA Breach")))))</f>
        <v/>
      </c>
      <c r="AJ498" s="25" t="str">
        <f aca="false">IF(G498="","",IF(Z498&lt;&gt;"",1,0))</f>
        <v/>
      </c>
      <c r="AK498" s="34"/>
      <c r="AL498" s="34"/>
      <c r="AM498" s="35"/>
      <c r="AN498" s="34"/>
      <c r="AO498" s="34"/>
      <c r="AP498" s="35"/>
      <c r="AQ498" s="34"/>
      <c r="AR498" s="34"/>
      <c r="AS498" s="34"/>
      <c r="AT498" s="35"/>
      <c r="AU498" s="35"/>
    </row>
    <row r="499" customFormat="false" ht="15" hidden="false" customHeight="false" outlineLevel="0" collapsed="false">
      <c r="A499" s="24"/>
      <c r="B499" s="24"/>
      <c r="C499" s="24"/>
      <c r="D499" s="24"/>
      <c r="E499" s="24"/>
      <c r="F499" s="24"/>
      <c r="G499" s="24"/>
      <c r="H499" s="24"/>
      <c r="I499" s="32"/>
      <c r="J499" s="32"/>
      <c r="K499" s="32"/>
      <c r="L499" s="32"/>
      <c r="M499" s="24"/>
      <c r="N499" s="24"/>
      <c r="O499" s="24"/>
      <c r="P499" s="33" t="str">
        <f aca="false">IF(AND(G499&lt;&gt;"",I499&lt;&gt;"",J499&lt;&gt;""),(J499-I499)*1440,"")</f>
        <v/>
      </c>
      <c r="Q499" s="33" t="str">
        <f aca="false">IF(AND(G499&lt;&gt;"",J499&lt;&gt;"",K499&lt;&gt;""),(K499-J499)*1440,"")</f>
        <v/>
      </c>
      <c r="R499" s="33" t="str">
        <f aca="false">IF(AND(G499&lt;&gt;"",K499&lt;&gt;"",L499&lt;&gt;""),(L499-K499)*1440,"")</f>
        <v/>
      </c>
      <c r="S499" s="33" t="str">
        <f aca="false">IF(AND(G499&lt;&gt;"",I499&lt;&gt;"",L499&lt;&gt;""),(L499-I499)*1440,"")</f>
        <v/>
      </c>
      <c r="T499" s="33" t="str">
        <f aca="false">IF(G499="","",IFERROR(INDEX(Settings!$B$5:$B$8,MATCH(G499,Settings!$A$5:$A$8,0)),""))</f>
        <v/>
      </c>
      <c r="U499" s="25" t="str">
        <f aca="false">IF(G499="","",IF(S499="","No",IF(S499&lt;=T499,"Yes","No")))</f>
        <v/>
      </c>
      <c r="V499" s="25" t="str">
        <f aca="false">IF(G499="","",IF(AND(J499="",K499="",L499=""),"Telemetry Blind Spot",IF(AND(K499="",L499=""),"Missed Alert",IF(L499="","Triage Delay",IF(S499&lt;=T499,"Detected - Within SLA",IF(AND(R499&lt;&gt;"",R499&gt;IFERROR(INDEX(Settings!$C$5:$C$8,MATCH(G499,Settings!$A$5:$A$8,0)),1E+099)),"Triage Delay","Detected - SLA Breach"))))))</f>
        <v/>
      </c>
      <c r="W499" s="25" t="str">
        <f aca="false">IF(G499="","",IF(L499&lt;&gt;"",1,0))</f>
        <v/>
      </c>
      <c r="X499" s="32"/>
      <c r="Y499" s="32"/>
      <c r="Z499" s="32"/>
      <c r="AA499" s="24"/>
      <c r="AB499" s="24"/>
      <c r="AC499" s="33" t="str">
        <f aca="false">IF(AND(G499&lt;&gt;"",L499&lt;&gt;"",X499&lt;&gt;""),(X499-L499)*1440,"")</f>
        <v/>
      </c>
      <c r="AD499" s="33" t="str">
        <f aca="false">IF(AND(G499&lt;&gt;"",X499&lt;&gt;"",Y499&lt;&gt;""),(Y499-X499)*1440,"")</f>
        <v/>
      </c>
      <c r="AE499" s="33" t="str">
        <f aca="false">IF(AND(G499&lt;&gt;"",Y499&lt;&gt;"",Z499&lt;&gt;""),(Z499-Y499)*1440,"")</f>
        <v/>
      </c>
      <c r="AF499" s="33" t="str">
        <f aca="false">IF(AND(G499&lt;&gt;"",L499&lt;&gt;"",Z499&lt;&gt;""),(Z499-L499)*1440,"")</f>
        <v/>
      </c>
      <c r="AG499" s="33" t="str">
        <f aca="false">IF(G499="","",IFERROR(INDEX(Settings!$D$5:$D$8,MATCH(G499,Settings!$A$5:$A$8,0)),""))</f>
        <v/>
      </c>
      <c r="AH499" s="25" t="str">
        <f aca="false">IF(G499="","",IF(AF499="","No",IF(AF499&lt;=AG499,"Yes","No")))</f>
        <v/>
      </c>
      <c r="AI499" s="25" t="str">
        <f aca="false">IF(G499="","",IF(L499="","N/A - Not Detected",IF(AND(X499="",Y499="",Z499=""),"No Containment Action",IF(Z499="",IF(Y499&lt;&gt;"","C2 Persisted","Host Isolation Gap"),IF(AF499&lt;=AG499,"Contained - Within SLA","Contained - SLA Breach")))))</f>
        <v/>
      </c>
      <c r="AJ499" s="25" t="str">
        <f aca="false">IF(G499="","",IF(Z499&lt;&gt;"",1,0))</f>
        <v/>
      </c>
      <c r="AK499" s="34"/>
      <c r="AL499" s="34"/>
      <c r="AM499" s="35"/>
      <c r="AN499" s="34"/>
      <c r="AO499" s="34"/>
      <c r="AP499" s="35"/>
      <c r="AQ499" s="34"/>
      <c r="AR499" s="34"/>
      <c r="AS499" s="34"/>
      <c r="AT499" s="35"/>
      <c r="AU499" s="35"/>
    </row>
    <row r="500" customFormat="false" ht="15" hidden="false" customHeight="false" outlineLevel="0" collapsed="false">
      <c r="A500" s="24"/>
      <c r="B500" s="24"/>
      <c r="C500" s="24"/>
      <c r="D500" s="24"/>
      <c r="E500" s="24"/>
      <c r="F500" s="24"/>
      <c r="G500" s="24"/>
      <c r="H500" s="24"/>
      <c r="I500" s="32"/>
      <c r="J500" s="32"/>
      <c r="K500" s="32"/>
      <c r="L500" s="32"/>
      <c r="M500" s="24"/>
      <c r="N500" s="24"/>
      <c r="O500" s="24"/>
      <c r="P500" s="33" t="str">
        <f aca="false">IF(AND(G500&lt;&gt;"",I500&lt;&gt;"",J500&lt;&gt;""),(J500-I500)*1440,"")</f>
        <v/>
      </c>
      <c r="Q500" s="33" t="str">
        <f aca="false">IF(AND(G500&lt;&gt;"",J500&lt;&gt;"",K500&lt;&gt;""),(K500-J500)*1440,"")</f>
        <v/>
      </c>
      <c r="R500" s="33" t="str">
        <f aca="false">IF(AND(G500&lt;&gt;"",K500&lt;&gt;"",L500&lt;&gt;""),(L500-K500)*1440,"")</f>
        <v/>
      </c>
      <c r="S500" s="33" t="str">
        <f aca="false">IF(AND(G500&lt;&gt;"",I500&lt;&gt;"",L500&lt;&gt;""),(L500-I500)*1440,"")</f>
        <v/>
      </c>
      <c r="T500" s="33" t="str">
        <f aca="false">IF(G500="","",IFERROR(INDEX(Settings!$B$5:$B$8,MATCH(G500,Settings!$A$5:$A$8,0)),""))</f>
        <v/>
      </c>
      <c r="U500" s="25" t="str">
        <f aca="false">IF(G500="","",IF(S500="","No",IF(S500&lt;=T500,"Yes","No")))</f>
        <v/>
      </c>
      <c r="V500" s="25" t="str">
        <f aca="false">IF(G500="","",IF(AND(J500="",K500="",L500=""),"Telemetry Blind Spot",IF(AND(K500="",L500=""),"Missed Alert",IF(L500="","Triage Delay",IF(S500&lt;=T500,"Detected - Within SLA",IF(AND(R500&lt;&gt;"",R500&gt;IFERROR(INDEX(Settings!$C$5:$C$8,MATCH(G500,Settings!$A$5:$A$8,0)),1E+099)),"Triage Delay","Detected - SLA Breach"))))))</f>
        <v/>
      </c>
      <c r="W500" s="25" t="str">
        <f aca="false">IF(G500="","",IF(L500&lt;&gt;"",1,0))</f>
        <v/>
      </c>
      <c r="X500" s="32"/>
      <c r="Y500" s="32"/>
      <c r="Z500" s="32"/>
      <c r="AA500" s="24"/>
      <c r="AB500" s="24"/>
      <c r="AC500" s="33" t="str">
        <f aca="false">IF(AND(G500&lt;&gt;"",L500&lt;&gt;"",X500&lt;&gt;""),(X500-L500)*1440,"")</f>
        <v/>
      </c>
      <c r="AD500" s="33" t="str">
        <f aca="false">IF(AND(G500&lt;&gt;"",X500&lt;&gt;"",Y500&lt;&gt;""),(Y500-X500)*1440,"")</f>
        <v/>
      </c>
      <c r="AE500" s="33" t="str">
        <f aca="false">IF(AND(G500&lt;&gt;"",Y500&lt;&gt;"",Z500&lt;&gt;""),(Z500-Y500)*1440,"")</f>
        <v/>
      </c>
      <c r="AF500" s="33" t="str">
        <f aca="false">IF(AND(G500&lt;&gt;"",L500&lt;&gt;"",Z500&lt;&gt;""),(Z500-L500)*1440,"")</f>
        <v/>
      </c>
      <c r="AG500" s="33" t="str">
        <f aca="false">IF(G500="","",IFERROR(INDEX(Settings!$D$5:$D$8,MATCH(G500,Settings!$A$5:$A$8,0)),""))</f>
        <v/>
      </c>
      <c r="AH500" s="25" t="str">
        <f aca="false">IF(G500="","",IF(AF500="","No",IF(AF500&lt;=AG500,"Yes","No")))</f>
        <v/>
      </c>
      <c r="AI500" s="25" t="str">
        <f aca="false">IF(G500="","",IF(L500="","N/A - Not Detected",IF(AND(X500="",Y500="",Z500=""),"No Containment Action",IF(Z500="",IF(Y500&lt;&gt;"","C2 Persisted","Host Isolation Gap"),IF(AF500&lt;=AG500,"Contained - Within SLA","Contained - SLA Breach")))))</f>
        <v/>
      </c>
      <c r="AJ500" s="25" t="str">
        <f aca="false">IF(G500="","",IF(Z500&lt;&gt;"",1,0))</f>
        <v/>
      </c>
      <c r="AK500" s="34"/>
      <c r="AL500" s="34"/>
      <c r="AM500" s="35"/>
      <c r="AN500" s="34"/>
      <c r="AO500" s="34"/>
      <c r="AP500" s="35"/>
      <c r="AQ500" s="34"/>
      <c r="AR500" s="34"/>
      <c r="AS500" s="34"/>
      <c r="AT500" s="35"/>
      <c r="AU500" s="35"/>
    </row>
    <row r="501" customFormat="false" ht="15" hidden="false" customHeight="false" outlineLevel="0" collapsed="false">
      <c r="A501" s="24"/>
      <c r="B501" s="24"/>
      <c r="C501" s="24"/>
      <c r="D501" s="24"/>
      <c r="E501" s="24"/>
      <c r="F501" s="24"/>
      <c r="G501" s="24"/>
      <c r="H501" s="24"/>
      <c r="I501" s="32"/>
      <c r="J501" s="32"/>
      <c r="K501" s="32"/>
      <c r="L501" s="32"/>
      <c r="M501" s="24"/>
      <c r="N501" s="24"/>
      <c r="O501" s="24"/>
      <c r="P501" s="33" t="str">
        <f aca="false">IF(AND(G501&lt;&gt;"",I501&lt;&gt;"",J501&lt;&gt;""),(J501-I501)*1440,"")</f>
        <v/>
      </c>
      <c r="Q501" s="33" t="str">
        <f aca="false">IF(AND(G501&lt;&gt;"",J501&lt;&gt;"",K501&lt;&gt;""),(K501-J501)*1440,"")</f>
        <v/>
      </c>
      <c r="R501" s="33" t="str">
        <f aca="false">IF(AND(G501&lt;&gt;"",K501&lt;&gt;"",L501&lt;&gt;""),(L501-K501)*1440,"")</f>
        <v/>
      </c>
      <c r="S501" s="33" t="str">
        <f aca="false">IF(AND(G501&lt;&gt;"",I501&lt;&gt;"",L501&lt;&gt;""),(L501-I501)*1440,"")</f>
        <v/>
      </c>
      <c r="T501" s="33" t="str">
        <f aca="false">IF(G501="","",IFERROR(INDEX(Settings!$B$5:$B$8,MATCH(G501,Settings!$A$5:$A$8,0)),""))</f>
        <v/>
      </c>
      <c r="U501" s="25" t="str">
        <f aca="false">IF(G501="","",IF(S501="","No",IF(S501&lt;=T501,"Yes","No")))</f>
        <v/>
      </c>
      <c r="V501" s="25" t="str">
        <f aca="false">IF(G501="","",IF(AND(J501="",K501="",L501=""),"Telemetry Blind Spot",IF(AND(K501="",L501=""),"Missed Alert",IF(L501="","Triage Delay",IF(S501&lt;=T501,"Detected - Within SLA",IF(AND(R501&lt;&gt;"",R501&gt;IFERROR(INDEX(Settings!$C$5:$C$8,MATCH(G501,Settings!$A$5:$A$8,0)),1E+099)),"Triage Delay","Detected - SLA Breach"))))))</f>
        <v/>
      </c>
      <c r="W501" s="25" t="str">
        <f aca="false">IF(G501="","",IF(L501&lt;&gt;"",1,0))</f>
        <v/>
      </c>
      <c r="X501" s="32"/>
      <c r="Y501" s="32"/>
      <c r="Z501" s="32"/>
      <c r="AA501" s="24"/>
      <c r="AB501" s="24"/>
      <c r="AC501" s="33" t="str">
        <f aca="false">IF(AND(G501&lt;&gt;"",L501&lt;&gt;"",X501&lt;&gt;""),(X501-L501)*1440,"")</f>
        <v/>
      </c>
      <c r="AD501" s="33" t="str">
        <f aca="false">IF(AND(G501&lt;&gt;"",X501&lt;&gt;"",Y501&lt;&gt;""),(Y501-X501)*1440,"")</f>
        <v/>
      </c>
      <c r="AE501" s="33" t="str">
        <f aca="false">IF(AND(G501&lt;&gt;"",Y501&lt;&gt;"",Z501&lt;&gt;""),(Z501-Y501)*1440,"")</f>
        <v/>
      </c>
      <c r="AF501" s="33" t="str">
        <f aca="false">IF(AND(G501&lt;&gt;"",L501&lt;&gt;"",Z501&lt;&gt;""),(Z501-L501)*1440,"")</f>
        <v/>
      </c>
      <c r="AG501" s="33" t="str">
        <f aca="false">IF(G501="","",IFERROR(INDEX(Settings!$D$5:$D$8,MATCH(G501,Settings!$A$5:$A$8,0)),""))</f>
        <v/>
      </c>
      <c r="AH501" s="25" t="str">
        <f aca="false">IF(G501="","",IF(AF501="","No",IF(AF501&lt;=AG501,"Yes","No")))</f>
        <v/>
      </c>
      <c r="AI501" s="25" t="str">
        <f aca="false">IF(G501="","",IF(L501="","N/A - Not Detected",IF(AND(X501="",Y501="",Z501=""),"No Containment Action",IF(Z501="",IF(Y501&lt;&gt;"","C2 Persisted","Host Isolation Gap"),IF(AF501&lt;=AG501,"Contained - Within SLA","Contained - SLA Breach")))))</f>
        <v/>
      </c>
      <c r="AJ501" s="25" t="str">
        <f aca="false">IF(G501="","",IF(Z501&lt;&gt;"",1,0))</f>
        <v/>
      </c>
      <c r="AK501" s="34"/>
      <c r="AL501" s="34"/>
      <c r="AM501" s="35"/>
      <c r="AN501" s="34"/>
      <c r="AO501" s="34"/>
      <c r="AP501" s="35"/>
      <c r="AQ501" s="34"/>
      <c r="AR501" s="34"/>
      <c r="AS501" s="34"/>
      <c r="AT501" s="35"/>
      <c r="AU501" s="35"/>
    </row>
    <row r="502" customFormat="false" ht="15" hidden="false" customHeight="false" outlineLevel="0" collapsed="false">
      <c r="A502" s="24"/>
      <c r="B502" s="24"/>
      <c r="C502" s="24"/>
      <c r="D502" s="24"/>
      <c r="E502" s="24"/>
      <c r="F502" s="24"/>
      <c r="G502" s="24"/>
      <c r="H502" s="24"/>
      <c r="I502" s="32"/>
      <c r="J502" s="32"/>
      <c r="K502" s="32"/>
      <c r="L502" s="32"/>
      <c r="M502" s="24"/>
      <c r="N502" s="24"/>
      <c r="O502" s="24"/>
      <c r="P502" s="33" t="str">
        <f aca="false">IF(AND(G502&lt;&gt;"",I502&lt;&gt;"",J502&lt;&gt;""),(J502-I502)*1440,"")</f>
        <v/>
      </c>
      <c r="Q502" s="33" t="str">
        <f aca="false">IF(AND(G502&lt;&gt;"",J502&lt;&gt;"",K502&lt;&gt;""),(K502-J502)*1440,"")</f>
        <v/>
      </c>
      <c r="R502" s="33" t="str">
        <f aca="false">IF(AND(G502&lt;&gt;"",K502&lt;&gt;"",L502&lt;&gt;""),(L502-K502)*1440,"")</f>
        <v/>
      </c>
      <c r="S502" s="33" t="str">
        <f aca="false">IF(AND(G502&lt;&gt;"",I502&lt;&gt;"",L502&lt;&gt;""),(L502-I502)*1440,"")</f>
        <v/>
      </c>
      <c r="T502" s="33" t="str">
        <f aca="false">IF(G502="","",IFERROR(INDEX(Settings!$B$5:$B$8,MATCH(G502,Settings!$A$5:$A$8,0)),""))</f>
        <v/>
      </c>
      <c r="U502" s="25" t="str">
        <f aca="false">IF(G502="","",IF(S502="","No",IF(S502&lt;=T502,"Yes","No")))</f>
        <v/>
      </c>
      <c r="V502" s="25" t="str">
        <f aca="false">IF(G502="","",IF(AND(J502="",K502="",L502=""),"Telemetry Blind Spot",IF(AND(K502="",L502=""),"Missed Alert",IF(L502="","Triage Delay",IF(S502&lt;=T502,"Detected - Within SLA",IF(AND(R502&lt;&gt;"",R502&gt;IFERROR(INDEX(Settings!$C$5:$C$8,MATCH(G502,Settings!$A$5:$A$8,0)),1E+099)),"Triage Delay","Detected - SLA Breach"))))))</f>
        <v/>
      </c>
      <c r="W502" s="25" t="str">
        <f aca="false">IF(G502="","",IF(L502&lt;&gt;"",1,0))</f>
        <v/>
      </c>
      <c r="X502" s="32"/>
      <c r="Y502" s="32"/>
      <c r="Z502" s="32"/>
      <c r="AA502" s="24"/>
      <c r="AB502" s="24"/>
      <c r="AC502" s="33" t="str">
        <f aca="false">IF(AND(G502&lt;&gt;"",L502&lt;&gt;"",X502&lt;&gt;""),(X502-L502)*1440,"")</f>
        <v/>
      </c>
      <c r="AD502" s="33" t="str">
        <f aca="false">IF(AND(G502&lt;&gt;"",X502&lt;&gt;"",Y502&lt;&gt;""),(Y502-X502)*1440,"")</f>
        <v/>
      </c>
      <c r="AE502" s="33" t="str">
        <f aca="false">IF(AND(G502&lt;&gt;"",Y502&lt;&gt;"",Z502&lt;&gt;""),(Z502-Y502)*1440,"")</f>
        <v/>
      </c>
      <c r="AF502" s="33" t="str">
        <f aca="false">IF(AND(G502&lt;&gt;"",L502&lt;&gt;"",Z502&lt;&gt;""),(Z502-L502)*1440,"")</f>
        <v/>
      </c>
      <c r="AG502" s="33" t="str">
        <f aca="false">IF(G502="","",IFERROR(INDEX(Settings!$D$5:$D$8,MATCH(G502,Settings!$A$5:$A$8,0)),""))</f>
        <v/>
      </c>
      <c r="AH502" s="25" t="str">
        <f aca="false">IF(G502="","",IF(AF502="","No",IF(AF502&lt;=AG502,"Yes","No")))</f>
        <v/>
      </c>
      <c r="AI502" s="25" t="str">
        <f aca="false">IF(G502="","",IF(L502="","N/A - Not Detected",IF(AND(X502="",Y502="",Z502=""),"No Containment Action",IF(Z502="",IF(Y502&lt;&gt;"","C2 Persisted","Host Isolation Gap"),IF(AF502&lt;=AG502,"Contained - Within SLA","Contained - SLA Breach")))))</f>
        <v/>
      </c>
      <c r="AJ502" s="25" t="str">
        <f aca="false">IF(G502="","",IF(Z502&lt;&gt;"",1,0))</f>
        <v/>
      </c>
      <c r="AK502" s="34"/>
      <c r="AL502" s="34"/>
      <c r="AM502" s="35"/>
      <c r="AN502" s="34"/>
      <c r="AO502" s="34"/>
      <c r="AP502" s="35"/>
      <c r="AQ502" s="34"/>
      <c r="AR502" s="34"/>
      <c r="AS502" s="34"/>
      <c r="AT502" s="35"/>
      <c r="AU502" s="35"/>
    </row>
    <row r="503" customFormat="false" ht="15" hidden="false" customHeight="false" outlineLevel="0" collapsed="false">
      <c r="A503" s="24"/>
      <c r="B503" s="24"/>
      <c r="C503" s="24"/>
      <c r="D503" s="24"/>
      <c r="E503" s="24"/>
      <c r="F503" s="24"/>
      <c r="G503" s="24"/>
      <c r="H503" s="24"/>
      <c r="I503" s="32"/>
      <c r="J503" s="32"/>
      <c r="K503" s="32"/>
      <c r="L503" s="32"/>
      <c r="M503" s="24"/>
      <c r="N503" s="24"/>
      <c r="O503" s="24"/>
      <c r="P503" s="33" t="str">
        <f aca="false">IF(AND(G503&lt;&gt;"",I503&lt;&gt;"",J503&lt;&gt;""),(J503-I503)*1440,"")</f>
        <v/>
      </c>
      <c r="Q503" s="33" t="str">
        <f aca="false">IF(AND(G503&lt;&gt;"",J503&lt;&gt;"",K503&lt;&gt;""),(K503-J503)*1440,"")</f>
        <v/>
      </c>
      <c r="R503" s="33" t="str">
        <f aca="false">IF(AND(G503&lt;&gt;"",K503&lt;&gt;"",L503&lt;&gt;""),(L503-K503)*1440,"")</f>
        <v/>
      </c>
      <c r="S503" s="33" t="str">
        <f aca="false">IF(AND(G503&lt;&gt;"",I503&lt;&gt;"",L503&lt;&gt;""),(L503-I503)*1440,"")</f>
        <v/>
      </c>
      <c r="T503" s="33" t="str">
        <f aca="false">IF(G503="","",IFERROR(INDEX(Settings!$B$5:$B$8,MATCH(G503,Settings!$A$5:$A$8,0)),""))</f>
        <v/>
      </c>
      <c r="U503" s="25" t="str">
        <f aca="false">IF(G503="","",IF(S503="","No",IF(S503&lt;=T503,"Yes","No")))</f>
        <v/>
      </c>
      <c r="V503" s="25" t="str">
        <f aca="false">IF(G503="","",IF(AND(J503="",K503="",L503=""),"Telemetry Blind Spot",IF(AND(K503="",L503=""),"Missed Alert",IF(L503="","Triage Delay",IF(S503&lt;=T503,"Detected - Within SLA",IF(AND(R503&lt;&gt;"",R503&gt;IFERROR(INDEX(Settings!$C$5:$C$8,MATCH(G503,Settings!$A$5:$A$8,0)),1E+099)),"Triage Delay","Detected - SLA Breach"))))))</f>
        <v/>
      </c>
      <c r="W503" s="25" t="str">
        <f aca="false">IF(G503="","",IF(L503&lt;&gt;"",1,0))</f>
        <v/>
      </c>
      <c r="X503" s="32"/>
      <c r="Y503" s="32"/>
      <c r="Z503" s="32"/>
      <c r="AA503" s="24"/>
      <c r="AB503" s="24"/>
      <c r="AC503" s="33" t="str">
        <f aca="false">IF(AND(G503&lt;&gt;"",L503&lt;&gt;"",X503&lt;&gt;""),(X503-L503)*1440,"")</f>
        <v/>
      </c>
      <c r="AD503" s="33" t="str">
        <f aca="false">IF(AND(G503&lt;&gt;"",X503&lt;&gt;"",Y503&lt;&gt;""),(Y503-X503)*1440,"")</f>
        <v/>
      </c>
      <c r="AE503" s="33" t="str">
        <f aca="false">IF(AND(G503&lt;&gt;"",Y503&lt;&gt;"",Z503&lt;&gt;""),(Z503-Y503)*1440,"")</f>
        <v/>
      </c>
      <c r="AF503" s="33" t="str">
        <f aca="false">IF(AND(G503&lt;&gt;"",L503&lt;&gt;"",Z503&lt;&gt;""),(Z503-L503)*1440,"")</f>
        <v/>
      </c>
      <c r="AG503" s="33" t="str">
        <f aca="false">IF(G503="","",IFERROR(INDEX(Settings!$D$5:$D$8,MATCH(G503,Settings!$A$5:$A$8,0)),""))</f>
        <v/>
      </c>
      <c r="AH503" s="25" t="str">
        <f aca="false">IF(G503="","",IF(AF503="","No",IF(AF503&lt;=AG503,"Yes","No")))</f>
        <v/>
      </c>
      <c r="AI503" s="25" t="str">
        <f aca="false">IF(G503="","",IF(L503="","N/A - Not Detected",IF(AND(X503="",Y503="",Z503=""),"No Containment Action",IF(Z503="",IF(Y503&lt;&gt;"","C2 Persisted","Host Isolation Gap"),IF(AF503&lt;=AG503,"Contained - Within SLA","Contained - SLA Breach")))))</f>
        <v/>
      </c>
      <c r="AJ503" s="25" t="str">
        <f aca="false">IF(G503="","",IF(Z503&lt;&gt;"",1,0))</f>
        <v/>
      </c>
      <c r="AK503" s="34"/>
      <c r="AL503" s="34"/>
      <c r="AM503" s="35"/>
      <c r="AN503" s="34"/>
      <c r="AO503" s="34"/>
      <c r="AP503" s="35"/>
      <c r="AQ503" s="34"/>
      <c r="AR503" s="34"/>
      <c r="AS503" s="34"/>
      <c r="AT503" s="35"/>
      <c r="AU503" s="35"/>
    </row>
    <row r="504" customFormat="false" ht="15" hidden="false" customHeight="false" outlineLevel="0" collapsed="false">
      <c r="A504" s="24"/>
      <c r="B504" s="24"/>
      <c r="C504" s="24"/>
      <c r="D504" s="24"/>
      <c r="E504" s="24"/>
      <c r="F504" s="24"/>
      <c r="G504" s="24"/>
      <c r="H504" s="24"/>
      <c r="I504" s="32"/>
      <c r="J504" s="32"/>
      <c r="K504" s="32"/>
      <c r="L504" s="32"/>
      <c r="M504" s="24"/>
      <c r="N504" s="24"/>
      <c r="O504" s="24"/>
      <c r="P504" s="33" t="str">
        <f aca="false">IF(AND(G504&lt;&gt;"",I504&lt;&gt;"",J504&lt;&gt;""),(J504-I504)*1440,"")</f>
        <v/>
      </c>
      <c r="Q504" s="33" t="str">
        <f aca="false">IF(AND(G504&lt;&gt;"",J504&lt;&gt;"",K504&lt;&gt;""),(K504-J504)*1440,"")</f>
        <v/>
      </c>
      <c r="R504" s="33" t="str">
        <f aca="false">IF(AND(G504&lt;&gt;"",K504&lt;&gt;"",L504&lt;&gt;""),(L504-K504)*1440,"")</f>
        <v/>
      </c>
      <c r="S504" s="33" t="str">
        <f aca="false">IF(AND(G504&lt;&gt;"",I504&lt;&gt;"",L504&lt;&gt;""),(L504-I504)*1440,"")</f>
        <v/>
      </c>
      <c r="T504" s="33" t="str">
        <f aca="false">IF(G504="","",IFERROR(INDEX(Settings!$B$5:$B$8,MATCH(G504,Settings!$A$5:$A$8,0)),""))</f>
        <v/>
      </c>
      <c r="U504" s="25" t="str">
        <f aca="false">IF(G504="","",IF(S504="","No",IF(S504&lt;=T504,"Yes","No")))</f>
        <v/>
      </c>
      <c r="V504" s="25" t="str">
        <f aca="false">IF(G504="","",IF(AND(J504="",K504="",L504=""),"Telemetry Blind Spot",IF(AND(K504="",L504=""),"Missed Alert",IF(L504="","Triage Delay",IF(S504&lt;=T504,"Detected - Within SLA",IF(AND(R504&lt;&gt;"",R504&gt;IFERROR(INDEX(Settings!$C$5:$C$8,MATCH(G504,Settings!$A$5:$A$8,0)),1E+099)),"Triage Delay","Detected - SLA Breach"))))))</f>
        <v/>
      </c>
      <c r="W504" s="25" t="str">
        <f aca="false">IF(G504="","",IF(L504&lt;&gt;"",1,0))</f>
        <v/>
      </c>
      <c r="X504" s="32"/>
      <c r="Y504" s="32"/>
      <c r="Z504" s="32"/>
      <c r="AA504" s="24"/>
      <c r="AB504" s="24"/>
      <c r="AC504" s="33" t="str">
        <f aca="false">IF(AND(G504&lt;&gt;"",L504&lt;&gt;"",X504&lt;&gt;""),(X504-L504)*1440,"")</f>
        <v/>
      </c>
      <c r="AD504" s="33" t="str">
        <f aca="false">IF(AND(G504&lt;&gt;"",X504&lt;&gt;"",Y504&lt;&gt;""),(Y504-X504)*1440,"")</f>
        <v/>
      </c>
      <c r="AE504" s="33" t="str">
        <f aca="false">IF(AND(G504&lt;&gt;"",Y504&lt;&gt;"",Z504&lt;&gt;""),(Z504-Y504)*1440,"")</f>
        <v/>
      </c>
      <c r="AF504" s="33" t="str">
        <f aca="false">IF(AND(G504&lt;&gt;"",L504&lt;&gt;"",Z504&lt;&gt;""),(Z504-L504)*1440,"")</f>
        <v/>
      </c>
      <c r="AG504" s="33" t="str">
        <f aca="false">IF(G504="","",IFERROR(INDEX(Settings!$D$5:$D$8,MATCH(G504,Settings!$A$5:$A$8,0)),""))</f>
        <v/>
      </c>
      <c r="AH504" s="25" t="str">
        <f aca="false">IF(G504="","",IF(AF504="","No",IF(AF504&lt;=AG504,"Yes","No")))</f>
        <v/>
      </c>
      <c r="AI504" s="25" t="str">
        <f aca="false">IF(G504="","",IF(L504="","N/A - Not Detected",IF(AND(X504="",Y504="",Z504=""),"No Containment Action",IF(Z504="",IF(Y504&lt;&gt;"","C2 Persisted","Host Isolation Gap"),IF(AF504&lt;=AG504,"Contained - Within SLA","Contained - SLA Breach")))))</f>
        <v/>
      </c>
      <c r="AJ504" s="25" t="str">
        <f aca="false">IF(G504="","",IF(Z504&lt;&gt;"",1,0))</f>
        <v/>
      </c>
      <c r="AK504" s="34"/>
      <c r="AL504" s="34"/>
      <c r="AM504" s="35"/>
      <c r="AN504" s="34"/>
      <c r="AO504" s="34"/>
      <c r="AP504" s="35"/>
      <c r="AQ504" s="34"/>
      <c r="AR504" s="34"/>
      <c r="AS504" s="34"/>
      <c r="AT504" s="35"/>
      <c r="AU504" s="35"/>
    </row>
  </sheetData>
  <autoFilter ref="A4:AU504"/>
  <conditionalFormatting sqref="V5:V504">
    <cfRule type="cellIs" priority="2" operator="equal" aboveAverage="0" equalAverage="0" bottom="0" percent="0" rank="0" text="" dxfId="20">
      <formula>"Telemetry Blind Spot"</formula>
    </cfRule>
    <cfRule type="cellIs" priority="3" operator="equal" aboveAverage="0" equalAverage="0" bottom="0" percent="0" rank="0" text="" dxfId="21">
      <formula>"Missed Alert"</formula>
    </cfRule>
    <cfRule type="cellIs" priority="4" operator="equal" aboveAverage="0" equalAverage="0" bottom="0" percent="0" rank="0" text="" dxfId="22">
      <formula>"Triage Delay"</formula>
    </cfRule>
    <cfRule type="cellIs" priority="5" operator="equal" aboveAverage="0" equalAverage="0" bottom="0" percent="0" rank="0" text="" dxfId="23">
      <formula>"Detected - SLA Breach"</formula>
    </cfRule>
    <cfRule type="cellIs" priority="6" operator="equal" aboveAverage="0" equalAverage="0" bottom="0" percent="0" rank="0" text="" dxfId="24">
      <formula>"Detected - Within SLA"</formula>
    </cfRule>
  </conditionalFormatting>
  <conditionalFormatting sqref="AI5:AI504">
    <cfRule type="cellIs" priority="7" operator="equal" aboveAverage="0" equalAverage="0" bottom="0" percent="0" rank="0" text="" dxfId="20">
      <formula>"No Containment Action"</formula>
    </cfRule>
    <cfRule type="cellIs" priority="8" operator="equal" aboveAverage="0" equalAverage="0" bottom="0" percent="0" rank="0" text="" dxfId="21">
      <formula>"C2 Persisted"</formula>
    </cfRule>
    <cfRule type="cellIs" priority="9" operator="equal" aboveAverage="0" equalAverage="0" bottom="0" percent="0" rank="0" text="" dxfId="22">
      <formula>"Host Isolation Gap"</formula>
    </cfRule>
    <cfRule type="cellIs" priority="10" operator="equal" aboveAverage="0" equalAverage="0" bottom="0" percent="0" rank="0" text="" dxfId="23">
      <formula>"Contained - SLA Breach"</formula>
    </cfRule>
    <cfRule type="cellIs" priority="11" operator="equal" aboveAverage="0" equalAverage="0" bottom="0" percent="0" rank="0" text="" dxfId="24">
      <formula>"Contained - Within SLA"</formula>
    </cfRule>
    <cfRule type="cellIs" priority="12" operator="equal" aboveAverage="0" equalAverage="0" bottom="0" percent="0" rank="0" text="" dxfId="25">
      <formula>"N/A - Not Detected"</formula>
    </cfRule>
  </conditionalFormatting>
  <conditionalFormatting sqref="U5:U504">
    <cfRule type="cellIs" priority="13" operator="equal" aboveAverage="0" equalAverage="0" bottom="0" percent="0" rank="0" text="" dxfId="26">
      <formula>"No"</formula>
    </cfRule>
    <cfRule type="cellIs" priority="14" operator="equal" aboveAverage="0" equalAverage="0" bottom="0" percent="0" rank="0" text="" dxfId="27">
      <formula>"Yes"</formula>
    </cfRule>
  </conditionalFormatting>
  <conditionalFormatting sqref="AH5:AH504">
    <cfRule type="cellIs" priority="15" operator="equal" aboveAverage="0" equalAverage="0" bottom="0" percent="0" rank="0" text="" dxfId="26">
      <formula>"No"</formula>
    </cfRule>
    <cfRule type="cellIs" priority="16" operator="equal" aboveAverage="0" equalAverage="0" bottom="0" percent="0" rank="0" text="" dxfId="27">
      <formula>"Yes"</formula>
    </cfRule>
  </conditionalFormatting>
  <conditionalFormatting sqref="AQ5:AQ504">
    <cfRule type="cellIs" priority="17" operator="equal" aboveAverage="0" equalAverage="0" bottom="0" percent="0" rank="0" text="" dxfId="28">
      <formula>"Not Red Team - Escalate"</formula>
    </cfRule>
  </conditionalFormatting>
  <dataValidations count="9">
    <dataValidation allowBlank="true" errorStyle="stop" operator="between" showDropDown="false" showErrorMessage="false" showInputMessage="false" sqref="B5:B504" type="list">
      <formula1>Settings!$H$5:$H$12</formula1>
      <formula2>0</formula2>
    </dataValidation>
    <dataValidation allowBlank="true" errorStyle="stop" operator="between" showDropDown="false" showErrorMessage="false" showInputMessage="false" sqref="C5:C504" type="list">
      <formula1>Settings!$E$5:$E$18</formula1>
      <formula2>0</formula2>
    </dataValidation>
    <dataValidation allowBlank="true" errorStyle="stop" operator="between" showDropDown="false" showErrorMessage="false" showInputMessage="false" sqref="G5:G504" type="list">
      <formula1>Settings!$A$5:$A$8</formula1>
      <formula2>0</formula2>
    </dataValidation>
    <dataValidation allowBlank="true" errorStyle="stop" operator="between" showDropDown="false" showErrorMessage="false" showInputMessage="false" sqref="H5:H504" type="list">
      <formula1>Settings!$F$5:$F$14</formula1>
      <formula2>0</formula2>
    </dataValidation>
    <dataValidation allowBlank="true" errorStyle="stop" operator="between" showDropDown="false" showErrorMessage="false" showInputMessage="false" sqref="N5:N504" type="list">
      <formula1>Settings!$G$5:$G$9</formula1>
      <formula2>0</formula2>
    </dataValidation>
    <dataValidation allowBlank="true" errorStyle="stop" operator="between" showDropDown="false" showErrorMessage="false" showInputMessage="false" sqref="D5:D504" type="list">
      <formula1>Settings!$O$5:$O$104</formula1>
      <formula2>0</formula2>
    </dataValidation>
    <dataValidation allowBlank="true" errorStyle="stop" operator="between" showDropDown="false" showErrorMessage="false" showInputMessage="false" sqref="AQ5:AQ504" type="list">
      <formula1>Settings!$L$5:$L$8</formula1>
      <formula2>0</formula2>
    </dataValidation>
    <dataValidation allowBlank="true" errorStyle="stop" operator="between" showDropDown="false" showErrorMessage="false" showInputMessage="false" sqref="AS5:AS504" type="list">
      <formula1>Settings!$M$5:$M$7</formula1>
      <formula2>0</formula2>
    </dataValidation>
    <dataValidation allowBlank="true" errorStyle="stop" operator="between" showDropDown="false" showErrorMessage="false" showInputMessage="false" sqref="AO5:AO504" type="list">
      <formula1>"Y,N,Partial"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2026-10-01T16:44:41Z</dcterms:created>
  <dc:creator>openpyxl</dc:creator>
  <dc:description/>
  <dc:language>en-US</dc:language>
  <cp:lastModifiedBy/>
  <dcterms:modified xsi:type="dcterms:W3CDTF">2026-10-01T12:44:44Z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